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707fedcef58127a/Desktop/JOSE 2026/"/>
    </mc:Choice>
  </mc:AlternateContent>
  <xr:revisionPtr revIDLastSave="2885" documentId="14_{3F24E558-5404-4C62-B5CE-4C103886AF8A}" xr6:coauthVersionLast="47" xr6:coauthVersionMax="47" xr10:uidLastSave="{DAE02EA2-34B6-4B90-86A2-89C8B8BE1780}"/>
  <bookViews>
    <workbookView xWindow="-120" yWindow="-120" windowWidth="25440" windowHeight="15390" firstSheet="46" activeTab="51" xr2:uid="{43E31E43-EF95-4EE1-9D3C-67906F44D127}"/>
  </bookViews>
  <sheets>
    <sheet name="DECORA Y CREA " sheetId="1" r:id="rId1"/>
    <sheet name="NATALI SULA" sheetId="71" r:id="rId2"/>
    <sheet name="SOFIAS" sheetId="96" r:id="rId3"/>
    <sheet name="ALKANA" sheetId="40" r:id="rId4"/>
    <sheet name="FANY CIRUELO" sheetId="82" r:id="rId5"/>
    <sheet name="DETALLES Y MAS" sheetId="2" r:id="rId6"/>
    <sheet name="JESLER PACHECO" sheetId="83" r:id="rId7"/>
    <sheet name="WILMER HN VIRREY" sheetId="84" r:id="rId8"/>
    <sheet name="YOSSELIN" sheetId="3" r:id="rId9"/>
    <sheet name="RINCONCITO AZACUALPA" sheetId="85" r:id="rId10"/>
    <sheet name="MELISSA" sheetId="27" r:id="rId11"/>
    <sheet name="ROOS AZACUALPA" sheetId="78" r:id="rId12"/>
    <sheet name="Nery Bustamante" sheetId="89" r:id="rId13"/>
    <sheet name="JANSY(INVERSIONES PORTILLO)" sheetId="4" r:id="rId14"/>
    <sheet name="ROSA SARON" sheetId="5" r:id="rId15"/>
    <sheet name="CLAUDIA 6 DE MAYO" sheetId="93" r:id="rId16"/>
    <sheet name="FLORISTERIA SANTA FE" sheetId="7" r:id="rId17"/>
    <sheet name="DISTRIBUIDORA OCCIDENTAL" sheetId="28" r:id="rId18"/>
    <sheet name="YOLANI ANY" sheetId="8" r:id="rId19"/>
    <sheet name="KARLA EVENTOS OCCIDENTE" sheetId="9" r:id="rId20"/>
    <sheet name="ANDREA PAULINA" sheetId="77" r:id="rId21"/>
    <sheet name="MARIA CRISBY" sheetId="10" r:id="rId22"/>
    <sheet name="GRISELDA" sheetId="88" r:id="rId23"/>
    <sheet name="INVERSIONES SORELLE" sheetId="11" r:id="rId24"/>
    <sheet name="DANESY MALDONADO" sheetId="12" r:id="rId25"/>
    <sheet name="LEFRUITT" sheetId="13" r:id="rId26"/>
    <sheet name="MULTISERVICIOS" sheetId="86" r:id="rId27"/>
    <sheet name="DETALLES HEYMI" sheetId="15" r:id="rId28"/>
    <sheet name="YOSSET" sheetId="53" r:id="rId29"/>
    <sheet name="DPETALOS" sheetId="16" r:id="rId30"/>
    <sheet name="WENDY ARAGON" sheetId="17" r:id="rId31"/>
    <sheet name="MONSERRATH" sheetId="18" r:id="rId32"/>
    <sheet name="FLORISTERIA FIORE" sheetId="19" r:id="rId33"/>
    <sheet name="DILO CON FLORES" sheetId="20" r:id="rId34"/>
    <sheet name="LILIS FLOWERS" sheetId="21" r:id="rId35"/>
    <sheet name="(LULAS)IMPORTADORA MANA" sheetId="22" r:id="rId36"/>
    <sheet name="Hoja2" sheetId="90" state="hidden" r:id="rId37"/>
    <sheet name="MANOS CREATIVAS" sheetId="23" r:id="rId38"/>
    <sheet name="CINDY ALVARADO" sheetId="29" r:id="rId39"/>
    <sheet name="DIANA ARITA" sheetId="24" r:id="rId40"/>
    <sheet name="DANIA DUBON" sheetId="37" r:id="rId41"/>
    <sheet name="ISA COTO " sheetId="38" r:id="rId42"/>
    <sheet name="MAKEMIDAY" sheetId="39" r:id="rId43"/>
    <sheet name="DETALLES DE AMOR" sheetId="44" r:id="rId44"/>
    <sheet name="DOÑA NERY" sheetId="47" r:id="rId45"/>
    <sheet name="ANA MORALES " sheetId="51" r:id="rId46"/>
    <sheet name="CAROL BALLEJO" sheetId="49" r:id="rId47"/>
    <sheet name="DYEL DETALLES" sheetId="57" r:id="rId48"/>
    <sheet name="GABRIELA TRIGUERS" sheetId="54" r:id="rId49"/>
    <sheet name="LOURDES SAN AGUSTIN" sheetId="55" r:id="rId50"/>
    <sheet name="NELI MEJIA" sheetId="59" r:id="rId51"/>
    <sheet name="AMARALYS" sheetId="70" r:id="rId52"/>
    <sheet name="ADRIANA PAOLA" sheetId="74" r:id="rId53"/>
    <sheet name="FLORES DETALLES" sheetId="76" r:id="rId54"/>
    <sheet name="ISABELA SANTA R" sheetId="80" r:id="rId55"/>
    <sheet name="Hoja3" sheetId="91" state="hidden" r:id="rId56"/>
    <sheet name="RESUMIDO" sheetId="79" r:id="rId57"/>
    <sheet name="CINTIA PEÑA" sheetId="87" r:id="rId58"/>
    <sheet name="ESTRELLA SERRANO" sheetId="92" r:id="rId59"/>
    <sheet name="ADRIS LOPEZ" sheetId="97" r:id="rId60"/>
    <sheet name="MARIA JOSE" sheetId="94" r:id="rId6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9" i="94" l="1"/>
  <c r="F12" i="97"/>
  <c r="F11" i="97"/>
  <c r="F10" i="97"/>
  <c r="F9" i="97"/>
  <c r="F8" i="97"/>
  <c r="F7" i="97"/>
  <c r="F6" i="97"/>
  <c r="J9" i="92"/>
  <c r="J10" i="92"/>
  <c r="J11" i="92"/>
  <c r="J12" i="92"/>
  <c r="J13" i="92"/>
  <c r="J14" i="92"/>
  <c r="J15" i="92"/>
  <c r="D150" i="23"/>
  <c r="D151" i="23" s="1"/>
  <c r="D152" i="23" s="1"/>
  <c r="D153" i="23" s="1"/>
  <c r="D154" i="23" s="1"/>
  <c r="D155" i="23" s="1"/>
  <c r="D156" i="23" s="1"/>
  <c r="D157" i="23" s="1"/>
  <c r="D208" i="5"/>
  <c r="D209" i="5" s="1"/>
  <c r="D210" i="5" s="1"/>
  <c r="D211" i="5" s="1"/>
  <c r="D212" i="5" s="1"/>
  <c r="D213" i="5" s="1"/>
  <c r="D214" i="5" s="1"/>
  <c r="D314" i="3"/>
  <c r="D315" i="3"/>
  <c r="D316" i="3" s="1"/>
  <c r="D317" i="3" s="1"/>
  <c r="D318" i="3" s="1"/>
  <c r="D319" i="3" s="1"/>
  <c r="D320" i="3" s="1"/>
  <c r="N33" i="93"/>
  <c r="M33" i="93"/>
  <c r="K33" i="93"/>
  <c r="L33" i="93"/>
  <c r="H133" i="55"/>
  <c r="H134" i="55" s="1"/>
  <c r="H135" i="55" s="1"/>
  <c r="H136" i="55" s="1"/>
  <c r="H137" i="55" s="1"/>
  <c r="H138" i="55" s="1"/>
  <c r="H139" i="55" s="1"/>
  <c r="H132" i="55"/>
  <c r="D253" i="11"/>
  <c r="D254" i="11" s="1"/>
  <c r="D255" i="11" s="1"/>
  <c r="D256" i="11" s="1"/>
  <c r="D257" i="11" s="1"/>
  <c r="D258" i="11" s="1"/>
  <c r="D181" i="1"/>
  <c r="D182" i="1" s="1"/>
  <c r="D183" i="1" s="1"/>
  <c r="D184" i="1" s="1"/>
  <c r="D185" i="1" s="1"/>
  <c r="D186" i="1" s="1"/>
  <c r="D187" i="1" s="1"/>
  <c r="D209" i="18"/>
  <c r="D210" i="18" s="1"/>
  <c r="D211" i="18" s="1"/>
  <c r="D212" i="18" s="1"/>
  <c r="D213" i="18" s="1"/>
  <c r="D214" i="18" s="1"/>
  <c r="D215" i="18" s="1"/>
  <c r="D216" i="18" s="1"/>
  <c r="D217" i="18" s="1"/>
  <c r="D218" i="18" s="1"/>
  <c r="I77" i="54"/>
  <c r="J77" i="54"/>
  <c r="J75" i="54"/>
  <c r="I75" i="54"/>
  <c r="D190" i="39"/>
  <c r="D191" i="39" s="1"/>
  <c r="D192" i="39" s="1"/>
  <c r="D193" i="39" s="1"/>
  <c r="D194" i="39" s="1"/>
  <c r="D195" i="39" s="1"/>
  <c r="D196" i="39" s="1"/>
  <c r="D197" i="39" s="1"/>
  <c r="D198" i="39" s="1"/>
  <c r="D199" i="39" s="1"/>
  <c r="D200" i="39" s="1"/>
  <c r="D201" i="39" s="1"/>
  <c r="D202" i="39" s="1"/>
  <c r="D203" i="39" s="1"/>
  <c r="D111" i="38"/>
  <c r="D112" i="38" s="1"/>
  <c r="D113" i="38" s="1"/>
  <c r="D114" i="38" s="1"/>
  <c r="D115" i="38" s="1"/>
  <c r="D116" i="38" s="1"/>
  <c r="D117" i="38" s="1"/>
  <c r="D118" i="38" s="1"/>
  <c r="D153" i="22"/>
  <c r="D154" i="22"/>
  <c r="D155" i="22" s="1"/>
  <c r="D156" i="22" s="1"/>
  <c r="D157" i="22" s="1"/>
  <c r="D150" i="53"/>
  <c r="D151" i="53" s="1"/>
  <c r="D152" i="53" s="1"/>
  <c r="D153" i="53" s="1"/>
  <c r="D154" i="53" s="1"/>
  <c r="D271" i="12"/>
  <c r="D272" i="12"/>
  <c r="D273" i="12" s="1"/>
  <c r="D274" i="12" s="1"/>
  <c r="D275" i="12" s="1"/>
  <c r="I67" i="77"/>
  <c r="I68" i="77" s="1"/>
  <c r="I69" i="77" s="1"/>
  <c r="I70" i="77" s="1"/>
  <c r="I71" i="77" s="1"/>
  <c r="I72" i="77" s="1"/>
  <c r="I73" i="77" s="1"/>
  <c r="D322" i="8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140" i="4"/>
  <c r="D141" i="4" s="1"/>
  <c r="D142" i="4" s="1"/>
  <c r="H132" i="84"/>
  <c r="H133" i="84" s="1"/>
  <c r="H134" i="84" s="1"/>
  <c r="H135" i="84" s="1"/>
  <c r="H136" i="84" s="1"/>
  <c r="D259" i="2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E12" i="87"/>
  <c r="E13" i="87"/>
  <c r="E14" i="87"/>
  <c r="E15" i="87"/>
  <c r="E16" i="87"/>
  <c r="E10" i="87"/>
  <c r="E11" i="87"/>
  <c r="D113" i="16"/>
  <c r="D114" i="16" s="1"/>
  <c r="D124" i="15"/>
  <c r="D125" i="15" s="1"/>
  <c r="D126" i="15" s="1"/>
  <c r="D127" i="15" s="1"/>
  <c r="D128" i="15" s="1"/>
  <c r="D129" i="15" s="1"/>
  <c r="D97" i="28"/>
  <c r="D98" i="28" s="1"/>
  <c r="D99" i="28" s="1"/>
  <c r="D100" i="28" s="1"/>
  <c r="D101" i="28" s="1"/>
  <c r="D102" i="28" s="1"/>
  <c r="D103" i="28" s="1"/>
  <c r="D104" i="28" s="1"/>
  <c r="D105" i="28" s="1"/>
  <c r="H128" i="84"/>
  <c r="H129" i="84" s="1"/>
  <c r="H130" i="84" s="1"/>
  <c r="H131" i="84" s="1"/>
  <c r="J63" i="80"/>
  <c r="J64" i="80" s="1"/>
  <c r="J65" i="80" s="1"/>
  <c r="J66" i="80" s="1"/>
  <c r="J67" i="80" s="1"/>
  <c r="J68" i="80" s="1"/>
  <c r="J69" i="80" s="1"/>
  <c r="J70" i="80" s="1"/>
  <c r="J71" i="80" s="1"/>
  <c r="J72" i="80" s="1"/>
  <c r="J73" i="80" s="1"/>
  <c r="J74" i="80" s="1"/>
  <c r="K26" i="74"/>
  <c r="K27" i="74" s="1"/>
  <c r="K28" i="74" s="1"/>
  <c r="K29" i="74" s="1"/>
  <c r="K30" i="74" s="1"/>
  <c r="K31" i="74" s="1"/>
  <c r="K32" i="74" s="1"/>
  <c r="K33" i="74" s="1"/>
  <c r="K34" i="74" s="1"/>
  <c r="K35" i="74" s="1"/>
  <c r="K36" i="74" s="1"/>
  <c r="K37" i="74" s="1"/>
  <c r="K38" i="74" s="1"/>
  <c r="K39" i="74" s="1"/>
  <c r="J7" i="96"/>
  <c r="J8" i="96" s="1"/>
  <c r="J9" i="96" s="1"/>
  <c r="J10" i="96" s="1"/>
  <c r="J11" i="96" s="1"/>
  <c r="J12" i="96" s="1"/>
  <c r="J13" i="96" s="1"/>
  <c r="J14" i="96" s="1"/>
  <c r="J15" i="96" s="1"/>
  <c r="J16" i="96" s="1"/>
  <c r="J17" i="96" s="1"/>
  <c r="J18" i="96" s="1"/>
  <c r="J19" i="96" s="1"/>
  <c r="J20" i="96" s="1"/>
  <c r="J21" i="96" s="1"/>
  <c r="J22" i="96" s="1"/>
  <c r="J23" i="96" s="1"/>
  <c r="J24" i="96" s="1"/>
  <c r="J25" i="96" s="1"/>
  <c r="J26" i="96" s="1"/>
  <c r="J27" i="96" s="1"/>
  <c r="J28" i="96" s="1"/>
  <c r="J29" i="96" s="1"/>
  <c r="J30" i="96" s="1"/>
  <c r="J31" i="96" s="1"/>
  <c r="J32" i="96" s="1"/>
  <c r="J50" i="76"/>
  <c r="J51" i="76" s="1"/>
  <c r="J52" i="76" s="1"/>
  <c r="J53" i="76" s="1"/>
  <c r="J54" i="76" s="1"/>
  <c r="J55" i="76" s="1"/>
  <c r="J56" i="76" s="1"/>
  <c r="J57" i="76" s="1"/>
  <c r="J58" i="76" s="1"/>
  <c r="J59" i="76" s="1"/>
  <c r="J60" i="76" s="1"/>
  <c r="D237" i="37"/>
  <c r="D238" i="37" s="1"/>
  <c r="D239" i="37" s="1"/>
  <c r="D240" i="37" s="1"/>
  <c r="D241" i="37" s="1"/>
  <c r="D242" i="37" s="1"/>
  <c r="D243" i="37" s="1"/>
  <c r="D244" i="37" s="1"/>
  <c r="D245" i="37" s="1"/>
  <c r="D246" i="37" s="1"/>
  <c r="D149" i="22"/>
  <c r="D150" i="22" s="1"/>
  <c r="D151" i="22" s="1"/>
  <c r="D152" i="22" s="1"/>
  <c r="D190" i="21"/>
  <c r="D191" i="21" s="1"/>
  <c r="D192" i="21" s="1"/>
  <c r="D193" i="21" s="1"/>
  <c r="D194" i="21" s="1"/>
  <c r="D195" i="21" s="1"/>
  <c r="D196" i="21" s="1"/>
  <c r="D197" i="21" s="1"/>
  <c r="D198" i="21" s="1"/>
  <c r="D199" i="21" s="1"/>
  <c r="D200" i="21" s="1"/>
  <c r="D201" i="21" s="1"/>
  <c r="D202" i="21" s="1"/>
  <c r="D128" i="17"/>
  <c r="D129" i="17"/>
  <c r="D130" i="17"/>
  <c r="D131" i="17" s="1"/>
  <c r="D132" i="17" s="1"/>
  <c r="D133" i="17" s="1"/>
  <c r="D134" i="17" s="1"/>
  <c r="D135" i="17" s="1"/>
  <c r="D136" i="17" s="1"/>
  <c r="D137" i="17" s="1"/>
  <c r="D138" i="17" s="1"/>
  <c r="D139" i="17" s="1"/>
  <c r="D140" i="17" s="1"/>
  <c r="D141" i="17" s="1"/>
  <c r="D171" i="13"/>
  <c r="D172" i="13" s="1"/>
  <c r="D173" i="13" s="1"/>
  <c r="D174" i="13" s="1"/>
  <c r="D175" i="13" s="1"/>
  <c r="D217" i="10"/>
  <c r="D218" i="10" s="1"/>
  <c r="D219" i="10" s="1"/>
  <c r="D220" i="10" s="1"/>
  <c r="D221" i="10" s="1"/>
  <c r="D222" i="10" s="1"/>
  <c r="D223" i="10" s="1"/>
  <c r="D224" i="10" s="1"/>
  <c r="D225" i="10" s="1"/>
  <c r="D226" i="10" s="1"/>
  <c r="D227" i="10" s="1"/>
  <c r="D228" i="10" s="1"/>
  <c r="D127" i="27"/>
  <c r="D128" i="27"/>
  <c r="D129" i="27" s="1"/>
  <c r="D130" i="27" s="1"/>
  <c r="D131" i="27" s="1"/>
  <c r="D132" i="27" s="1"/>
  <c r="D133" i="27" s="1"/>
  <c r="D178" i="1"/>
  <c r="D179" i="1"/>
  <c r="D180" i="1" s="1"/>
  <c r="D122" i="15"/>
  <c r="D123" i="15" s="1"/>
  <c r="D235" i="11"/>
  <c r="D236" i="11" s="1"/>
  <c r="D237" i="11" s="1"/>
  <c r="D238" i="11" s="1"/>
  <c r="D239" i="11" s="1"/>
  <c r="D123" i="27"/>
  <c r="D124" i="27" s="1"/>
  <c r="D125" i="27" s="1"/>
  <c r="D126" i="27" s="1"/>
  <c r="H125" i="84"/>
  <c r="H126" i="84" s="1"/>
  <c r="H127" i="84" s="1"/>
  <c r="H56" i="82" l="1"/>
  <c r="H57" i="82" s="1"/>
  <c r="H58" i="82" s="1"/>
  <c r="H59" i="82" s="1"/>
  <c r="H60" i="82" s="1"/>
  <c r="H61" i="82" s="1"/>
  <c r="H62" i="82" s="1"/>
  <c r="H63" i="82" s="1"/>
  <c r="H64" i="82" s="1"/>
  <c r="H65" i="82" s="1"/>
  <c r="D108" i="38"/>
  <c r="D109" i="38" s="1"/>
  <c r="D110" i="38" s="1"/>
  <c r="D66" i="40"/>
  <c r="D67" i="40"/>
  <c r="D68" i="40"/>
  <c r="D69" i="40" s="1"/>
  <c r="D70" i="40" s="1"/>
  <c r="D71" i="40" s="1"/>
  <c r="H121" i="84"/>
  <c r="H122" i="84" s="1"/>
  <c r="H123" i="84" s="1"/>
  <c r="H124" i="84" s="1"/>
  <c r="H120" i="84"/>
  <c r="D141" i="24"/>
  <c r="D142" i="24" s="1"/>
  <c r="D138" i="24"/>
  <c r="D139" i="24" s="1"/>
  <c r="D140" i="24" s="1"/>
  <c r="D103" i="38"/>
  <c r="D104" i="38" s="1"/>
  <c r="D105" i="38" s="1"/>
  <c r="D106" i="38" s="1"/>
  <c r="D107" i="38" s="1"/>
  <c r="I28" i="85"/>
  <c r="I29" i="85" s="1"/>
  <c r="I30" i="85" s="1"/>
  <c r="I31" i="85" s="1"/>
  <c r="I32" i="85" s="1"/>
  <c r="I33" i="85" s="1"/>
  <c r="I34" i="85" s="1"/>
  <c r="D100" i="38"/>
  <c r="D101" i="38" s="1"/>
  <c r="D102" i="38" s="1"/>
  <c r="I15" i="94"/>
  <c r="I16" i="94"/>
  <c r="I17" i="94"/>
  <c r="I18" i="94"/>
  <c r="I19" i="94"/>
  <c r="I20" i="94"/>
  <c r="I21" i="94"/>
  <c r="I22" i="94"/>
  <c r="I23" i="94"/>
  <c r="I24" i="94"/>
  <c r="I25" i="94"/>
  <c r="I26" i="94"/>
  <c r="I27" i="94"/>
  <c r="I28" i="94"/>
  <c r="D96" i="38"/>
  <c r="D97" i="38" s="1"/>
  <c r="D98" i="38" s="1"/>
  <c r="D99" i="38" s="1"/>
  <c r="D136" i="24"/>
  <c r="D137" i="24" s="1"/>
  <c r="D115" i="27" l="1"/>
  <c r="D116" i="27" s="1"/>
  <c r="D117" i="27" s="1"/>
  <c r="D118" i="27" s="1"/>
  <c r="D119" i="27" s="1"/>
  <c r="D120" i="27" s="1"/>
  <c r="D121" i="27" s="1"/>
  <c r="D122" i="27" s="1"/>
  <c r="D49" i="9"/>
  <c r="D50" i="9" s="1"/>
  <c r="D51" i="9" s="1"/>
  <c r="D52" i="9" s="1"/>
  <c r="C168" i="39" l="1"/>
  <c r="F293" i="8"/>
  <c r="C175" i="5" l="1"/>
  <c r="D159" i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16" i="15"/>
  <c r="D117" i="15" s="1"/>
  <c r="D118" i="15" s="1"/>
  <c r="D119" i="15" s="1"/>
  <c r="D120" i="15" s="1"/>
  <c r="D121" i="15" s="1"/>
  <c r="D98" i="16" l="1"/>
  <c r="D99" i="16"/>
  <c r="D100" i="16" s="1"/>
  <c r="D101" i="16" s="1"/>
  <c r="D102" i="16" s="1"/>
  <c r="D103" i="16" s="1"/>
  <c r="D104" i="16" s="1"/>
  <c r="D105" i="16" s="1"/>
  <c r="D106" i="16" s="1"/>
  <c r="D107" i="16" s="1"/>
  <c r="D108" i="16" s="1"/>
  <c r="D109" i="16" s="1"/>
  <c r="D110" i="16" s="1"/>
  <c r="D111" i="16" s="1"/>
  <c r="D112" i="16" s="1"/>
  <c r="D115" i="16" s="1"/>
  <c r="D116" i="16" s="1"/>
  <c r="D117" i="16" s="1"/>
  <c r="D118" i="16" s="1"/>
  <c r="D119" i="16" s="1"/>
  <c r="D120" i="16" s="1"/>
  <c r="D121" i="16" s="1"/>
  <c r="D122" i="16" s="1"/>
  <c r="D123" i="16" s="1"/>
  <c r="D124" i="16" s="1"/>
  <c r="D125" i="16" s="1"/>
  <c r="D126" i="16" s="1"/>
  <c r="D127" i="16" s="1"/>
  <c r="D128" i="16" s="1"/>
  <c r="D129" i="16" s="1"/>
  <c r="D130" i="16" s="1"/>
  <c r="D131" i="16" s="1"/>
  <c r="D132" i="16" s="1"/>
  <c r="D133" i="16" s="1"/>
  <c r="D134" i="16" s="1"/>
  <c r="D135" i="16" s="1"/>
  <c r="D136" i="16" s="1"/>
  <c r="D137" i="16" s="1"/>
  <c r="D138" i="16" s="1"/>
  <c r="D139" i="16" s="1"/>
  <c r="D140" i="16" s="1"/>
  <c r="D141" i="16" s="1"/>
  <c r="D142" i="16" s="1"/>
  <c r="D143" i="16" s="1"/>
  <c r="D144" i="16" s="1"/>
  <c r="D145" i="16" s="1"/>
  <c r="D146" i="16" s="1"/>
  <c r="D147" i="16" s="1"/>
  <c r="D148" i="16" s="1"/>
  <c r="D149" i="16" s="1"/>
  <c r="D150" i="16" s="1"/>
  <c r="D151" i="16" s="1"/>
  <c r="D152" i="16" s="1"/>
  <c r="D153" i="16" s="1"/>
  <c r="D154" i="16" s="1"/>
  <c r="D155" i="16" s="1"/>
  <c r="D156" i="16" s="1"/>
  <c r="D157" i="16" s="1"/>
  <c r="D158" i="16" s="1"/>
  <c r="D159" i="16" s="1"/>
  <c r="D160" i="16" s="1"/>
  <c r="D161" i="16" s="1"/>
  <c r="D162" i="16" s="1"/>
  <c r="D163" i="16" s="1"/>
  <c r="D164" i="16" s="1"/>
  <c r="D165" i="16" s="1"/>
  <c r="D166" i="16" s="1"/>
  <c r="D167" i="16" s="1"/>
  <c r="D168" i="16" s="1"/>
  <c r="D169" i="16" s="1"/>
  <c r="D170" i="16" s="1"/>
  <c r="D171" i="16" s="1"/>
  <c r="D172" i="16" s="1"/>
  <c r="D173" i="16" s="1"/>
  <c r="D174" i="16" s="1"/>
  <c r="D175" i="16" s="1"/>
  <c r="D176" i="16" s="1"/>
  <c r="I35" i="94"/>
  <c r="I34" i="94"/>
  <c r="I33" i="94"/>
  <c r="I32" i="94"/>
  <c r="I31" i="94"/>
  <c r="I30" i="94"/>
  <c r="I29" i="94"/>
  <c r="I14" i="94"/>
  <c r="I13" i="94"/>
  <c r="I12" i="94"/>
  <c r="I11" i="94"/>
  <c r="D68" i="54"/>
  <c r="C163" i="39"/>
  <c r="D113" i="17"/>
  <c r="D114" i="17" s="1"/>
  <c r="D115" i="17" s="1"/>
  <c r="D116" i="17" s="1"/>
  <c r="D117" i="17" s="1"/>
  <c r="D118" i="17" s="1"/>
  <c r="D119" i="17" s="1"/>
  <c r="D120" i="17" s="1"/>
  <c r="D121" i="17" s="1"/>
  <c r="D122" i="17" s="1"/>
  <c r="D123" i="17" s="1"/>
  <c r="D124" i="17" s="1"/>
  <c r="D125" i="17" s="1"/>
  <c r="D126" i="17" s="1"/>
  <c r="D127" i="17" s="1"/>
  <c r="F21" i="88"/>
  <c r="D108" i="27"/>
  <c r="D109" i="27" s="1"/>
  <c r="D110" i="27" s="1"/>
  <c r="D111" i="27" s="1"/>
  <c r="D112" i="27" s="1"/>
  <c r="D113" i="27" s="1"/>
  <c r="D114" i="27" s="1"/>
  <c r="D58" i="40"/>
  <c r="D59" i="40"/>
  <c r="D60" i="40" s="1"/>
  <c r="D61" i="40" s="1"/>
  <c r="D62" i="40" s="1"/>
  <c r="D63" i="40" s="1"/>
  <c r="D64" i="40" s="1"/>
  <c r="D65" i="40" s="1"/>
  <c r="C194" i="10" l="1"/>
  <c r="D56" i="40"/>
  <c r="D57" i="40" s="1"/>
  <c r="C84" i="38" l="1"/>
  <c r="C165" i="5"/>
  <c r="C272" i="3"/>
  <c r="F145" i="83"/>
  <c r="C219" i="2"/>
  <c r="C54" i="40"/>
  <c r="D16" i="24" l="1"/>
  <c r="D17" i="24" s="1"/>
  <c r="D18" i="24" s="1"/>
  <c r="D19" i="24" s="1"/>
  <c r="D20" i="24" s="1"/>
  <c r="D21" i="24" s="1"/>
  <c r="D22" i="24" s="1"/>
  <c r="D23" i="24" s="1"/>
  <c r="D24" i="24" s="1"/>
  <c r="D25" i="24" s="1"/>
  <c r="D26" i="24" s="1"/>
  <c r="D27" i="24" s="1"/>
  <c r="D28" i="24" s="1"/>
  <c r="D29" i="24" s="1"/>
  <c r="D30" i="24" s="1"/>
  <c r="D31" i="24" s="1"/>
  <c r="D32" i="24" s="1"/>
  <c r="D33" i="24" s="1"/>
  <c r="D34" i="24" s="1"/>
  <c r="D35" i="24" s="1"/>
  <c r="D36" i="24" s="1"/>
  <c r="D37" i="24" s="1"/>
  <c r="D38" i="24" s="1"/>
  <c r="D39" i="24" s="1"/>
  <c r="D40" i="24" s="1"/>
  <c r="D41" i="24" s="1"/>
  <c r="D42" i="24" s="1"/>
  <c r="D43" i="24" s="1"/>
  <c r="D44" i="24" s="1"/>
  <c r="D45" i="24" s="1"/>
  <c r="D46" i="24" s="1"/>
  <c r="D47" i="24" s="1"/>
  <c r="D48" i="24" s="1"/>
  <c r="D49" i="24" s="1"/>
  <c r="D50" i="24" s="1"/>
  <c r="D51" i="24" s="1"/>
  <c r="D52" i="24" s="1"/>
  <c r="D53" i="24" s="1"/>
  <c r="D54" i="24" s="1"/>
  <c r="D55" i="24" s="1"/>
  <c r="D56" i="24" s="1"/>
  <c r="D57" i="24" s="1"/>
  <c r="D58" i="24" s="1"/>
  <c r="D59" i="24" s="1"/>
  <c r="D60" i="24" s="1"/>
  <c r="D61" i="24" s="1"/>
  <c r="D62" i="24" s="1"/>
  <c r="D63" i="24" s="1"/>
  <c r="D64" i="24" s="1"/>
  <c r="D65" i="24" s="1"/>
  <c r="D66" i="24" s="1"/>
  <c r="D67" i="24" s="1"/>
  <c r="D68" i="24" s="1"/>
  <c r="D69" i="24" s="1"/>
  <c r="D70" i="24" s="1"/>
  <c r="D71" i="24" s="1"/>
  <c r="D72" i="24" s="1"/>
  <c r="D73" i="24" s="1"/>
  <c r="D74" i="24" s="1"/>
  <c r="D75" i="24" s="1"/>
  <c r="D76" i="24" s="1"/>
  <c r="D77" i="24" s="1"/>
  <c r="D78" i="24" s="1"/>
  <c r="D79" i="24" s="1"/>
  <c r="D80" i="24" s="1"/>
  <c r="D81" i="24" s="1"/>
  <c r="D82" i="24" s="1"/>
  <c r="D83" i="24" s="1"/>
  <c r="D84" i="24" s="1"/>
  <c r="D85" i="24" s="1"/>
  <c r="D86" i="24" s="1"/>
  <c r="D87" i="24" s="1"/>
  <c r="D88" i="24" s="1"/>
  <c r="D89" i="24" s="1"/>
  <c r="D90" i="24" s="1"/>
  <c r="D91" i="24" s="1"/>
  <c r="D92" i="24" s="1"/>
  <c r="D93" i="24" s="1"/>
  <c r="D94" i="24" s="1"/>
  <c r="D95" i="24" s="1"/>
  <c r="D96" i="24" s="1"/>
  <c r="D97" i="24" s="1"/>
  <c r="D98" i="24" s="1"/>
  <c r="D99" i="24" s="1"/>
  <c r="D100" i="24" s="1"/>
  <c r="D101" i="24" s="1"/>
  <c r="D102" i="24" s="1"/>
  <c r="D103" i="24" s="1"/>
  <c r="D104" i="24" s="1"/>
  <c r="D105" i="24" s="1"/>
  <c r="D106" i="24" s="1"/>
  <c r="D107" i="24" s="1"/>
  <c r="D108" i="24" s="1"/>
  <c r="D109" i="24" s="1"/>
  <c r="D110" i="24" s="1"/>
  <c r="D111" i="24" s="1"/>
  <c r="D112" i="24" s="1"/>
  <c r="D113" i="24" s="1"/>
  <c r="D114" i="24" s="1"/>
  <c r="D115" i="24" s="1"/>
  <c r="D116" i="24" s="1"/>
  <c r="D117" i="24" s="1"/>
  <c r="D118" i="24" s="1"/>
  <c r="D119" i="24" s="1"/>
  <c r="D120" i="24" s="1"/>
  <c r="D121" i="24" s="1"/>
  <c r="D122" i="24" s="1"/>
  <c r="D123" i="24" s="1"/>
  <c r="D14" i="24"/>
  <c r="D15" i="24"/>
  <c r="D10" i="37"/>
  <c r="D11" i="37" s="1"/>
  <c r="D11" i="39"/>
  <c r="D10" i="39"/>
  <c r="D12" i="24"/>
  <c r="I11" i="93" l="1"/>
  <c r="I12" i="93" s="1"/>
  <c r="I13" i="93" s="1"/>
  <c r="I14" i="93" s="1"/>
  <c r="I15" i="93" s="1"/>
  <c r="I16" i="93" s="1"/>
  <c r="I17" i="93" s="1"/>
  <c r="I18" i="93" s="1"/>
  <c r="I19" i="93" s="1"/>
  <c r="I20" i="93" s="1"/>
  <c r="I21" i="93" s="1"/>
  <c r="I22" i="93" s="1"/>
  <c r="I23" i="93" s="1"/>
  <c r="I24" i="93" s="1"/>
  <c r="I25" i="93" s="1"/>
  <c r="I26" i="93" s="1"/>
  <c r="D114" i="15"/>
  <c r="D115" i="15" s="1"/>
  <c r="D153" i="1"/>
  <c r="D154" i="1" s="1"/>
  <c r="D155" i="1" s="1"/>
  <c r="D156" i="1" s="1"/>
  <c r="D157" i="1" s="1"/>
  <c r="D158" i="1" s="1"/>
  <c r="D69" i="29"/>
  <c r="D70" i="29"/>
  <c r="D71" i="29" s="1"/>
  <c r="D72" i="29" s="1"/>
  <c r="D73" i="29" s="1"/>
  <c r="D74" i="29" s="1"/>
  <c r="D75" i="29" s="1"/>
  <c r="D76" i="29" s="1"/>
  <c r="D77" i="29" s="1"/>
  <c r="D78" i="29" s="1"/>
  <c r="D79" i="29" s="1"/>
  <c r="D80" i="29" s="1"/>
  <c r="D81" i="29" s="1"/>
  <c r="J33" i="92" l="1"/>
  <c r="J32" i="92"/>
  <c r="J31" i="92"/>
  <c r="J30" i="92"/>
  <c r="J29" i="92"/>
  <c r="J28" i="92"/>
  <c r="J27" i="92"/>
  <c r="J26" i="92"/>
  <c r="J25" i="92"/>
  <c r="J24" i="92"/>
  <c r="J23" i="92"/>
  <c r="J22" i="92"/>
  <c r="J21" i="92"/>
  <c r="J20" i="92"/>
  <c r="J19" i="92"/>
  <c r="J18" i="92"/>
  <c r="J17" i="92"/>
  <c r="J16" i="92"/>
  <c r="I28" i="80"/>
  <c r="G276" i="8"/>
  <c r="D152" i="1"/>
  <c r="M29" i="80" l="1"/>
  <c r="C155" i="39"/>
  <c r="C156" i="39"/>
  <c r="C128" i="24"/>
  <c r="C171" i="18"/>
  <c r="C215" i="12"/>
  <c r="D104" i="17"/>
  <c r="D105" i="17" s="1"/>
  <c r="D106" i="17" s="1"/>
  <c r="D107" i="17" s="1"/>
  <c r="D108" i="17" s="1"/>
  <c r="D109" i="17" s="1"/>
  <c r="D110" i="17" s="1"/>
  <c r="D111" i="17" s="1"/>
  <c r="D112" i="17" s="1"/>
  <c r="C272" i="8"/>
  <c r="H99" i="84"/>
  <c r="H100" i="84" s="1"/>
  <c r="H101" i="84" s="1"/>
  <c r="H102" i="84" s="1"/>
  <c r="H103" i="84" s="1"/>
  <c r="H104" i="84" s="1"/>
  <c r="H105" i="84" s="1"/>
  <c r="H106" i="84" s="1"/>
  <c r="H107" i="84" s="1"/>
  <c r="H108" i="84" s="1"/>
  <c r="H109" i="84" s="1"/>
  <c r="H110" i="84" s="1"/>
  <c r="H111" i="84" s="1"/>
  <c r="H112" i="84" s="1"/>
  <c r="H113" i="84" s="1"/>
  <c r="H114" i="84" s="1"/>
  <c r="H115" i="84" s="1"/>
  <c r="H116" i="84" s="1"/>
  <c r="H117" i="84" s="1"/>
  <c r="H118" i="84" s="1"/>
  <c r="H119" i="84" s="1"/>
  <c r="I27" i="80" l="1"/>
  <c r="G105" i="55"/>
  <c r="D78" i="38"/>
  <c r="D79" i="38" s="1"/>
  <c r="D80" i="38" s="1"/>
  <c r="D81" i="38" s="1"/>
  <c r="D82" i="38" s="1"/>
  <c r="D83" i="38" s="1"/>
  <c r="D84" i="38" s="1"/>
  <c r="D85" i="38" s="1"/>
  <c r="D86" i="38" s="1"/>
  <c r="D87" i="38" s="1"/>
  <c r="D88" i="38" s="1"/>
  <c r="D89" i="38" s="1"/>
  <c r="D90" i="38" s="1"/>
  <c r="D91" i="38" s="1"/>
  <c r="D92" i="38" s="1"/>
  <c r="D93" i="38" s="1"/>
  <c r="D94" i="38" s="1"/>
  <c r="D95" i="38" s="1"/>
  <c r="C81" i="38"/>
  <c r="C126" i="23"/>
  <c r="D79" i="20"/>
  <c r="C170" i="18"/>
  <c r="C213" i="12"/>
  <c r="C207" i="11"/>
  <c r="F15" i="88"/>
  <c r="C186" i="10"/>
  <c r="C270" i="8"/>
  <c r="C158" i="5"/>
  <c r="D104" i="27"/>
  <c r="D105" i="27" s="1"/>
  <c r="D106" i="27" s="1"/>
  <c r="D107" i="27" s="1"/>
  <c r="D103" i="27"/>
  <c r="C262" i="3"/>
  <c r="D146" i="1"/>
  <c r="D147" i="1" s="1"/>
  <c r="D148" i="1" s="1"/>
  <c r="D149" i="1" s="1"/>
  <c r="D150" i="1" s="1"/>
  <c r="D151" i="1" s="1"/>
  <c r="D185" i="38" l="1"/>
  <c r="D118" i="89" l="1"/>
  <c r="D117" i="89"/>
  <c r="D116" i="89"/>
  <c r="D115" i="89"/>
  <c r="D114" i="89"/>
  <c r="D113" i="89"/>
  <c r="D112" i="89"/>
  <c r="D111" i="89"/>
  <c r="D110" i="89"/>
  <c r="D109" i="89"/>
  <c r="D108" i="89"/>
  <c r="D107" i="89"/>
  <c r="D106" i="89"/>
  <c r="D105" i="89"/>
  <c r="D104" i="89"/>
  <c r="D103" i="89"/>
  <c r="D102" i="89"/>
  <c r="D101" i="89"/>
  <c r="D100" i="89"/>
  <c r="D99" i="89"/>
  <c r="D98" i="89"/>
  <c r="D97" i="89"/>
  <c r="D96" i="89"/>
  <c r="D95" i="89"/>
  <c r="D94" i="89"/>
  <c r="D93" i="89"/>
  <c r="D92" i="89"/>
  <c r="D91" i="89"/>
  <c r="D90" i="89"/>
  <c r="D89" i="89"/>
  <c r="D88" i="89"/>
  <c r="D87" i="89"/>
  <c r="D86" i="89"/>
  <c r="D85" i="89"/>
  <c r="D84" i="89"/>
  <c r="D83" i="89"/>
  <c r="D82" i="89"/>
  <c r="D81" i="89"/>
  <c r="D80" i="89"/>
  <c r="D79" i="89"/>
  <c r="D78" i="89"/>
  <c r="D77" i="89"/>
  <c r="D76" i="89"/>
  <c r="D75" i="89"/>
  <c r="D74" i="89"/>
  <c r="D73" i="89"/>
  <c r="D72" i="89"/>
  <c r="D71" i="89"/>
  <c r="D70" i="89"/>
  <c r="D69" i="89"/>
  <c r="D68" i="89"/>
  <c r="D67" i="89"/>
  <c r="D66" i="89"/>
  <c r="D65" i="89"/>
  <c r="D64" i="89"/>
  <c r="D63" i="89"/>
  <c r="D62" i="89"/>
  <c r="D61" i="89"/>
  <c r="D60" i="89"/>
  <c r="D59" i="89"/>
  <c r="D58" i="89"/>
  <c r="D57" i="89"/>
  <c r="D56" i="89"/>
  <c r="D55" i="89"/>
  <c r="D54" i="89"/>
  <c r="D53" i="89"/>
  <c r="D52" i="89"/>
  <c r="D51" i="89"/>
  <c r="D50" i="89"/>
  <c r="D49" i="89"/>
  <c r="D48" i="89"/>
  <c r="D47" i="89"/>
  <c r="D46" i="89"/>
  <c r="D45" i="89"/>
  <c r="D44" i="89"/>
  <c r="D43" i="89"/>
  <c r="D42" i="89"/>
  <c r="D41" i="89"/>
  <c r="D40" i="89"/>
  <c r="D39" i="89"/>
  <c r="D38" i="89"/>
  <c r="D37" i="89"/>
  <c r="D36" i="89"/>
  <c r="D35" i="89"/>
  <c r="D34" i="89"/>
  <c r="D33" i="89"/>
  <c r="D32" i="89"/>
  <c r="D31" i="89"/>
  <c r="D30" i="89"/>
  <c r="D29" i="89"/>
  <c r="D28" i="89"/>
  <c r="D27" i="89"/>
  <c r="D26" i="89"/>
  <c r="D25" i="89"/>
  <c r="D24" i="89"/>
  <c r="D23" i="89"/>
  <c r="D22" i="89"/>
  <c r="D21" i="89"/>
  <c r="D20" i="89"/>
  <c r="D19" i="89"/>
  <c r="D18" i="89"/>
  <c r="D17" i="89"/>
  <c r="D16" i="89"/>
  <c r="D15" i="89"/>
  <c r="D14" i="89"/>
  <c r="D13" i="89"/>
  <c r="D12" i="89"/>
  <c r="D11" i="89"/>
  <c r="D10" i="89"/>
  <c r="C212" i="12"/>
  <c r="C211" i="12"/>
  <c r="C184" i="10"/>
  <c r="C269" i="8"/>
  <c r="C259" i="3"/>
  <c r="C207" i="2"/>
  <c r="C148" i="1"/>
  <c r="C152" i="39" l="1"/>
  <c r="C166" i="18"/>
  <c r="C150" i="13"/>
  <c r="C208" i="12"/>
  <c r="C201" i="11"/>
  <c r="F13" i="88"/>
  <c r="C180" i="10"/>
  <c r="C154" i="5"/>
  <c r="D102" i="27"/>
  <c r="D101" i="27"/>
  <c r="C100" i="27"/>
  <c r="C257" i="3"/>
  <c r="C256" i="3"/>
  <c r="C255" i="3"/>
  <c r="C206" i="2"/>
  <c r="C147" i="1"/>
  <c r="E9" i="87" l="1"/>
  <c r="E17" i="87" s="1"/>
  <c r="E18" i="87" s="1"/>
  <c r="E19" i="87" s="1"/>
  <c r="E20" i="87" s="1"/>
  <c r="E21" i="87" s="1"/>
  <c r="E22" i="87" s="1"/>
  <c r="E23" i="87" s="1"/>
  <c r="E24" i="87" s="1"/>
  <c r="E25" i="87" s="1"/>
  <c r="E26" i="87" s="1"/>
  <c r="E27" i="87" s="1"/>
  <c r="E28" i="87" s="1"/>
  <c r="E29" i="87" s="1"/>
  <c r="E30" i="87" s="1"/>
  <c r="E31" i="87" s="1"/>
  <c r="E32" i="87" s="1"/>
  <c r="E33" i="87" s="1"/>
  <c r="F11" i="88"/>
  <c r="G10" i="88"/>
  <c r="G101" i="55"/>
  <c r="C63" i="54"/>
  <c r="D43" i="47"/>
  <c r="D44" i="47" s="1"/>
  <c r="D45" i="47" s="1"/>
  <c r="D40" i="47"/>
  <c r="D41" i="47" s="1"/>
  <c r="D42" i="47" s="1"/>
  <c r="C45" i="47"/>
  <c r="C151" i="39"/>
  <c r="C124" i="24"/>
  <c r="D124" i="24" s="1"/>
  <c r="D125" i="24" s="1"/>
  <c r="D126" i="24" s="1"/>
  <c r="D127" i="24" s="1"/>
  <c r="D128" i="24" s="1"/>
  <c r="D129" i="24" s="1"/>
  <c r="D130" i="24" s="1"/>
  <c r="D131" i="24" s="1"/>
  <c r="D132" i="24" s="1"/>
  <c r="D133" i="24" s="1"/>
  <c r="D134" i="24" s="1"/>
  <c r="D135" i="24" s="1"/>
  <c r="D143" i="24" s="1"/>
  <c r="D144" i="24" s="1"/>
  <c r="D145" i="24" s="1"/>
  <c r="D146" i="24" s="1"/>
  <c r="D147" i="24" s="1"/>
  <c r="D148" i="24" s="1"/>
  <c r="D149" i="24" s="1"/>
  <c r="D150" i="24" s="1"/>
  <c r="D151" i="24" s="1"/>
  <c r="D152" i="24" s="1"/>
  <c r="D153" i="24" s="1"/>
  <c r="D154" i="24" s="1"/>
  <c r="D155" i="24" s="1"/>
  <c r="D156" i="24" s="1"/>
  <c r="C164" i="18"/>
  <c r="C124" i="53"/>
  <c r="C148" i="13"/>
  <c r="C199" i="2"/>
  <c r="D145" i="1"/>
  <c r="D157" i="24" l="1"/>
  <c r="D158" i="24" s="1"/>
  <c r="D159" i="24" s="1"/>
  <c r="D160" i="24" s="1"/>
  <c r="D161" i="24" s="1"/>
  <c r="D162" i="24" s="1"/>
  <c r="D163" i="24" s="1"/>
  <c r="D164" i="24" s="1"/>
  <c r="D165" i="24" s="1"/>
  <c r="D166" i="24" s="1"/>
  <c r="D167" i="24" s="1"/>
  <c r="D168" i="24" s="1"/>
  <c r="D169" i="24" s="1"/>
  <c r="D170" i="24" s="1"/>
  <c r="D171" i="24" s="1"/>
  <c r="D172" i="24" s="1"/>
  <c r="D173" i="24" s="1"/>
  <c r="D174" i="24" s="1"/>
  <c r="D175" i="24" s="1"/>
  <c r="D176" i="24" s="1"/>
  <c r="D177" i="24" s="1"/>
  <c r="D178" i="24" s="1"/>
  <c r="D179" i="24" s="1"/>
  <c r="D180" i="24" s="1"/>
  <c r="D181" i="24" s="1"/>
  <c r="D182" i="24" s="1"/>
  <c r="D183" i="24" s="1"/>
  <c r="D184" i="24" s="1"/>
  <c r="D185" i="24" s="1"/>
  <c r="G11" i="88"/>
  <c r="G12" i="88" s="1"/>
  <c r="G13" i="88" s="1"/>
  <c r="G14" i="88" s="1"/>
  <c r="G15" i="88" s="1"/>
  <c r="G16" i="88" s="1"/>
  <c r="G17" i="88" s="1"/>
  <c r="G18" i="88" s="1"/>
  <c r="G19" i="88" s="1"/>
  <c r="G20" i="88" s="1"/>
  <c r="G21" i="88" s="1"/>
  <c r="G22" i="88" s="1"/>
  <c r="G23" i="88" s="1"/>
  <c r="G24" i="88" s="1"/>
  <c r="G25" i="88" s="1"/>
  <c r="G26" i="88" s="1"/>
  <c r="G27" i="88" s="1"/>
  <c r="G28" i="88" s="1"/>
  <c r="G29" i="88" s="1"/>
  <c r="G30" i="88" s="1"/>
  <c r="G31" i="88" s="1"/>
  <c r="G32" i="88" s="1"/>
  <c r="G33" i="88" s="1"/>
  <c r="G34" i="88" s="1"/>
  <c r="G35" i="88" s="1"/>
  <c r="G36" i="88" s="1"/>
  <c r="G37" i="88" s="1"/>
  <c r="G38" i="88" s="1"/>
  <c r="G39" i="88" s="1"/>
  <c r="G40" i="88" s="1"/>
  <c r="G41" i="88" s="1"/>
  <c r="G42" i="88" s="1"/>
  <c r="G43" i="88" s="1"/>
  <c r="G44" i="88" s="1"/>
  <c r="G45" i="88" s="1"/>
  <c r="G46" i="88" s="1"/>
  <c r="G47" i="88" s="1"/>
  <c r="G48" i="88" s="1"/>
  <c r="G49" i="88" s="1"/>
  <c r="G50" i="88" s="1"/>
  <c r="G51" i="88" s="1"/>
  <c r="G52" i="88" s="1"/>
  <c r="G53" i="88" s="1"/>
  <c r="G54" i="88" s="1"/>
  <c r="G55" i="88" s="1"/>
  <c r="G56" i="88" s="1"/>
  <c r="G57" i="88" s="1"/>
  <c r="G58" i="88" s="1"/>
  <c r="G59" i="88" s="1"/>
  <c r="G60" i="88" s="1"/>
  <c r="G61" i="88" s="1"/>
  <c r="G62" i="88" s="1"/>
  <c r="G63" i="88" s="1"/>
  <c r="G64" i="88" s="1"/>
  <c r="G65" i="88" s="1"/>
  <c r="G66" i="88" s="1"/>
  <c r="G67" i="88" s="1"/>
  <c r="G68" i="88" s="1"/>
  <c r="G69" i="88" s="1"/>
  <c r="G70" i="88" s="1"/>
  <c r="G71" i="88" s="1"/>
  <c r="G72" i="88" s="1"/>
  <c r="G73" i="88" s="1"/>
  <c r="G74" i="88" s="1"/>
  <c r="G75" i="88" s="1"/>
  <c r="G76" i="88" s="1"/>
  <c r="G77" i="88" s="1"/>
  <c r="G78" i="88" s="1"/>
  <c r="G79" i="88" s="1"/>
  <c r="G80" i="88" s="1"/>
  <c r="G81" i="88" s="1"/>
  <c r="G82" i="88" s="1"/>
  <c r="G83" i="88" s="1"/>
  <c r="G84" i="88" s="1"/>
  <c r="G85" i="88" s="1"/>
  <c r="G86" i="88" s="1"/>
  <c r="G87" i="88" s="1"/>
  <c r="G88" i="88" s="1"/>
  <c r="G89" i="88" s="1"/>
  <c r="G90" i="88" s="1"/>
  <c r="G91" i="88" s="1"/>
  <c r="G92" i="88" s="1"/>
  <c r="G93" i="88" s="1"/>
  <c r="G94" i="88" s="1"/>
  <c r="G95" i="88" s="1"/>
  <c r="G96" i="88" s="1"/>
  <c r="G97" i="88" s="1"/>
  <c r="G98" i="88" s="1"/>
  <c r="G99" i="88" s="1"/>
  <c r="G100" i="88" s="1"/>
  <c r="G101" i="88" s="1"/>
  <c r="G102" i="88" s="1"/>
  <c r="G103" i="88" s="1"/>
  <c r="G104" i="88" s="1"/>
  <c r="G105" i="88" s="1"/>
  <c r="G106" i="88" s="1"/>
  <c r="G107" i="88" s="1"/>
  <c r="G108" i="88" s="1"/>
  <c r="G109" i="88" s="1"/>
  <c r="G110" i="88" s="1"/>
  <c r="G111" i="88" s="1"/>
  <c r="G112" i="88" s="1"/>
  <c r="G113" i="88" s="1"/>
  <c r="G114" i="88" s="1"/>
  <c r="G115" i="88" s="1"/>
  <c r="G116" i="88" s="1"/>
  <c r="G117" i="88" s="1"/>
  <c r="G118" i="88" s="1"/>
  <c r="G119" i="88" s="1"/>
  <c r="G120" i="88" s="1"/>
  <c r="G121" i="88" s="1"/>
  <c r="G122" i="88" s="1"/>
  <c r="G123" i="88" s="1"/>
  <c r="G124" i="88" s="1"/>
  <c r="G125" i="88" s="1"/>
  <c r="G126" i="88" s="1"/>
  <c r="G127" i="88" s="1"/>
  <c r="G128" i="88" s="1"/>
  <c r="G129" i="88" s="1"/>
  <c r="G130" i="88" s="1"/>
  <c r="G131" i="88" s="1"/>
  <c r="G132" i="88" s="1"/>
  <c r="G133" i="88" s="1"/>
  <c r="G134" i="88" s="1"/>
  <c r="G135" i="88" s="1"/>
  <c r="G136" i="88" s="1"/>
  <c r="G137" i="88" s="1"/>
  <c r="G138" i="88" s="1"/>
  <c r="G139" i="88" s="1"/>
  <c r="G140" i="88" s="1"/>
  <c r="G141" i="88" s="1"/>
  <c r="G142" i="88" s="1"/>
  <c r="G143" i="88" s="1"/>
  <c r="G144" i="88" s="1"/>
  <c r="G145" i="88" s="1"/>
  <c r="G146" i="88" s="1"/>
  <c r="G147" i="88" s="1"/>
  <c r="G148" i="88" s="1"/>
  <c r="G149" i="88" s="1"/>
  <c r="G150" i="88" s="1"/>
  <c r="G151" i="88" s="1"/>
  <c r="G152" i="88" s="1"/>
  <c r="G153" i="88" s="1"/>
  <c r="G154" i="88" s="1"/>
  <c r="G155" i="88" s="1"/>
  <c r="G156" i="88" s="1"/>
  <c r="G157" i="88" s="1"/>
  <c r="G158" i="88" s="1"/>
  <c r="G159" i="88" s="1"/>
  <c r="G160" i="88" s="1"/>
  <c r="G161" i="88" s="1"/>
  <c r="G162" i="88" s="1"/>
  <c r="G163" i="88" s="1"/>
  <c r="G164" i="88" s="1"/>
  <c r="G165" i="88" s="1"/>
  <c r="G166" i="88" s="1"/>
  <c r="G167" i="88" s="1"/>
  <c r="G168" i="88" s="1"/>
  <c r="G169" i="88" s="1"/>
  <c r="G170" i="88" s="1"/>
  <c r="G171" i="88" s="1"/>
  <c r="G172" i="88" s="1"/>
  <c r="G173" i="88" s="1"/>
  <c r="G174" i="88" s="1"/>
  <c r="G175" i="88" s="1"/>
  <c r="G176" i="88" s="1"/>
  <c r="G177" i="88" s="1"/>
  <c r="G178" i="88" s="1"/>
  <c r="G179" i="88" s="1"/>
  <c r="G180" i="88" s="1"/>
  <c r="G181" i="88" s="1"/>
  <c r="G182" i="88" s="1"/>
  <c r="D46" i="47"/>
  <c r="D47" i="47" s="1"/>
  <c r="D48" i="47" s="1"/>
  <c r="D49" i="47" s="1"/>
  <c r="D50" i="47" s="1"/>
  <c r="D51" i="47" s="1"/>
  <c r="D52" i="47" s="1"/>
  <c r="D53" i="47" s="1"/>
  <c r="D54" i="47" s="1"/>
  <c r="D55" i="47" s="1"/>
  <c r="D56" i="47" s="1"/>
  <c r="D57" i="47" s="1"/>
  <c r="D58" i="47" s="1"/>
  <c r="D59" i="47" s="1"/>
  <c r="D60" i="47" s="1"/>
  <c r="D61" i="47" s="1"/>
  <c r="D62" i="47" s="1"/>
  <c r="D63" i="47" s="1"/>
  <c r="D64" i="47" s="1"/>
  <c r="D65" i="47" s="1"/>
  <c r="D66" i="47" s="1"/>
  <c r="D67" i="47" s="1"/>
  <c r="D68" i="47" s="1"/>
  <c r="D69" i="47" s="1"/>
  <c r="D70" i="47" s="1"/>
  <c r="D71" i="47" s="1"/>
  <c r="D72" i="47" s="1"/>
  <c r="D73" i="47" s="1"/>
  <c r="D74" i="47" s="1"/>
  <c r="D75" i="47" s="1"/>
  <c r="D76" i="47" s="1"/>
  <c r="D77" i="47" s="1"/>
  <c r="D78" i="47" s="1"/>
  <c r="D79" i="47" s="1"/>
  <c r="D80" i="47" s="1"/>
  <c r="D81" i="47" s="1"/>
  <c r="D82" i="47" s="1"/>
  <c r="D83" i="47" s="1"/>
  <c r="D84" i="47" s="1"/>
  <c r="D85" i="47" s="1"/>
  <c r="D86" i="47" s="1"/>
  <c r="I11" i="86"/>
  <c r="I12" i="86" s="1"/>
  <c r="I13" i="86" s="1"/>
  <c r="I14" i="86" s="1"/>
  <c r="I15" i="86" s="1"/>
  <c r="I16" i="86" s="1"/>
  <c r="I17" i="86" s="1"/>
  <c r="I18" i="86" s="1"/>
  <c r="I19" i="86" s="1"/>
  <c r="I20" i="86" s="1"/>
  <c r="I21" i="86" s="1"/>
  <c r="I22" i="86" s="1"/>
  <c r="I23" i="86" s="1"/>
  <c r="I24" i="86" s="1"/>
  <c r="I25" i="86" s="1"/>
  <c r="I26" i="86" s="1"/>
  <c r="D73" i="38"/>
  <c r="D74" i="38" s="1"/>
  <c r="D75" i="38" s="1"/>
  <c r="D76" i="38" s="1"/>
  <c r="D77" i="38" s="1"/>
  <c r="D99" i="17"/>
  <c r="D100" i="17" s="1"/>
  <c r="D101" i="17" s="1"/>
  <c r="D102" i="17" s="1"/>
  <c r="D103" i="17" s="1"/>
  <c r="D96" i="27" l="1"/>
  <c r="D97" i="27"/>
  <c r="D98" i="27" s="1"/>
  <c r="D99" i="27" s="1"/>
  <c r="D100" i="27" s="1"/>
  <c r="D141" i="1"/>
  <c r="D142" i="1" s="1"/>
  <c r="D143" i="1" s="1"/>
  <c r="D38" i="47"/>
  <c r="D39" i="47"/>
  <c r="D95" i="17"/>
  <c r="D96" i="17" s="1"/>
  <c r="D97" i="17" s="1"/>
  <c r="D98" i="17" s="1"/>
  <c r="D42" i="9"/>
  <c r="D43" i="9" s="1"/>
  <c r="D44" i="9" s="1"/>
  <c r="D45" i="9" s="1"/>
  <c r="D46" i="9" s="1"/>
  <c r="D47" i="9" s="1"/>
  <c r="D48" i="9" s="1"/>
  <c r="G25" i="78"/>
  <c r="G26" i="78" s="1"/>
  <c r="G27" i="78" s="1"/>
  <c r="G28" i="78" s="1"/>
  <c r="G29" i="78" s="1"/>
  <c r="G30" i="78" s="1"/>
  <c r="G31" i="78" s="1"/>
  <c r="G32" i="78" s="1"/>
  <c r="G33" i="78" s="1"/>
  <c r="G34" i="78" s="1"/>
  <c r="G35" i="78" s="1"/>
  <c r="G36" i="78" s="1"/>
  <c r="D50" i="40"/>
  <c r="D51" i="40" s="1"/>
  <c r="D52" i="40" s="1"/>
  <c r="D53" i="40" s="1"/>
  <c r="D54" i="40" s="1"/>
  <c r="D55" i="40" s="1"/>
  <c r="D71" i="38"/>
  <c r="D72" i="38" s="1"/>
  <c r="D65" i="29"/>
  <c r="D66" i="29" s="1"/>
  <c r="D67" i="29" s="1"/>
  <c r="D68" i="29" s="1"/>
  <c r="I9" i="85"/>
  <c r="I10" i="85" s="1"/>
  <c r="I11" i="85" s="1"/>
  <c r="I12" i="85" s="1"/>
  <c r="I13" i="85" s="1"/>
  <c r="I14" i="85" s="1"/>
  <c r="I15" i="85" s="1"/>
  <c r="I16" i="85" s="1"/>
  <c r="I17" i="85" s="1"/>
  <c r="I18" i="85" s="1"/>
  <c r="I19" i="85" s="1"/>
  <c r="I20" i="85" s="1"/>
  <c r="D90" i="16"/>
  <c r="D91" i="16" s="1"/>
  <c r="D92" i="16" s="1"/>
  <c r="D93" i="16" s="1"/>
  <c r="D94" i="16" s="1"/>
  <c r="D95" i="16" s="1"/>
  <c r="D96" i="16" s="1"/>
  <c r="D97" i="16" s="1"/>
  <c r="I21" i="85" l="1"/>
  <c r="I22" i="85" s="1"/>
  <c r="I23" i="85" s="1"/>
  <c r="I24" i="85" s="1"/>
  <c r="I25" i="85" s="1"/>
  <c r="I26" i="85" s="1"/>
  <c r="I27" i="85" s="1"/>
  <c r="I35" i="85" s="1"/>
  <c r="I36" i="85" s="1"/>
  <c r="D90" i="27"/>
  <c r="D91" i="27" s="1"/>
  <c r="D92" i="27" s="1"/>
  <c r="D93" i="27" s="1"/>
  <c r="D94" i="27" s="1"/>
  <c r="D95" i="27" s="1"/>
  <c r="H42" i="70" l="1"/>
  <c r="H43" i="70"/>
  <c r="H44" i="70" s="1"/>
  <c r="D108" i="15"/>
  <c r="D109" i="15" s="1"/>
  <c r="D110" i="15" s="1"/>
  <c r="D111" i="15" s="1"/>
  <c r="D112" i="15" s="1"/>
  <c r="D113" i="15" s="1"/>
  <c r="D119" i="19"/>
  <c r="D120" i="19"/>
  <c r="D121" i="19" s="1"/>
  <c r="D122" i="19" s="1"/>
  <c r="D123" i="19" s="1"/>
  <c r="D124" i="19" s="1"/>
  <c r="D125" i="19" s="1"/>
  <c r="D126" i="19" s="1"/>
  <c r="D127" i="19" s="1"/>
  <c r="D128" i="19" s="1"/>
  <c r="D129" i="19" s="1"/>
  <c r="D130" i="19" s="1"/>
  <c r="D131" i="19" s="1"/>
  <c r="D105" i="15"/>
  <c r="D106" i="15"/>
  <c r="D107" i="15"/>
  <c r="H96" i="84"/>
  <c r="H97" i="84" s="1"/>
  <c r="H98" i="84" s="1"/>
  <c r="D44" i="40"/>
  <c r="D45" i="40" s="1"/>
  <c r="D46" i="40" s="1"/>
  <c r="D47" i="40" s="1"/>
  <c r="D48" i="40" s="1"/>
  <c r="D49" i="40" s="1"/>
  <c r="D87" i="27"/>
  <c r="D88" i="27" s="1"/>
  <c r="D89" i="27" s="1"/>
  <c r="H7" i="84"/>
  <c r="H8" i="84" s="1"/>
  <c r="H9" i="84" s="1"/>
  <c r="H10" i="84" s="1"/>
  <c r="H11" i="84" s="1"/>
  <c r="H12" i="84" s="1"/>
  <c r="H13" i="84" s="1"/>
  <c r="H14" i="84" s="1"/>
  <c r="H15" i="84" s="1"/>
  <c r="H16" i="84" s="1"/>
  <c r="H17" i="84" s="1"/>
  <c r="H18" i="84" s="1"/>
  <c r="H19" i="84" s="1"/>
  <c r="H20" i="84" s="1"/>
  <c r="H21" i="84" s="1"/>
  <c r="H22" i="84" s="1"/>
  <c r="H23" i="84" s="1"/>
  <c r="H24" i="84" s="1"/>
  <c r="H25" i="84" s="1"/>
  <c r="H26" i="84" s="1"/>
  <c r="H27" i="84" s="1"/>
  <c r="H28" i="84" s="1"/>
  <c r="H29" i="84" s="1"/>
  <c r="H30" i="84" s="1"/>
  <c r="H31" i="84" s="1"/>
  <c r="H32" i="84" s="1"/>
  <c r="H33" i="84" s="1"/>
  <c r="H34" i="84" s="1"/>
  <c r="H35" i="84" s="1"/>
  <c r="H36" i="84" s="1"/>
  <c r="H37" i="84" s="1"/>
  <c r="H38" i="84" s="1"/>
  <c r="H39" i="84" s="1"/>
  <c r="H40" i="84" s="1"/>
  <c r="H41" i="84" s="1"/>
  <c r="H42" i="84" s="1"/>
  <c r="H43" i="84" s="1"/>
  <c r="H44" i="84" s="1"/>
  <c r="H45" i="84" s="1"/>
  <c r="H46" i="84" s="1"/>
  <c r="H47" i="84" s="1"/>
  <c r="H48" i="84" s="1"/>
  <c r="H49" i="84" s="1"/>
  <c r="H50" i="84" s="1"/>
  <c r="H51" i="84" s="1"/>
  <c r="H52" i="84" s="1"/>
  <c r="H53" i="84" s="1"/>
  <c r="H54" i="84" s="1"/>
  <c r="H55" i="84" s="1"/>
  <c r="H56" i="84" s="1"/>
  <c r="H57" i="84" s="1"/>
  <c r="H58" i="84" s="1"/>
  <c r="H59" i="84" s="1"/>
  <c r="H60" i="84" s="1"/>
  <c r="H61" i="84" s="1"/>
  <c r="H62" i="84" s="1"/>
  <c r="H63" i="84" s="1"/>
  <c r="H64" i="84" s="1"/>
  <c r="H65" i="84" s="1"/>
  <c r="H66" i="84" s="1"/>
  <c r="H67" i="84" s="1"/>
  <c r="H68" i="84" s="1"/>
  <c r="H69" i="84" s="1"/>
  <c r="H70" i="84" s="1"/>
  <c r="H71" i="84" s="1"/>
  <c r="H72" i="84" s="1"/>
  <c r="H73" i="84" s="1"/>
  <c r="H74" i="84" s="1"/>
  <c r="H75" i="84" s="1"/>
  <c r="H76" i="84" s="1"/>
  <c r="H77" i="84" s="1"/>
  <c r="H78" i="84" s="1"/>
  <c r="H79" i="84" s="1"/>
  <c r="H80" i="84" s="1"/>
  <c r="H81" i="84" s="1"/>
  <c r="H82" i="84" s="1"/>
  <c r="H83" i="84" s="1"/>
  <c r="H84" i="84" s="1"/>
  <c r="H85" i="84" s="1"/>
  <c r="H86" i="84" s="1"/>
  <c r="H87" i="84" s="1"/>
  <c r="H88" i="84" s="1"/>
  <c r="H89" i="84" s="1"/>
  <c r="H90" i="84" s="1"/>
  <c r="H91" i="84" s="1"/>
  <c r="H92" i="84" s="1"/>
  <c r="H93" i="84" s="1"/>
  <c r="H94" i="84" s="1"/>
  <c r="H95" i="84" s="1"/>
  <c r="D82" i="27"/>
  <c r="D83" i="27" s="1"/>
  <c r="D84" i="27" s="1"/>
  <c r="D85" i="27" s="1"/>
  <c r="D86" i="27" s="1"/>
  <c r="G13" i="83"/>
  <c r="G14" i="83" s="1"/>
  <c r="G15" i="83" s="1"/>
  <c r="G16" i="83" s="1"/>
  <c r="G17" i="83" s="1"/>
  <c r="G18" i="83" s="1"/>
  <c r="G19" i="83" s="1"/>
  <c r="G20" i="83" s="1"/>
  <c r="G21" i="83" s="1"/>
  <c r="G22" i="83" s="1"/>
  <c r="G23" i="83" s="1"/>
  <c r="G24" i="83" s="1"/>
  <c r="G25" i="83" s="1"/>
  <c r="G26" i="83" s="1"/>
  <c r="G27" i="83" s="1"/>
  <c r="G28" i="83" s="1"/>
  <c r="G29" i="83" s="1"/>
  <c r="G30" i="83" s="1"/>
  <c r="G31" i="83" s="1"/>
  <c r="G32" i="83" s="1"/>
  <c r="G33" i="83" s="1"/>
  <c r="G34" i="83" s="1"/>
  <c r="G35" i="83" s="1"/>
  <c r="G36" i="83" s="1"/>
  <c r="G37" i="83" s="1"/>
  <c r="G38" i="83" s="1"/>
  <c r="G39" i="83" s="1"/>
  <c r="G40" i="83" s="1"/>
  <c r="G41" i="83" s="1"/>
  <c r="G42" i="83" s="1"/>
  <c r="G43" i="83" s="1"/>
  <c r="G44" i="83" s="1"/>
  <c r="G45" i="83" s="1"/>
  <c r="G46" i="83" s="1"/>
  <c r="G47" i="83" s="1"/>
  <c r="G48" i="83" s="1"/>
  <c r="G49" i="83" s="1"/>
  <c r="G50" i="83" s="1"/>
  <c r="G51" i="83" s="1"/>
  <c r="G52" i="83" s="1"/>
  <c r="G53" i="83" s="1"/>
  <c r="G54" i="83" s="1"/>
  <c r="G55" i="83" s="1"/>
  <c r="G56" i="83" s="1"/>
  <c r="G57" i="83" s="1"/>
  <c r="G58" i="83" s="1"/>
  <c r="G59" i="83" s="1"/>
  <c r="G60" i="83" s="1"/>
  <c r="G61" i="83" s="1"/>
  <c r="G62" i="83" s="1"/>
  <c r="G63" i="83" s="1"/>
  <c r="G64" i="83" s="1"/>
  <c r="G65" i="83" s="1"/>
  <c r="G66" i="83" s="1"/>
  <c r="G67" i="83" s="1"/>
  <c r="G68" i="83" s="1"/>
  <c r="G69" i="83" s="1"/>
  <c r="G70" i="83" s="1"/>
  <c r="G71" i="83" s="1"/>
  <c r="G72" i="83" s="1"/>
  <c r="G73" i="83" s="1"/>
  <c r="G74" i="83" s="1"/>
  <c r="G75" i="83" s="1"/>
  <c r="G76" i="83" s="1"/>
  <c r="G77" i="83" s="1"/>
  <c r="G78" i="83" s="1"/>
  <c r="G79" i="83" s="1"/>
  <c r="G80" i="83" s="1"/>
  <c r="G81" i="83" s="1"/>
  <c r="G82" i="83" s="1"/>
  <c r="G83" i="83" s="1"/>
  <c r="G84" i="83" s="1"/>
  <c r="G85" i="83" s="1"/>
  <c r="G86" i="83" s="1"/>
  <c r="G87" i="83" s="1"/>
  <c r="G88" i="83" s="1"/>
  <c r="G89" i="83" s="1"/>
  <c r="G90" i="83" s="1"/>
  <c r="G91" i="83" s="1"/>
  <c r="G92" i="83" s="1"/>
  <c r="G93" i="83" s="1"/>
  <c r="G94" i="83" s="1"/>
  <c r="G95" i="83" s="1"/>
  <c r="G96" i="83" s="1"/>
  <c r="G97" i="83" s="1"/>
  <c r="G98" i="83" s="1"/>
  <c r="G99" i="83" s="1"/>
  <c r="G100" i="83" s="1"/>
  <c r="G101" i="83" s="1"/>
  <c r="G102" i="83" s="1"/>
  <c r="G103" i="83" s="1"/>
  <c r="G104" i="83" s="1"/>
  <c r="G105" i="83" s="1"/>
  <c r="G106" i="83" s="1"/>
  <c r="G107" i="83" s="1"/>
  <c r="G108" i="83" s="1"/>
  <c r="G109" i="83" s="1"/>
  <c r="G110" i="83" s="1"/>
  <c r="G111" i="83" s="1"/>
  <c r="G112" i="83" s="1"/>
  <c r="G113" i="83" s="1"/>
  <c r="G114" i="83" s="1"/>
  <c r="G115" i="83" s="1"/>
  <c r="G116" i="83" s="1"/>
  <c r="G117" i="83" s="1"/>
  <c r="G118" i="83" s="1"/>
  <c r="G119" i="83" s="1"/>
  <c r="G120" i="83" s="1"/>
  <c r="G121" i="83" s="1"/>
  <c r="G122" i="83" s="1"/>
  <c r="G123" i="83" s="1"/>
  <c r="G124" i="83" s="1"/>
  <c r="G125" i="83" s="1"/>
  <c r="G126" i="83" s="1"/>
  <c r="G127" i="83" s="1"/>
  <c r="G128" i="83" s="1"/>
  <c r="G129" i="83" s="1"/>
  <c r="G130" i="83" s="1"/>
  <c r="G131" i="83" s="1"/>
  <c r="H6" i="82"/>
  <c r="H7" i="82" s="1"/>
  <c r="H8" i="82" s="1"/>
  <c r="H9" i="82" s="1"/>
  <c r="H10" i="82" s="1"/>
  <c r="H11" i="82" s="1"/>
  <c r="H12" i="82" s="1"/>
  <c r="H13" i="82" s="1"/>
  <c r="H14" i="82" s="1"/>
  <c r="H15" i="82" s="1"/>
  <c r="H16" i="82" s="1"/>
  <c r="H17" i="82" s="1"/>
  <c r="H18" i="82" s="1"/>
  <c r="H19" i="82" s="1"/>
  <c r="H20" i="82" s="1"/>
  <c r="H21" i="82" s="1"/>
  <c r="H22" i="82" s="1"/>
  <c r="H23" i="82" s="1"/>
  <c r="H24" i="82" s="1"/>
  <c r="H25" i="82" s="1"/>
  <c r="H26" i="82" s="1"/>
  <c r="H27" i="82" s="1"/>
  <c r="H28" i="82" s="1"/>
  <c r="H29" i="82" s="1"/>
  <c r="H30" i="82" s="1"/>
  <c r="H31" i="82" s="1"/>
  <c r="H32" i="82" s="1"/>
  <c r="H33" i="82" s="1"/>
  <c r="H34" i="82" s="1"/>
  <c r="H35" i="82" s="1"/>
  <c r="H36" i="82" s="1"/>
  <c r="H37" i="82" s="1"/>
  <c r="H38" i="82" s="1"/>
  <c r="H39" i="82" s="1"/>
  <c r="H40" i="82" s="1"/>
  <c r="H41" i="82" s="1"/>
  <c r="H42" i="82" s="1"/>
  <c r="H43" i="82" s="1"/>
  <c r="H44" i="82" s="1"/>
  <c r="H45" i="82" s="1"/>
  <c r="H46" i="82" s="1"/>
  <c r="H47" i="82" s="1"/>
  <c r="D61" i="29"/>
  <c r="D62" i="29" s="1"/>
  <c r="D63" i="29" s="1"/>
  <c r="D64" i="29" s="1"/>
  <c r="J9" i="80"/>
  <c r="J10" i="80" s="1"/>
  <c r="J11" i="80" s="1"/>
  <c r="J12" i="80" s="1"/>
  <c r="J13" i="80" s="1"/>
  <c r="J14" i="80" s="1"/>
  <c r="J15" i="80" s="1"/>
  <c r="J16" i="80" s="1"/>
  <c r="J17" i="80" s="1"/>
  <c r="J18" i="80" s="1"/>
  <c r="J19" i="80" s="1"/>
  <c r="J20" i="80" s="1"/>
  <c r="J21" i="80" s="1"/>
  <c r="J22" i="80" s="1"/>
  <c r="J23" i="80" s="1"/>
  <c r="J24" i="80" s="1"/>
  <c r="J25" i="80" s="1"/>
  <c r="J26" i="80" s="1"/>
  <c r="J27" i="80" s="1"/>
  <c r="J28" i="80" s="1"/>
  <c r="J29" i="80" s="1"/>
  <c r="J30" i="80" s="1"/>
  <c r="J31" i="80" s="1"/>
  <c r="J32" i="80" s="1"/>
  <c r="J33" i="80" s="1"/>
  <c r="J34" i="80" s="1"/>
  <c r="J35" i="80" s="1"/>
  <c r="J36" i="80" s="1"/>
  <c r="J37" i="80" s="1"/>
  <c r="J38" i="80" s="1"/>
  <c r="J39" i="80" s="1"/>
  <c r="J40" i="80" s="1"/>
  <c r="J41" i="80" s="1"/>
  <c r="J42" i="80" s="1"/>
  <c r="J43" i="80" s="1"/>
  <c r="J44" i="80" s="1"/>
  <c r="J45" i="80" s="1"/>
  <c r="J46" i="80" s="1"/>
  <c r="J47" i="80" s="1"/>
  <c r="J48" i="80" s="1"/>
  <c r="D30" i="47"/>
  <c r="D31" i="47" s="1"/>
  <c r="D32" i="47" s="1"/>
  <c r="D33" i="47" s="1"/>
  <c r="D34" i="47" s="1"/>
  <c r="D35" i="47" s="1"/>
  <c r="D36" i="47" s="1"/>
  <c r="D37" i="47" s="1"/>
  <c r="D78" i="27"/>
  <c r="D79" i="27" s="1"/>
  <c r="D80" i="27" s="1"/>
  <c r="D81" i="27" s="1"/>
  <c r="D42" i="40"/>
  <c r="D43" i="40" s="1"/>
  <c r="D66" i="38"/>
  <c r="D67" i="38" s="1"/>
  <c r="D68" i="38" s="1"/>
  <c r="D69" i="38" s="1"/>
  <c r="D70" i="38" s="1"/>
  <c r="D82" i="16"/>
  <c r="D83" i="16" s="1"/>
  <c r="D84" i="16" s="1"/>
  <c r="D85" i="16" s="1"/>
  <c r="D86" i="16" s="1"/>
  <c r="D87" i="16" s="1"/>
  <c r="D88" i="16" s="1"/>
  <c r="D89" i="16" s="1"/>
  <c r="D98" i="15"/>
  <c r="D99" i="15" s="1"/>
  <c r="D100" i="15" s="1"/>
  <c r="D101" i="15" s="1"/>
  <c r="D102" i="15" s="1"/>
  <c r="D103" i="15" s="1"/>
  <c r="D104" i="15" s="1"/>
  <c r="D71" i="27"/>
  <c r="D72" i="27" s="1"/>
  <c r="D73" i="27" s="1"/>
  <c r="D74" i="27" s="1"/>
  <c r="D75" i="27" s="1"/>
  <c r="D76" i="27" s="1"/>
  <c r="D77" i="27" s="1"/>
  <c r="D55" i="29"/>
  <c r="D56" i="29"/>
  <c r="D91" i="15"/>
  <c r="D92" i="15" s="1"/>
  <c r="D93" i="15" s="1"/>
  <c r="D94" i="15" s="1"/>
  <c r="D95" i="15" s="1"/>
  <c r="D96" i="15" s="1"/>
  <c r="D97" i="15" s="1"/>
  <c r="D70" i="27"/>
  <c r="D18" i="51"/>
  <c r="D19" i="51" s="1"/>
  <c r="D20" i="51" s="1"/>
  <c r="D21" i="51" s="1"/>
  <c r="J49" i="80" l="1"/>
  <c r="J50" i="80" s="1"/>
  <c r="J51" i="80" s="1"/>
  <c r="J52" i="80" s="1"/>
  <c r="J53" i="80" s="1"/>
  <c r="J54" i="80" s="1"/>
  <c r="J55" i="80" s="1"/>
  <c r="J56" i="80" s="1"/>
  <c r="J57" i="80" s="1"/>
  <c r="H48" i="82"/>
  <c r="H49" i="82" s="1"/>
  <c r="H50" i="82" s="1"/>
  <c r="H51" i="82" s="1"/>
  <c r="H52" i="82" s="1"/>
  <c r="H53" i="82" s="1"/>
  <c r="H54" i="82" s="1"/>
  <c r="H55" i="82" s="1"/>
  <c r="H66" i="82" s="1"/>
  <c r="H67" i="82" s="1"/>
  <c r="H68" i="82" s="1"/>
  <c r="G132" i="83"/>
  <c r="G133" i="83" s="1"/>
  <c r="G134" i="83" s="1"/>
  <c r="D75" i="16"/>
  <c r="D76" i="16"/>
  <c r="D77" i="16"/>
  <c r="D78" i="16" s="1"/>
  <c r="D79" i="16" s="1"/>
  <c r="D80" i="16" s="1"/>
  <c r="D81" i="16" s="1"/>
  <c r="D65" i="27"/>
  <c r="D66" i="27" s="1"/>
  <c r="D67" i="27" s="1"/>
  <c r="D68" i="27" s="1"/>
  <c r="E39" i="79"/>
  <c r="H10" i="59"/>
  <c r="H11" i="59"/>
  <c r="H12" i="59" s="1"/>
  <c r="H13" i="59" s="1"/>
  <c r="H14" i="59" s="1"/>
  <c r="H15" i="59" s="1"/>
  <c r="H16" i="59" s="1"/>
  <c r="H17" i="59" s="1"/>
  <c r="H18" i="59" s="1"/>
  <c r="H8" i="59"/>
  <c r="H9" i="59" s="1"/>
  <c r="D10" i="20"/>
  <c r="D11" i="20" s="1"/>
  <c r="D12" i="20" s="1"/>
  <c r="D13" i="20" s="1"/>
  <c r="D14" i="20" s="1"/>
  <c r="D15" i="20" s="1"/>
  <c r="D16" i="20" s="1"/>
  <c r="D17" i="20" s="1"/>
  <c r="D18" i="20" s="1"/>
  <c r="D19" i="20" s="1"/>
  <c r="D20" i="20" s="1"/>
  <c r="D21" i="20" s="1"/>
  <c r="D22" i="20" s="1"/>
  <c r="D23" i="20" s="1"/>
  <c r="D24" i="20" s="1"/>
  <c r="D25" i="20" s="1"/>
  <c r="D26" i="20" s="1"/>
  <c r="D27" i="20" s="1"/>
  <c r="D28" i="20" s="1"/>
  <c r="D29" i="20" s="1"/>
  <c r="D30" i="20" s="1"/>
  <c r="D31" i="20" s="1"/>
  <c r="D32" i="20" s="1"/>
  <c r="D33" i="20" s="1"/>
  <c r="D34" i="20" s="1"/>
  <c r="D35" i="20" s="1"/>
  <c r="D36" i="20" s="1"/>
  <c r="D37" i="20" s="1"/>
  <c r="D38" i="20" s="1"/>
  <c r="D39" i="20" s="1"/>
  <c r="D40" i="20" s="1"/>
  <c r="D41" i="20" s="1"/>
  <c r="D42" i="20" s="1"/>
  <c r="D43" i="20" s="1"/>
  <c r="D44" i="20" s="1"/>
  <c r="D45" i="20" s="1"/>
  <c r="D46" i="20" s="1"/>
  <c r="D47" i="20" s="1"/>
  <c r="D48" i="20" s="1"/>
  <c r="D49" i="20" s="1"/>
  <c r="D50" i="20" s="1"/>
  <c r="D51" i="20" s="1"/>
  <c r="D52" i="20" s="1"/>
  <c r="D36" i="40"/>
  <c r="D37" i="40"/>
  <c r="D38" i="40" s="1"/>
  <c r="D39" i="40" s="1"/>
  <c r="D40" i="40" s="1"/>
  <c r="D41" i="40" s="1"/>
  <c r="D66" i="16"/>
  <c r="D67" i="16" s="1"/>
  <c r="D68" i="16" s="1"/>
  <c r="D69" i="16" s="1"/>
  <c r="D70" i="16" s="1"/>
  <c r="D71" i="16" s="1"/>
  <c r="D72" i="16" s="1"/>
  <c r="D73" i="16" s="1"/>
  <c r="D74" i="16" s="1"/>
  <c r="D64" i="16"/>
  <c r="D65" i="16" s="1"/>
  <c r="J58" i="80" l="1"/>
  <c r="J59" i="80" s="1"/>
  <c r="J60" i="80" s="1"/>
  <c r="J61" i="80" s="1"/>
  <c r="J62" i="80" s="1"/>
  <c r="J75" i="80" s="1"/>
  <c r="J76" i="80" s="1"/>
  <c r="G135" i="83"/>
  <c r="G136" i="83" s="1"/>
  <c r="G137" i="83" s="1"/>
  <c r="G138" i="83" s="1"/>
  <c r="G139" i="83" s="1"/>
  <c r="G140" i="83" s="1"/>
  <c r="G141" i="83" s="1"/>
  <c r="G142" i="83" s="1"/>
  <c r="G143" i="83" s="1"/>
  <c r="G144" i="83" s="1"/>
  <c r="G145" i="83" s="1"/>
  <c r="G146" i="83" s="1"/>
  <c r="G147" i="83" s="1"/>
  <c r="G148" i="83" s="1"/>
  <c r="G149" i="83" s="1"/>
  <c r="G150" i="83" s="1"/>
  <c r="G151" i="83" s="1"/>
  <c r="G152" i="83" s="1"/>
  <c r="G153" i="83" s="1"/>
  <c r="G154" i="83" s="1"/>
  <c r="G155" i="83" s="1"/>
  <c r="G156" i="83" s="1"/>
  <c r="G157" i="83" s="1"/>
  <c r="D53" i="20"/>
  <c r="D54" i="20" s="1"/>
  <c r="D55" i="20" s="1"/>
  <c r="D56" i="20" s="1"/>
  <c r="D57" i="20" s="1"/>
  <c r="D58" i="20" s="1"/>
  <c r="D59" i="20" s="1"/>
  <c r="D60" i="20" s="1"/>
  <c r="D61" i="20" s="1"/>
  <c r="D62" i="20" s="1"/>
  <c r="D63" i="20" s="1"/>
  <c r="D64" i="20" s="1"/>
  <c r="D65" i="20" s="1"/>
  <c r="D66" i="20" s="1"/>
  <c r="D67" i="20" s="1"/>
  <c r="D68" i="20" s="1"/>
  <c r="D69" i="20" s="1"/>
  <c r="D70" i="20" s="1"/>
  <c r="D71" i="20" s="1"/>
  <c r="D72" i="20" s="1"/>
  <c r="D73" i="20" s="1"/>
  <c r="D74" i="20" s="1"/>
  <c r="D75" i="20" s="1"/>
  <c r="D76" i="20" s="1"/>
  <c r="D77" i="20" s="1"/>
  <c r="D78" i="20" s="1"/>
  <c r="D80" i="20" s="1"/>
  <c r="D81" i="20" s="1"/>
  <c r="D82" i="20" s="1"/>
  <c r="D83" i="20" s="1"/>
  <c r="D84" i="20" s="1"/>
  <c r="D61" i="16"/>
  <c r="D62" i="16" s="1"/>
  <c r="D63" i="16" s="1"/>
  <c r="D59" i="16"/>
  <c r="D60" i="16" s="1"/>
  <c r="D39" i="9"/>
  <c r="D40" i="9" s="1"/>
  <c r="D41" i="9" s="1"/>
  <c r="D46" i="16"/>
  <c r="D47" i="16" s="1"/>
  <c r="D48" i="16" s="1"/>
  <c r="D49" i="16" s="1"/>
  <c r="D50" i="16" s="1"/>
  <c r="D51" i="16" s="1"/>
  <c r="D52" i="16" s="1"/>
  <c r="D53" i="16" s="1"/>
  <c r="D32" i="40"/>
  <c r="D33" i="40" s="1"/>
  <c r="D34" i="40" s="1"/>
  <c r="D35" i="40" s="1"/>
  <c r="G11" i="78"/>
  <c r="G12" i="78" s="1"/>
  <c r="G13" i="78" s="1"/>
  <c r="G14" i="78" s="1"/>
  <c r="G15" i="78" s="1"/>
  <c r="I10" i="77"/>
  <c r="I11" i="77" s="1"/>
  <c r="I12" i="77" s="1"/>
  <c r="I13" i="77" s="1"/>
  <c r="I14" i="77" s="1"/>
  <c r="I15" i="77" s="1"/>
  <c r="I16" i="77" s="1"/>
  <c r="I17" i="77" s="1"/>
  <c r="I18" i="77" s="1"/>
  <c r="I19" i="77" s="1"/>
  <c r="I20" i="77" s="1"/>
  <c r="I21" i="77" s="1"/>
  <c r="I22" i="77" s="1"/>
  <c r="I23" i="77" s="1"/>
  <c r="I24" i="77" s="1"/>
  <c r="I25" i="77" s="1"/>
  <c r="I26" i="77" s="1"/>
  <c r="I27" i="77" s="1"/>
  <c r="I28" i="77" s="1"/>
  <c r="I29" i="77" s="1"/>
  <c r="I30" i="77" s="1"/>
  <c r="I31" i="77" s="1"/>
  <c r="I32" i="77" s="1"/>
  <c r="I33" i="77" s="1"/>
  <c r="I34" i="77" s="1"/>
  <c r="I35" i="77" s="1"/>
  <c r="I36" i="77" s="1"/>
  <c r="I37" i="77" s="1"/>
  <c r="I38" i="77" s="1"/>
  <c r="J9" i="76"/>
  <c r="J10" i="76" s="1"/>
  <c r="J11" i="76" s="1"/>
  <c r="J12" i="76" s="1"/>
  <c r="J13" i="76" s="1"/>
  <c r="J14" i="76" s="1"/>
  <c r="J15" i="76" s="1"/>
  <c r="J16" i="76" s="1"/>
  <c r="J17" i="76" s="1"/>
  <c r="J18" i="76" s="1"/>
  <c r="J19" i="76" s="1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K10" i="74"/>
  <c r="K11" i="74" s="1"/>
  <c r="K12" i="74" s="1"/>
  <c r="K13" i="74" s="1"/>
  <c r="K14" i="74" s="1"/>
  <c r="K15" i="74" s="1"/>
  <c r="K16" i="74" s="1"/>
  <c r="K17" i="74" s="1"/>
  <c r="K18" i="74" s="1"/>
  <c r="K19" i="74" s="1"/>
  <c r="K20" i="74" s="1"/>
  <c r="K21" i="74" l="1"/>
  <c r="K22" i="74" s="1"/>
  <c r="K23" i="74" s="1"/>
  <c r="K24" i="74" s="1"/>
  <c r="K25" i="74" s="1"/>
  <c r="K40" i="74" s="1"/>
  <c r="K41" i="74" s="1"/>
  <c r="K42" i="74" s="1"/>
  <c r="K43" i="74" s="1"/>
  <c r="K44" i="74" s="1"/>
  <c r="G158" i="83"/>
  <c r="G159" i="83" s="1"/>
  <c r="G160" i="83" s="1"/>
  <c r="G161" i="83" s="1"/>
  <c r="G162" i="83" s="1"/>
  <c r="G163" i="83" s="1"/>
  <c r="G164" i="83" s="1"/>
  <c r="G165" i="83" s="1"/>
  <c r="G166" i="83" s="1"/>
  <c r="G167" i="83" s="1"/>
  <c r="G168" i="83" s="1"/>
  <c r="G169" i="83" s="1"/>
  <c r="D85" i="20"/>
  <c r="D86" i="20" s="1"/>
  <c r="D87" i="20" s="1"/>
  <c r="D88" i="20" s="1"/>
  <c r="D89" i="20" s="1"/>
  <c r="D90" i="20" s="1"/>
  <c r="D91" i="20" s="1"/>
  <c r="D92" i="20" s="1"/>
  <c r="D93" i="20" s="1"/>
  <c r="D94" i="20" s="1"/>
  <c r="D95" i="20" s="1"/>
  <c r="D96" i="20" s="1"/>
  <c r="D97" i="20" s="1"/>
  <c r="D98" i="20" s="1"/>
  <c r="D99" i="20" s="1"/>
  <c r="D100" i="20" s="1"/>
  <c r="D101" i="20" s="1"/>
  <c r="D102" i="20" s="1"/>
  <c r="D103" i="20" s="1"/>
  <c r="D104" i="20" s="1"/>
  <c r="D105" i="20" s="1"/>
  <c r="D106" i="20" s="1"/>
  <c r="D107" i="20" s="1"/>
  <c r="D108" i="20" s="1"/>
  <c r="D109" i="20" s="1"/>
  <c r="D110" i="20" s="1"/>
  <c r="D111" i="20" s="1"/>
  <c r="D112" i="20" s="1"/>
  <c r="J32" i="76"/>
  <c r="J33" i="76" s="1"/>
  <c r="J34" i="76" s="1"/>
  <c r="J35" i="76" s="1"/>
  <c r="J36" i="76" s="1"/>
  <c r="J37" i="76" s="1"/>
  <c r="J38" i="76" s="1"/>
  <c r="I39" i="77"/>
  <c r="I40" i="77" s="1"/>
  <c r="I41" i="77" s="1"/>
  <c r="I42" i="77" s="1"/>
  <c r="I43" i="77" s="1"/>
  <c r="I44" i="77" s="1"/>
  <c r="I45" i="77" s="1"/>
  <c r="I46" i="77" s="1"/>
  <c r="I47" i="77" s="1"/>
  <c r="I48" i="77" s="1"/>
  <c r="I49" i="77" s="1"/>
  <c r="I50" i="77" s="1"/>
  <c r="I51" i="77" s="1"/>
  <c r="I52" i="77" s="1"/>
  <c r="I53" i="77" s="1"/>
  <c r="I54" i="77" s="1"/>
  <c r="I55" i="77" s="1"/>
  <c r="I56" i="77" s="1"/>
  <c r="I57" i="77" s="1"/>
  <c r="I58" i="77" s="1"/>
  <c r="I59" i="77" s="1"/>
  <c r="I60" i="77" s="1"/>
  <c r="I61" i="77" s="1"/>
  <c r="I62" i="77" s="1"/>
  <c r="D54" i="16"/>
  <c r="D55" i="16" s="1"/>
  <c r="D56" i="16" s="1"/>
  <c r="D57" i="16" s="1"/>
  <c r="D58" i="16" s="1"/>
  <c r="G16" i="78"/>
  <c r="G17" i="78" s="1"/>
  <c r="G18" i="78" s="1"/>
  <c r="G19" i="78" s="1"/>
  <c r="G20" i="78" s="1"/>
  <c r="D44" i="16"/>
  <c r="D45" i="16" s="1"/>
  <c r="H9" i="70"/>
  <c r="H10" i="70" s="1"/>
  <c r="H11" i="70" s="1"/>
  <c r="H12" i="70" s="1"/>
  <c r="H13" i="70" s="1"/>
  <c r="H14" i="70" s="1"/>
  <c r="H15" i="70" s="1"/>
  <c r="H16" i="70" s="1"/>
  <c r="H17" i="70" s="1"/>
  <c r="H18" i="70" s="1"/>
  <c r="H19" i="70" s="1"/>
  <c r="H20" i="70" s="1"/>
  <c r="H21" i="70" s="1"/>
  <c r="H22" i="70" s="1"/>
  <c r="F8" i="71"/>
  <c r="F9" i="71" s="1"/>
  <c r="F10" i="71" s="1"/>
  <c r="F11" i="71" s="1"/>
  <c r="F12" i="71" s="1"/>
  <c r="F13" i="71" s="1"/>
  <c r="F14" i="71" s="1"/>
  <c r="F15" i="71" s="1"/>
  <c r="F16" i="71" s="1"/>
  <c r="F17" i="71" s="1"/>
  <c r="F18" i="71" s="1"/>
  <c r="F19" i="71" s="1"/>
  <c r="F20" i="71" s="1"/>
  <c r="F21" i="71" s="1"/>
  <c r="F22" i="71" s="1"/>
  <c r="F23" i="71" s="1"/>
  <c r="F24" i="71" s="1"/>
  <c r="F25" i="71" s="1"/>
  <c r="F26" i="71" s="1"/>
  <c r="F27" i="71" s="1"/>
  <c r="F28" i="71" s="1"/>
  <c r="F29" i="71" s="1"/>
  <c r="F30" i="71" s="1"/>
  <c r="F31" i="71" s="1"/>
  <c r="F32" i="71" s="1"/>
  <c r="F33" i="71" s="1"/>
  <c r="F34" i="71" s="1"/>
  <c r="F35" i="71" s="1"/>
  <c r="F36" i="71" s="1"/>
  <c r="F37" i="71" s="1"/>
  <c r="F38" i="71" s="1"/>
  <c r="F39" i="71" s="1"/>
  <c r="F40" i="71" s="1"/>
  <c r="H19" i="59"/>
  <c r="H20" i="59" s="1"/>
  <c r="H21" i="59" s="1"/>
  <c r="H22" i="59" s="1"/>
  <c r="H23" i="59" s="1"/>
  <c r="H9" i="55"/>
  <c r="H10" i="55" s="1"/>
  <c r="H11" i="55" s="1"/>
  <c r="H12" i="55" s="1"/>
  <c r="H13" i="55" s="1"/>
  <c r="H14" i="55" s="1"/>
  <c r="H15" i="55" s="1"/>
  <c r="H16" i="55" s="1"/>
  <c r="H17" i="55" s="1"/>
  <c r="H18" i="55" s="1"/>
  <c r="H19" i="55" s="1"/>
  <c r="G8" i="57"/>
  <c r="G9" i="57" s="1"/>
  <c r="G10" i="57" s="1"/>
  <c r="G11" i="57" s="1"/>
  <c r="G12" i="57" s="1"/>
  <c r="G13" i="57" s="1"/>
  <c r="G14" i="57" s="1"/>
  <c r="G15" i="57" s="1"/>
  <c r="G16" i="57" s="1"/>
  <c r="G17" i="57" s="1"/>
  <c r="G18" i="57" s="1"/>
  <c r="G19" i="57" s="1"/>
  <c r="G20" i="57" s="1"/>
  <c r="G21" i="57" s="1"/>
  <c r="G22" i="57" s="1"/>
  <c r="G23" i="57" s="1"/>
  <c r="D10" i="5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10" i="2"/>
  <c r="D10" i="51"/>
  <c r="D11" i="54"/>
  <c r="D12" i="54"/>
  <c r="D13" i="54"/>
  <c r="D14" i="54"/>
  <c r="D15" i="54" s="1"/>
  <c r="D10" i="54"/>
  <c r="D11" i="49"/>
  <c r="D10" i="49"/>
  <c r="D22" i="44"/>
  <c r="D17" i="47"/>
  <c r="D16" i="47"/>
  <c r="D12" i="47"/>
  <c r="D11" i="47"/>
  <c r="D10" i="47"/>
  <c r="D15" i="47"/>
  <c r="D37" i="39"/>
  <c r="D38" i="39"/>
  <c r="D39" i="39" s="1"/>
  <c r="D40" i="39" s="1"/>
  <c r="D41" i="39" s="1"/>
  <c r="D42" i="39" s="1"/>
  <c r="D43" i="39" s="1"/>
  <c r="D44" i="39" s="1"/>
  <c r="D45" i="39" s="1"/>
  <c r="D46" i="39" s="1"/>
  <c r="D47" i="39" s="1"/>
  <c r="D48" i="39" s="1"/>
  <c r="D49" i="39" s="1"/>
  <c r="D50" i="39" s="1"/>
  <c r="D51" i="39" s="1"/>
  <c r="D52" i="39" s="1"/>
  <c r="D53" i="39" s="1"/>
  <c r="D54" i="39" s="1"/>
  <c r="D55" i="39" s="1"/>
  <c r="D56" i="39" s="1"/>
  <c r="D57" i="39" s="1"/>
  <c r="D58" i="39" s="1"/>
  <c r="D59" i="39" s="1"/>
  <c r="D60" i="39" s="1"/>
  <c r="D61" i="39" s="1"/>
  <c r="D62" i="39" s="1"/>
  <c r="D63" i="39" s="1"/>
  <c r="D64" i="39" s="1"/>
  <c r="D65" i="39" s="1"/>
  <c r="D66" i="39" s="1"/>
  <c r="D67" i="39" s="1"/>
  <c r="D68" i="39" s="1"/>
  <c r="D69" i="39" s="1"/>
  <c r="D70" i="39" s="1"/>
  <c r="D71" i="39" s="1"/>
  <c r="D72" i="39" s="1"/>
  <c r="D73" i="39" s="1"/>
  <c r="D74" i="39" s="1"/>
  <c r="D75" i="39" s="1"/>
  <c r="D76" i="39" s="1"/>
  <c r="D77" i="39" s="1"/>
  <c r="D78" i="39" s="1"/>
  <c r="D79" i="39" s="1"/>
  <c r="D80" i="39" s="1"/>
  <c r="D81" i="39" s="1"/>
  <c r="D82" i="39" s="1"/>
  <c r="D35" i="39"/>
  <c r="D36" i="39"/>
  <c r="D35" i="16"/>
  <c r="D36" i="16" s="1"/>
  <c r="D37" i="16" s="1"/>
  <c r="D38" i="16" s="1"/>
  <c r="D39" i="16" s="1"/>
  <c r="D40" i="16" s="1"/>
  <c r="D41" i="16" s="1"/>
  <c r="D13" i="53"/>
  <c r="D12" i="53"/>
  <c r="D15" i="53"/>
  <c r="D16" i="53" s="1"/>
  <c r="D17" i="53" s="1"/>
  <c r="D18" i="53" s="1"/>
  <c r="D19" i="53" s="1"/>
  <c r="D20" i="53" s="1"/>
  <c r="D21" i="53" s="1"/>
  <c r="D22" i="53" s="1"/>
  <c r="D23" i="53" s="1"/>
  <c r="D24" i="53" s="1"/>
  <c r="D25" i="53" s="1"/>
  <c r="D26" i="53" s="1"/>
  <c r="D27" i="53" s="1"/>
  <c r="D28" i="53" s="1"/>
  <c r="D29" i="53" s="1"/>
  <c r="D30" i="53" s="1"/>
  <c r="D31" i="53" s="1"/>
  <c r="D32" i="53" s="1"/>
  <c r="D33" i="53" s="1"/>
  <c r="D34" i="53" s="1"/>
  <c r="D35" i="53" s="1"/>
  <c r="D36" i="53" s="1"/>
  <c r="D37" i="53" s="1"/>
  <c r="D38" i="53" s="1"/>
  <c r="D39" i="53" s="1"/>
  <c r="D40" i="53" s="1"/>
  <c r="D41" i="53" s="1"/>
  <c r="D42" i="53" s="1"/>
  <c r="D43" i="53" s="1"/>
  <c r="D44" i="53" s="1"/>
  <c r="D45" i="53" s="1"/>
  <c r="D46" i="53" s="1"/>
  <c r="D47" i="53" s="1"/>
  <c r="D48" i="53" s="1"/>
  <c r="D49" i="53" s="1"/>
  <c r="D50" i="53" s="1"/>
  <c r="D51" i="53" s="1"/>
  <c r="D52" i="53" s="1"/>
  <c r="D53" i="53" s="1"/>
  <c r="D54" i="53" s="1"/>
  <c r="D55" i="53" s="1"/>
  <c r="D56" i="53" s="1"/>
  <c r="D57" i="53" s="1"/>
  <c r="D58" i="53" s="1"/>
  <c r="D59" i="53" s="1"/>
  <c r="D60" i="53" s="1"/>
  <c r="D61" i="53" s="1"/>
  <c r="D62" i="53" s="1"/>
  <c r="D63" i="53" s="1"/>
  <c r="D64" i="53" s="1"/>
  <c r="D65" i="53" s="1"/>
  <c r="D66" i="53" s="1"/>
  <c r="D67" i="53" s="1"/>
  <c r="D68" i="53" s="1"/>
  <c r="D69" i="53" s="1"/>
  <c r="D70" i="53" s="1"/>
  <c r="D71" i="53" s="1"/>
  <c r="D72" i="53" s="1"/>
  <c r="D73" i="53" s="1"/>
  <c r="D74" i="53" s="1"/>
  <c r="D75" i="53" s="1"/>
  <c r="D76" i="53" s="1"/>
  <c r="D77" i="53" s="1"/>
  <c r="D78" i="53" s="1"/>
  <c r="D79" i="53" s="1"/>
  <c r="D80" i="53" s="1"/>
  <c r="D81" i="53" s="1"/>
  <c r="D82" i="53" s="1"/>
  <c r="D83" i="53" s="1"/>
  <c r="D84" i="53" s="1"/>
  <c r="D85" i="53" s="1"/>
  <c r="D86" i="53" s="1"/>
  <c r="D87" i="53" s="1"/>
  <c r="D88" i="53" s="1"/>
  <c r="D89" i="53" s="1"/>
  <c r="D90" i="53" s="1"/>
  <c r="D91" i="53" s="1"/>
  <c r="D92" i="53" s="1"/>
  <c r="D93" i="53" s="1"/>
  <c r="D94" i="53" s="1"/>
  <c r="D95" i="53" s="1"/>
  <c r="D96" i="53" s="1"/>
  <c r="D97" i="53" s="1"/>
  <c r="D98" i="53" s="1"/>
  <c r="D99" i="53" s="1"/>
  <c r="D100" i="53" s="1"/>
  <c r="D101" i="53" s="1"/>
  <c r="D102" i="53" s="1"/>
  <c r="D103" i="53" s="1"/>
  <c r="D104" i="53" s="1"/>
  <c r="D105" i="53" s="1"/>
  <c r="D106" i="53" s="1"/>
  <c r="D107" i="53" s="1"/>
  <c r="D108" i="53" s="1"/>
  <c r="D11" i="53"/>
  <c r="I63" i="77" l="1"/>
  <c r="I64" i="77" s="1"/>
  <c r="I65" i="77" s="1"/>
  <c r="I66" i="77" s="1"/>
  <c r="I74" i="77" s="1"/>
  <c r="I75" i="77" s="1"/>
  <c r="D109" i="53"/>
  <c r="D110" i="53" s="1"/>
  <c r="D111" i="53" s="1"/>
  <c r="D112" i="53" s="1"/>
  <c r="D113" i="53" s="1"/>
  <c r="D114" i="53" s="1"/>
  <c r="D115" i="53" s="1"/>
  <c r="D116" i="53" s="1"/>
  <c r="D117" i="53" s="1"/>
  <c r="D118" i="53" s="1"/>
  <c r="D119" i="53" s="1"/>
  <c r="D120" i="53" s="1"/>
  <c r="D121" i="53" s="1"/>
  <c r="D122" i="53" s="1"/>
  <c r="D123" i="53" s="1"/>
  <c r="D124" i="53" s="1"/>
  <c r="D125" i="53" s="1"/>
  <c r="D126" i="53" s="1"/>
  <c r="D127" i="53" s="1"/>
  <c r="D128" i="53" s="1"/>
  <c r="D130" i="53" s="1"/>
  <c r="D131" i="53" s="1"/>
  <c r="D132" i="53" s="1"/>
  <c r="D133" i="53" s="1"/>
  <c r="D134" i="53" s="1"/>
  <c r="D135" i="53" s="1"/>
  <c r="D136" i="53" s="1"/>
  <c r="D137" i="53" s="1"/>
  <c r="D138" i="53" s="1"/>
  <c r="D139" i="53" s="1"/>
  <c r="D140" i="53" s="1"/>
  <c r="D141" i="53" s="1"/>
  <c r="D142" i="53" s="1"/>
  <c r="D143" i="53" s="1"/>
  <c r="D144" i="53" s="1"/>
  <c r="D145" i="53" s="1"/>
  <c r="D146" i="53" s="1"/>
  <c r="D147" i="53" s="1"/>
  <c r="D148" i="53" s="1"/>
  <c r="D149" i="53" s="1"/>
  <c r="D155" i="53" s="1"/>
  <c r="J39" i="76"/>
  <c r="J40" i="76" s="1"/>
  <c r="J41" i="76" s="1"/>
  <c r="J42" i="76" s="1"/>
  <c r="J43" i="76" s="1"/>
  <c r="J44" i="76" s="1"/>
  <c r="J45" i="76" s="1"/>
  <c r="J46" i="76" s="1"/>
  <c r="J47" i="76" s="1"/>
  <c r="J48" i="76" s="1"/>
  <c r="J49" i="76" s="1"/>
  <c r="J61" i="76" s="1"/>
  <c r="J62" i="76" s="1"/>
  <c r="D179" i="20"/>
  <c r="G21" i="78"/>
  <c r="G22" i="78" s="1"/>
  <c r="G23" i="78" s="1"/>
  <c r="G24" i="78" s="1"/>
  <c r="H23" i="70"/>
  <c r="H24" i="70" s="1"/>
  <c r="H25" i="70" s="1"/>
  <c r="H26" i="70" s="1"/>
  <c r="H27" i="70" s="1"/>
  <c r="H28" i="70" s="1"/>
  <c r="H29" i="70" s="1"/>
  <c r="H30" i="70" s="1"/>
  <c r="H31" i="70" s="1"/>
  <c r="H32" i="70" s="1"/>
  <c r="H33" i="70" s="1"/>
  <c r="H34" i="70" s="1"/>
  <c r="H35" i="70" s="1"/>
  <c r="H36" i="70" s="1"/>
  <c r="H37" i="70" s="1"/>
  <c r="H38" i="70" s="1"/>
  <c r="H39" i="70" s="1"/>
  <c r="H40" i="70" s="1"/>
  <c r="H41" i="70" s="1"/>
  <c r="H45" i="70" s="1"/>
  <c r="H46" i="70" s="1"/>
  <c r="H47" i="70" s="1"/>
  <c r="H48" i="70" s="1"/>
  <c r="H49" i="70" s="1"/>
  <c r="H50" i="70" s="1"/>
  <c r="H51" i="70" s="1"/>
  <c r="H52" i="70" s="1"/>
  <c r="H53" i="70" s="1"/>
  <c r="F41" i="71"/>
  <c r="F42" i="71" s="1"/>
  <c r="F43" i="71" s="1"/>
  <c r="F44" i="71" s="1"/>
  <c r="F45" i="71" s="1"/>
  <c r="F46" i="71" s="1"/>
  <c r="F47" i="71" s="1"/>
  <c r="F48" i="71" s="1"/>
  <c r="D11" i="51"/>
  <c r="D12" i="51" s="1"/>
  <c r="D13" i="51" s="1"/>
  <c r="D14" i="51" s="1"/>
  <c r="D15" i="51" s="1"/>
  <c r="D16" i="51" s="1"/>
  <c r="D17" i="51" s="1"/>
  <c r="D22" i="51" s="1"/>
  <c r="D23" i="51" s="1"/>
  <c r="D24" i="51" s="1"/>
  <c r="D25" i="51" s="1"/>
  <c r="D26" i="51" s="1"/>
  <c r="D27" i="51" s="1"/>
  <c r="D28" i="51" s="1"/>
  <c r="D29" i="51" s="1"/>
  <c r="D30" i="51" s="1"/>
  <c r="D31" i="51" s="1"/>
  <c r="D32" i="51" s="1"/>
  <c r="D66" i="5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83" i="39"/>
  <c r="D84" i="39" s="1"/>
  <c r="D85" i="39" s="1"/>
  <c r="D86" i="39" s="1"/>
  <c r="D87" i="39" s="1"/>
  <c r="D88" i="39" s="1"/>
  <c r="D89" i="39" s="1"/>
  <c r="D90" i="39" s="1"/>
  <c r="D91" i="39" s="1"/>
  <c r="D92" i="39" s="1"/>
  <c r="D93" i="39" s="1"/>
  <c r="D94" i="39" s="1"/>
  <c r="D95" i="39" s="1"/>
  <c r="D16" i="54"/>
  <c r="D17" i="54" s="1"/>
  <c r="D18" i="54" s="1"/>
  <c r="D19" i="54" s="1"/>
  <c r="D20" i="54" s="1"/>
  <c r="H20" i="55"/>
  <c r="H21" i="55" s="1"/>
  <c r="H22" i="55" s="1"/>
  <c r="H23" i="55" s="1"/>
  <c r="H24" i="55" s="1"/>
  <c r="H25" i="55" s="1"/>
  <c r="H26" i="55" s="1"/>
  <c r="H27" i="55" s="1"/>
  <c r="H28" i="55" s="1"/>
  <c r="H29" i="55" s="1"/>
  <c r="H30" i="55" s="1"/>
  <c r="H31" i="55" s="1"/>
  <c r="H32" i="55" s="1"/>
  <c r="H33" i="55" s="1"/>
  <c r="H34" i="55" s="1"/>
  <c r="H35" i="55" s="1"/>
  <c r="H36" i="55" s="1"/>
  <c r="H37" i="55" s="1"/>
  <c r="H38" i="55" s="1"/>
  <c r="H39" i="55" s="1"/>
  <c r="H40" i="55" s="1"/>
  <c r="H41" i="55" s="1"/>
  <c r="H42" i="55" s="1"/>
  <c r="H43" i="55" s="1"/>
  <c r="F49" i="71" l="1"/>
  <c r="F50" i="71" s="1"/>
  <c r="F51" i="71" s="1"/>
  <c r="F52" i="71" s="1"/>
  <c r="F53" i="71" s="1"/>
  <c r="F54" i="71" s="1"/>
  <c r="D91" i="5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96" i="39"/>
  <c r="D97" i="39" s="1"/>
  <c r="D98" i="39" s="1"/>
  <c r="D99" i="39" s="1"/>
  <c r="D100" i="39" s="1"/>
  <c r="D101" i="39" s="1"/>
  <c r="D102" i="39" s="1"/>
  <c r="D103" i="39" s="1"/>
  <c r="D104" i="39" s="1"/>
  <c r="D105" i="39" s="1"/>
  <c r="D106" i="39" s="1"/>
  <c r="D107" i="39" s="1"/>
  <c r="D108" i="39" s="1"/>
  <c r="D109" i="39" s="1"/>
  <c r="D110" i="39" s="1"/>
  <c r="D111" i="39" s="1"/>
  <c r="D112" i="39" s="1"/>
  <c r="D113" i="39" s="1"/>
  <c r="D114" i="39" s="1"/>
  <c r="D115" i="39" s="1"/>
  <c r="D116" i="39" s="1"/>
  <c r="D117" i="39" s="1"/>
  <c r="D118" i="39" s="1"/>
  <c r="D119" i="39" s="1"/>
  <c r="D120" i="39" s="1"/>
  <c r="D121" i="39" s="1"/>
  <c r="D122" i="39" s="1"/>
  <c r="D123" i="39" s="1"/>
  <c r="D124" i="39" s="1"/>
  <c r="D125" i="39" s="1"/>
  <c r="D126" i="39" s="1"/>
  <c r="D127" i="39" s="1"/>
  <c r="D128" i="39" s="1"/>
  <c r="D129" i="39" s="1"/>
  <c r="D130" i="39" s="1"/>
  <c r="D131" i="39" s="1"/>
  <c r="D132" i="39" s="1"/>
  <c r="D133" i="39" s="1"/>
  <c r="D134" i="39" s="1"/>
  <c r="D135" i="39" s="1"/>
  <c r="D136" i="39" s="1"/>
  <c r="D137" i="39" s="1"/>
  <c r="D138" i="39" s="1"/>
  <c r="D139" i="39" s="1"/>
  <c r="D140" i="39" s="1"/>
  <c r="D141" i="39" s="1"/>
  <c r="D142" i="39" s="1"/>
  <c r="D143" i="39" s="1"/>
  <c r="D144" i="39" s="1"/>
  <c r="D145" i="39" s="1"/>
  <c r="D146" i="39" s="1"/>
  <c r="D147" i="39" s="1"/>
  <c r="D148" i="39" s="1"/>
  <c r="D149" i="39" s="1"/>
  <c r="D150" i="39" s="1"/>
  <c r="D151" i="39" s="1"/>
  <c r="D152" i="39" s="1"/>
  <c r="D153" i="39" s="1"/>
  <c r="D154" i="39" s="1"/>
  <c r="D155" i="39" s="1"/>
  <c r="D156" i="39" s="1"/>
  <c r="D157" i="39" s="1"/>
  <c r="D158" i="39" s="1"/>
  <c r="D159" i="39" s="1"/>
  <c r="D160" i="39" s="1"/>
  <c r="D161" i="39" s="1"/>
  <c r="D162" i="39" s="1"/>
  <c r="D163" i="39" s="1"/>
  <c r="D164" i="39" s="1"/>
  <c r="D165" i="39" s="1"/>
  <c r="D166" i="39" s="1"/>
  <c r="D167" i="39" s="1"/>
  <c r="D168" i="39" s="1"/>
  <c r="D169" i="39" s="1"/>
  <c r="D170" i="39" s="1"/>
  <c r="D171" i="39" s="1"/>
  <c r="D172" i="39" s="1"/>
  <c r="D173" i="39" s="1"/>
  <c r="D174" i="39" s="1"/>
  <c r="D175" i="39" s="1"/>
  <c r="D176" i="39" s="1"/>
  <c r="D177" i="39" s="1"/>
  <c r="D178" i="39" s="1"/>
  <c r="D179" i="39" s="1"/>
  <c r="D180" i="39" s="1"/>
  <c r="D181" i="39" s="1"/>
  <c r="D182" i="39" s="1"/>
  <c r="D183" i="39" s="1"/>
  <c r="D184" i="39" s="1"/>
  <c r="D21" i="54"/>
  <c r="D22" i="54" s="1"/>
  <c r="D23" i="54" s="1"/>
  <c r="D24" i="54" s="1"/>
  <c r="D25" i="54" s="1"/>
  <c r="D26" i="54" s="1"/>
  <c r="D27" i="54" s="1"/>
  <c r="D28" i="54" s="1"/>
  <c r="D29" i="54" s="1"/>
  <c r="D30" i="54" s="1"/>
  <c r="D31" i="54" s="1"/>
  <c r="D32" i="54" s="1"/>
  <c r="H44" i="55"/>
  <c r="H45" i="55" s="1"/>
  <c r="H46" i="55" s="1"/>
  <c r="H47" i="55" s="1"/>
  <c r="H48" i="55" s="1"/>
  <c r="H49" i="55" s="1"/>
  <c r="H50" i="55" s="1"/>
  <c r="H51" i="55" s="1"/>
  <c r="H52" i="55" s="1"/>
  <c r="H53" i="55" s="1"/>
  <c r="H54" i="55" s="1"/>
  <c r="H55" i="55" s="1"/>
  <c r="H56" i="55" s="1"/>
  <c r="H57" i="55" s="1"/>
  <c r="H58" i="55" s="1"/>
  <c r="H59" i="55" s="1"/>
  <c r="D10" i="53"/>
  <c r="D18" i="44"/>
  <c r="D19" i="44" s="1"/>
  <c r="D185" i="39" l="1"/>
  <c r="D186" i="39" s="1"/>
  <c r="D187" i="39" s="1"/>
  <c r="D188" i="39" s="1"/>
  <c r="D189" i="39" s="1"/>
  <c r="D204" i="39" s="1"/>
  <c r="D33" i="54"/>
  <c r="D34" i="54" s="1"/>
  <c r="D35" i="54" s="1"/>
  <c r="D36" i="54" s="1"/>
  <c r="D37" i="54" s="1"/>
  <c r="D38" i="54" s="1"/>
  <c r="D39" i="54" s="1"/>
  <c r="D40" i="54" s="1"/>
  <c r="D41" i="54" s="1"/>
  <c r="D42" i="54" s="1"/>
  <c r="D43" i="54" s="1"/>
  <c r="D44" i="54" s="1"/>
  <c r="D45" i="54" s="1"/>
  <c r="D46" i="54" s="1"/>
  <c r="D47" i="54" s="1"/>
  <c r="D48" i="54" s="1"/>
  <c r="D49" i="54" s="1"/>
  <c r="D50" i="54" s="1"/>
  <c r="D51" i="54" s="1"/>
  <c r="D52" i="54" s="1"/>
  <c r="D53" i="54" s="1"/>
  <c r="D54" i="54" s="1"/>
  <c r="D55" i="54" s="1"/>
  <c r="D56" i="54" s="1"/>
  <c r="D57" i="54" s="1"/>
  <c r="D58" i="54" s="1"/>
  <c r="D114" i="5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F55" i="71"/>
  <c r="F56" i="71" s="1"/>
  <c r="F57" i="71" s="1"/>
  <c r="F58" i="71" s="1"/>
  <c r="F59" i="71" s="1"/>
  <c r="H60" i="55"/>
  <c r="H61" i="55" s="1"/>
  <c r="H62" i="55" s="1"/>
  <c r="H63" i="55" s="1"/>
  <c r="H64" i="55" s="1"/>
  <c r="H65" i="55" s="1"/>
  <c r="H66" i="55" s="1"/>
  <c r="H67" i="55" s="1"/>
  <c r="H68" i="55" s="1"/>
  <c r="H69" i="55" s="1"/>
  <c r="H70" i="55" s="1"/>
  <c r="D12" i="49"/>
  <c r="D13" i="49" s="1"/>
  <c r="D14" i="49" s="1"/>
  <c r="D15" i="49" s="1"/>
  <c r="D16" i="49" s="1"/>
  <c r="D17" i="49" s="1"/>
  <c r="D18" i="49" s="1"/>
  <c r="D19" i="49" s="1"/>
  <c r="D20" i="49" s="1"/>
  <c r="D21" i="49" s="1"/>
  <c r="D22" i="49" s="1"/>
  <c r="D23" i="49" s="1"/>
  <c r="D24" i="49" s="1"/>
  <c r="D25" i="49" s="1"/>
  <c r="D26" i="49" s="1"/>
  <c r="D27" i="49" s="1"/>
  <c r="D28" i="49" s="1"/>
  <c r="D29" i="49" s="1"/>
  <c r="D30" i="49" s="1"/>
  <c r="D31" i="49" s="1"/>
  <c r="D32" i="49" s="1"/>
  <c r="D59" i="54" l="1"/>
  <c r="D60" i="54" s="1"/>
  <c r="D61" i="54" s="1"/>
  <c r="D62" i="54" s="1"/>
  <c r="D63" i="54" s="1"/>
  <c r="D64" i="54" s="1"/>
  <c r="D65" i="54" s="1"/>
  <c r="D66" i="54" s="1"/>
  <c r="D67" i="54" s="1"/>
  <c r="D69" i="54" s="1"/>
  <c r="D70" i="54" s="1"/>
  <c r="D71" i="54" s="1"/>
  <c r="D72" i="54" s="1"/>
  <c r="D73" i="54" s="1"/>
  <c r="D74" i="54" s="1"/>
  <c r="D75" i="54" s="1"/>
  <c r="D76" i="54" s="1"/>
  <c r="D77" i="54" s="1"/>
  <c r="D78" i="54" s="1"/>
  <c r="D79" i="54" s="1"/>
  <c r="D80" i="54" s="1"/>
  <c r="D81" i="54" s="1"/>
  <c r="D82" i="54" s="1"/>
  <c r="D83" i="54" s="1"/>
  <c r="D84" i="54" s="1"/>
  <c r="D85" i="54" s="1"/>
  <c r="D86" i="54" s="1"/>
  <c r="D87" i="54" s="1"/>
  <c r="D88" i="54" s="1"/>
  <c r="F60" i="71"/>
  <c r="F61" i="71" s="1"/>
  <c r="F62" i="71" s="1"/>
  <c r="F63" i="71" s="1"/>
  <c r="F64" i="71" s="1"/>
  <c r="F65" i="71" s="1"/>
  <c r="F66" i="71" s="1"/>
  <c r="F67" i="71" s="1"/>
  <c r="F68" i="71" s="1"/>
  <c r="F69" i="71" s="1"/>
  <c r="F70" i="71" s="1"/>
  <c r="F71" i="71" s="1"/>
  <c r="F72" i="71" s="1"/>
  <c r="F73" i="71" s="1"/>
  <c r="F74" i="71" s="1"/>
  <c r="F75" i="71" s="1"/>
  <c r="F76" i="71" s="1"/>
  <c r="F77" i="71" s="1"/>
  <c r="F78" i="71" s="1"/>
  <c r="F79" i="71" s="1"/>
  <c r="F80" i="71" s="1"/>
  <c r="D129" i="5"/>
  <c r="D130" i="5" s="1"/>
  <c r="D131" i="5" s="1"/>
  <c r="D132" i="5" s="1"/>
  <c r="D133" i="5" s="1"/>
  <c r="D134" i="5" s="1"/>
  <c r="H71" i="55"/>
  <c r="H72" i="55" s="1"/>
  <c r="D13" i="2"/>
  <c r="D11" i="2"/>
  <c r="D12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17" i="44"/>
  <c r="D16" i="44"/>
  <c r="F81" i="71" l="1"/>
  <c r="F82" i="71" s="1"/>
  <c r="F83" i="71" s="1"/>
  <c r="F84" i="71" s="1"/>
  <c r="F85" i="71" s="1"/>
  <c r="F86" i="71" s="1"/>
  <c r="F87" i="71" s="1"/>
  <c r="F88" i="71" s="1"/>
  <c r="F89" i="71" s="1"/>
  <c r="F90" i="71" s="1"/>
  <c r="F91" i="71" s="1"/>
  <c r="F92" i="71" s="1"/>
  <c r="F93" i="71" s="1"/>
  <c r="F94" i="71" s="1"/>
  <c r="F95" i="71" s="1"/>
  <c r="F96" i="71" s="1"/>
  <c r="F97" i="71" s="1"/>
  <c r="F98" i="71" s="1"/>
  <c r="D135" i="5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H73" i="55"/>
  <c r="H74" i="55" s="1"/>
  <c r="H75" i="55" s="1"/>
  <c r="H76" i="55" s="1"/>
  <c r="H77" i="55" s="1"/>
  <c r="D57" i="2"/>
  <c r="D58" i="2" s="1"/>
  <c r="D59" i="2" s="1"/>
  <c r="D60" i="2" s="1"/>
  <c r="D61" i="2" s="1"/>
  <c r="D62" i="2" s="1"/>
  <c r="D43" i="37"/>
  <c r="D44" i="37" s="1"/>
  <c r="D45" i="37" s="1"/>
  <c r="D46" i="37" s="1"/>
  <c r="D47" i="37" s="1"/>
  <c r="D48" i="37" s="1"/>
  <c r="D49" i="37" s="1"/>
  <c r="D50" i="37" s="1"/>
  <c r="D51" i="37" s="1"/>
  <c r="D52" i="37" s="1"/>
  <c r="D53" i="37" s="1"/>
  <c r="D54" i="37" s="1"/>
  <c r="D55" i="37" s="1"/>
  <c r="D56" i="37" s="1"/>
  <c r="D57" i="37" s="1"/>
  <c r="D58" i="37" s="1"/>
  <c r="D59" i="37" s="1"/>
  <c r="D60" i="37" s="1"/>
  <c r="D61" i="37" s="1"/>
  <c r="D62" i="37" s="1"/>
  <c r="D63" i="37" s="1"/>
  <c r="D64" i="37" s="1"/>
  <c r="D65" i="37" s="1"/>
  <c r="D66" i="37" s="1"/>
  <c r="D67" i="37" s="1"/>
  <c r="D68" i="37" s="1"/>
  <c r="D69" i="37" s="1"/>
  <c r="D70" i="37" s="1"/>
  <c r="D71" i="37" s="1"/>
  <c r="D72" i="37" s="1"/>
  <c r="D73" i="37" s="1"/>
  <c r="D74" i="37" s="1"/>
  <c r="D75" i="37" s="1"/>
  <c r="D76" i="37" s="1"/>
  <c r="D77" i="37" s="1"/>
  <c r="D78" i="37" s="1"/>
  <c r="D79" i="37" s="1"/>
  <c r="D80" i="37" s="1"/>
  <c r="D81" i="37" s="1"/>
  <c r="D82" i="37" s="1"/>
  <c r="D83" i="37" s="1"/>
  <c r="D84" i="37" s="1"/>
  <c r="D85" i="37" s="1"/>
  <c r="D86" i="37" s="1"/>
  <c r="D87" i="37" s="1"/>
  <c r="D88" i="37" s="1"/>
  <c r="D89" i="37" s="1"/>
  <c r="D90" i="37" s="1"/>
  <c r="D91" i="37" s="1"/>
  <c r="D92" i="37" s="1"/>
  <c r="D93" i="37" s="1"/>
  <c r="D94" i="37" s="1"/>
  <c r="D95" i="37" s="1"/>
  <c r="D96" i="37" s="1"/>
  <c r="D97" i="37" s="1"/>
  <c r="D98" i="37" s="1"/>
  <c r="D99" i="37" s="1"/>
  <c r="D100" i="37" s="1"/>
  <c r="D101" i="37" s="1"/>
  <c r="D102" i="37" s="1"/>
  <c r="D103" i="37" s="1"/>
  <c r="F99" i="71" l="1"/>
  <c r="F100" i="71" s="1"/>
  <c r="D193" i="5"/>
  <c r="D194" i="5" s="1"/>
  <c r="D195" i="5" s="1"/>
  <c r="D196" i="5" s="1"/>
  <c r="D197" i="5" s="1"/>
  <c r="D198" i="5" s="1"/>
  <c r="D199" i="5" s="1"/>
  <c r="H78" i="55"/>
  <c r="H79" i="55" s="1"/>
  <c r="H80" i="55" s="1"/>
  <c r="H81" i="55" s="1"/>
  <c r="H82" i="55" s="1"/>
  <c r="H83" i="55" s="1"/>
  <c r="H84" i="55" s="1"/>
  <c r="H85" i="55" s="1"/>
  <c r="H86" i="55" s="1"/>
  <c r="D104" i="37"/>
  <c r="D105" i="37" s="1"/>
  <c r="D106" i="37" s="1"/>
  <c r="D107" i="37" s="1"/>
  <c r="D108" i="37" s="1"/>
  <c r="D109" i="37" s="1"/>
  <c r="D110" i="37" s="1"/>
  <c r="D111" i="37" s="1"/>
  <c r="D112" i="37" s="1"/>
  <c r="D113" i="37" s="1"/>
  <c r="D114" i="37" s="1"/>
  <c r="D115" i="37" s="1"/>
  <c r="D116" i="37" s="1"/>
  <c r="D117" i="37" s="1"/>
  <c r="D118" i="37" s="1"/>
  <c r="D63" i="2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33" i="39"/>
  <c r="D34" i="39"/>
  <c r="D32" i="39"/>
  <c r="D31" i="39"/>
  <c r="D30" i="39"/>
  <c r="D12" i="39"/>
  <c r="D13" i="39"/>
  <c r="D14" i="39"/>
  <c r="D15" i="39"/>
  <c r="D16" i="39"/>
  <c r="D17" i="39"/>
  <c r="D18" i="39"/>
  <c r="D19" i="39"/>
  <c r="D20" i="39"/>
  <c r="D21" i="39"/>
  <c r="D22" i="39"/>
  <c r="D23" i="39"/>
  <c r="D24" i="39"/>
  <c r="D25" i="39"/>
  <c r="D26" i="39"/>
  <c r="D27" i="39"/>
  <c r="D28" i="39"/>
  <c r="D29" i="39"/>
  <c r="F101" i="71" l="1"/>
  <c r="F102" i="71" s="1"/>
  <c r="F103" i="71" s="1"/>
  <c r="F104" i="71" s="1"/>
  <c r="F105" i="71" s="1"/>
  <c r="F106" i="71" s="1"/>
  <c r="F107" i="71" s="1"/>
  <c r="F108" i="71" s="1"/>
  <c r="F109" i="71" s="1"/>
  <c r="F110" i="71" s="1"/>
  <c r="F111" i="71" s="1"/>
  <c r="F112" i="71" s="1"/>
  <c r="F113" i="71" s="1"/>
  <c r="D200" i="5"/>
  <c r="D201" i="5" s="1"/>
  <c r="D202" i="5" s="1"/>
  <c r="H87" i="55"/>
  <c r="H88" i="55" s="1"/>
  <c r="H89" i="55" s="1"/>
  <c r="H90" i="55" s="1"/>
  <c r="H91" i="55" s="1"/>
  <c r="H92" i="55" s="1"/>
  <c r="H93" i="55" s="1"/>
  <c r="H94" i="55" s="1"/>
  <c r="H95" i="55" s="1"/>
  <c r="H96" i="55" s="1"/>
  <c r="H97" i="55" s="1"/>
  <c r="H98" i="55" s="1"/>
  <c r="H99" i="55" s="1"/>
  <c r="H100" i="55" s="1"/>
  <c r="H101" i="55" s="1"/>
  <c r="H102" i="55" s="1"/>
  <c r="H103" i="55" s="1"/>
  <c r="H104" i="55" s="1"/>
  <c r="H105" i="55" s="1"/>
  <c r="H106" i="55" s="1"/>
  <c r="H107" i="55" s="1"/>
  <c r="H108" i="55" s="1"/>
  <c r="H109" i="55" s="1"/>
  <c r="H110" i="55" s="1"/>
  <c r="H111" i="55" s="1"/>
  <c r="H112" i="55" s="1"/>
  <c r="H113" i="55" s="1"/>
  <c r="H114" i="55" s="1"/>
  <c r="H115" i="55" s="1"/>
  <c r="H116" i="55" s="1"/>
  <c r="D108" i="2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19" i="37"/>
  <c r="D120" i="37" s="1"/>
  <c r="D121" i="37" s="1"/>
  <c r="D122" i="37" s="1"/>
  <c r="D123" i="37" s="1"/>
  <c r="D124" i="37" s="1"/>
  <c r="D125" i="37" s="1"/>
  <c r="D126" i="37" s="1"/>
  <c r="D127" i="37" s="1"/>
  <c r="D128" i="37" s="1"/>
  <c r="D129" i="37" s="1"/>
  <c r="D130" i="37" s="1"/>
  <c r="D131" i="37" s="1"/>
  <c r="D132" i="37" s="1"/>
  <c r="D133" i="37" s="1"/>
  <c r="D134" i="37" s="1"/>
  <c r="D135" i="37" s="1"/>
  <c r="D136" i="37" s="1"/>
  <c r="D137" i="37" s="1"/>
  <c r="D13" i="47"/>
  <c r="D14" i="47" s="1"/>
  <c r="D18" i="47" s="1"/>
  <c r="D19" i="47" s="1"/>
  <c r="D20" i="47" s="1"/>
  <c r="D21" i="47" s="1"/>
  <c r="D22" i="47" s="1"/>
  <c r="D23" i="47" s="1"/>
  <c r="D24" i="47" s="1"/>
  <c r="D25" i="47" s="1"/>
  <c r="D26" i="47" s="1"/>
  <c r="D27" i="47" s="1"/>
  <c r="D28" i="47" s="1"/>
  <c r="D29" i="47" s="1"/>
  <c r="D10" i="44"/>
  <c r="D11" i="44" s="1"/>
  <c r="D12" i="44" s="1"/>
  <c r="D13" i="44" s="1"/>
  <c r="D14" i="44" s="1"/>
  <c r="D15" i="44" s="1"/>
  <c r="D20" i="44" s="1"/>
  <c r="D21" i="44" s="1"/>
  <c r="D23" i="44" s="1"/>
  <c r="D24" i="44" s="1"/>
  <c r="D25" i="44" s="1"/>
  <c r="D26" i="44" s="1"/>
  <c r="D27" i="44" s="1"/>
  <c r="D28" i="44" s="1"/>
  <c r="D203" i="5" l="1"/>
  <c r="D204" i="5" s="1"/>
  <c r="D205" i="5" s="1"/>
  <c r="D206" i="5" s="1"/>
  <c r="D207" i="5" s="1"/>
  <c r="D215" i="5" s="1"/>
  <c r="D216" i="5" s="1"/>
  <c r="H117" i="55"/>
  <c r="H118" i="55" s="1"/>
  <c r="H119" i="55" s="1"/>
  <c r="H120" i="55" s="1"/>
  <c r="H121" i="55" s="1"/>
  <c r="H122" i="55" s="1"/>
  <c r="H123" i="55" s="1"/>
  <c r="D172" i="2"/>
  <c r="D173" i="2" s="1"/>
  <c r="D174" i="2" s="1"/>
  <c r="D175" i="2" s="1"/>
  <c r="D176" i="2" s="1"/>
  <c r="D177" i="2" s="1"/>
  <c r="D178" i="2" s="1"/>
  <c r="D179" i="2" s="1"/>
  <c r="D138" i="37"/>
  <c r="D10" i="40"/>
  <c r="D11" i="40" s="1"/>
  <c r="D12" i="40" s="1"/>
  <c r="D13" i="40" s="1"/>
  <c r="D14" i="40" s="1"/>
  <c r="D15" i="40" s="1"/>
  <c r="D16" i="40" s="1"/>
  <c r="D17" i="40" s="1"/>
  <c r="D18" i="40" s="1"/>
  <c r="D19" i="40" s="1"/>
  <c r="H124" i="55" l="1"/>
  <c r="H125" i="55" s="1"/>
  <c r="H126" i="55" s="1"/>
  <c r="H127" i="55" s="1"/>
  <c r="H128" i="55" s="1"/>
  <c r="H129" i="55" s="1"/>
  <c r="H130" i="55" s="1"/>
  <c r="H131" i="55" s="1"/>
  <c r="D180" i="2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139" i="37"/>
  <c r="D140" i="37" s="1"/>
  <c r="D141" i="37" s="1"/>
  <c r="D142" i="37" s="1"/>
  <c r="D143" i="37" s="1"/>
  <c r="D20" i="40"/>
  <c r="D21" i="40" s="1"/>
  <c r="D22" i="40" s="1"/>
  <c r="D23" i="40" s="1"/>
  <c r="D24" i="40" s="1"/>
  <c r="D25" i="40" s="1"/>
  <c r="D26" i="40" s="1"/>
  <c r="D27" i="40" s="1"/>
  <c r="D28" i="40" s="1"/>
  <c r="D29" i="40" s="1"/>
  <c r="D30" i="40" s="1"/>
  <c r="D31" i="40" s="1"/>
  <c r="J13" i="16"/>
  <c r="J14" i="16" s="1"/>
  <c r="J15" i="16" s="1"/>
  <c r="J16" i="16" s="1"/>
  <c r="J17" i="16" s="1"/>
  <c r="J18" i="16" s="1"/>
  <c r="J19" i="16" s="1"/>
  <c r="J20" i="16" s="1"/>
  <c r="J21" i="16" s="1"/>
  <c r="J22" i="16" s="1"/>
  <c r="J23" i="16" s="1"/>
  <c r="J24" i="16" s="1"/>
  <c r="J25" i="16" s="1"/>
  <c r="J26" i="16" s="1"/>
  <c r="J27" i="16" s="1"/>
  <c r="J28" i="16" s="1"/>
  <c r="J29" i="16" s="1"/>
  <c r="D10" i="38"/>
  <c r="D11" i="38" s="1"/>
  <c r="D12" i="38" s="1"/>
  <c r="D239" i="2" l="1"/>
  <c r="D240" i="2" s="1"/>
  <c r="D241" i="2" s="1"/>
  <c r="D242" i="2" s="1"/>
  <c r="D243" i="2" s="1"/>
  <c r="F220" i="2"/>
  <c r="D144" i="37"/>
  <c r="D145" i="37" s="1"/>
  <c r="D146" i="37" s="1"/>
  <c r="D147" i="37" s="1"/>
  <c r="D148" i="37" s="1"/>
  <c r="D13" i="38"/>
  <c r="D14" i="38" s="1"/>
  <c r="D15" i="38" s="1"/>
  <c r="D16" i="38" s="1"/>
  <c r="D17" i="38" s="1"/>
  <c r="D18" i="38" s="1"/>
  <c r="D19" i="38" s="1"/>
  <c r="D20" i="38" s="1"/>
  <c r="D21" i="38" s="1"/>
  <c r="D22" i="38" s="1"/>
  <c r="D23" i="38" s="1"/>
  <c r="D24" i="38" s="1"/>
  <c r="D25" i="38" s="1"/>
  <c r="D26" i="38" s="1"/>
  <c r="D27" i="38" s="1"/>
  <c r="D28" i="38" s="1"/>
  <c r="D29" i="38" s="1"/>
  <c r="D30" i="38" s="1"/>
  <c r="D31" i="38" s="1"/>
  <c r="D32" i="38" s="1"/>
  <c r="D33" i="38" s="1"/>
  <c r="D34" i="38" s="1"/>
  <c r="D35" i="38" s="1"/>
  <c r="D36" i="38" s="1"/>
  <c r="D37" i="38" s="1"/>
  <c r="D38" i="38" s="1"/>
  <c r="D39" i="38" s="1"/>
  <c r="D40" i="38" s="1"/>
  <c r="D41" i="38" s="1"/>
  <c r="D42" i="38" s="1"/>
  <c r="D43" i="38" s="1"/>
  <c r="D44" i="38" s="1"/>
  <c r="D45" i="38" s="1"/>
  <c r="D46" i="38" s="1"/>
  <c r="D47" i="38" s="1"/>
  <c r="D48" i="38" s="1"/>
  <c r="D49" i="38" s="1"/>
  <c r="D50" i="38" s="1"/>
  <c r="D51" i="38" s="1"/>
  <c r="D52" i="38" s="1"/>
  <c r="D53" i="38" s="1"/>
  <c r="D54" i="38" s="1"/>
  <c r="D55" i="38" s="1"/>
  <c r="D56" i="38" s="1"/>
  <c r="D57" i="38" s="1"/>
  <c r="D58" i="38" s="1"/>
  <c r="D59" i="38" s="1"/>
  <c r="D60" i="38" s="1"/>
  <c r="D61" i="38" s="1"/>
  <c r="D62" i="38" s="1"/>
  <c r="D63" i="38" s="1"/>
  <c r="D64" i="38" s="1"/>
  <c r="D65" i="38" s="1"/>
  <c r="D12" i="37"/>
  <c r="D13" i="37" s="1"/>
  <c r="D14" i="37" s="1"/>
  <c r="D15" i="37" s="1"/>
  <c r="D16" i="37" s="1"/>
  <c r="D17" i="37" s="1"/>
  <c r="D18" i="37" s="1"/>
  <c r="D19" i="37" s="1"/>
  <c r="D20" i="37" s="1"/>
  <c r="D21" i="37" s="1"/>
  <c r="D22" i="37" s="1"/>
  <c r="D23" i="37" s="1"/>
  <c r="D24" i="37" s="1"/>
  <c r="D25" i="37" s="1"/>
  <c r="D26" i="37" s="1"/>
  <c r="D27" i="37" s="1"/>
  <c r="D28" i="37" s="1"/>
  <c r="D29" i="37" s="1"/>
  <c r="D30" i="37" s="1"/>
  <c r="D31" i="37" s="1"/>
  <c r="D32" i="37" s="1"/>
  <c r="D33" i="37" s="1"/>
  <c r="D34" i="37" s="1"/>
  <c r="D35" i="37" s="1"/>
  <c r="D36" i="37" s="1"/>
  <c r="D244" i="2" l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149" i="37"/>
  <c r="D150" i="37" s="1"/>
  <c r="D151" i="37" s="1"/>
  <c r="D255" i="2" l="1"/>
  <c r="D256" i="2" s="1"/>
  <c r="D257" i="2" s="1"/>
  <c r="D258" i="2" s="1"/>
  <c r="D274" i="2" s="1"/>
  <c r="D275" i="2" s="1"/>
  <c r="D276" i="2" s="1"/>
  <c r="D152" i="37"/>
  <c r="D153" i="37" s="1"/>
  <c r="D154" i="37" s="1"/>
  <c r="D155" i="37" s="1"/>
  <c r="D156" i="37" s="1"/>
  <c r="D157" i="37" s="1"/>
  <c r="D158" i="37" s="1"/>
  <c r="D159" i="37" s="1"/>
  <c r="D160" i="37" s="1"/>
  <c r="D161" i="37" s="1"/>
  <c r="D162" i="37" s="1"/>
  <c r="D163" i="37" s="1"/>
  <c r="D164" i="37" s="1"/>
  <c r="D165" i="37" s="1"/>
  <c r="D166" i="37" s="1"/>
  <c r="D167" i="37" s="1"/>
  <c r="D168" i="37" s="1"/>
  <c r="D169" i="37" s="1"/>
  <c r="D170" i="37" s="1"/>
  <c r="D171" i="37" s="1"/>
  <c r="D172" i="37" s="1"/>
  <c r="D173" i="37" s="1"/>
  <c r="D174" i="37" s="1"/>
  <c r="D175" i="37" s="1"/>
  <c r="D176" i="37" s="1"/>
  <c r="D177" i="37" s="1"/>
  <c r="D178" i="37" s="1"/>
  <c r="D179" i="37" s="1"/>
  <c r="D180" i="37" s="1"/>
  <c r="D181" i="37" s="1"/>
  <c r="D182" i="37" s="1"/>
  <c r="D183" i="37" s="1"/>
  <c r="D184" i="37" s="1"/>
  <c r="D185" i="37" s="1"/>
  <c r="D186" i="37" s="1"/>
  <c r="D187" i="37" s="1"/>
  <c r="D188" i="37" s="1"/>
  <c r="D189" i="37" s="1"/>
  <c r="D190" i="37" s="1"/>
  <c r="D191" i="37" s="1"/>
  <c r="D10" i="29"/>
  <c r="D11" i="29" s="1"/>
  <c r="D12" i="29" s="1"/>
  <c r="D13" i="29" s="1"/>
  <c r="D14" i="29" s="1"/>
  <c r="D15" i="29" s="1"/>
  <c r="D16" i="29" s="1"/>
  <c r="D17" i="29" s="1"/>
  <c r="D18" i="29" s="1"/>
  <c r="D19" i="29" s="1"/>
  <c r="D20" i="29" s="1"/>
  <c r="D21" i="29" s="1"/>
  <c r="D6" i="28"/>
  <c r="D7" i="28" s="1"/>
  <c r="D8" i="28" s="1"/>
  <c r="D9" i="28" s="1"/>
  <c r="D10" i="28" s="1"/>
  <c r="D10" i="27"/>
  <c r="D11" i="27" s="1"/>
  <c r="D12" i="27" s="1"/>
  <c r="D13" i="27" s="1"/>
  <c r="D14" i="27" s="1"/>
  <c r="D15" i="27" s="1"/>
  <c r="D16" i="27" s="1"/>
  <c r="D17" i="27" s="1"/>
  <c r="D18" i="27" s="1"/>
  <c r="D19" i="27" s="1"/>
  <c r="D20" i="27" s="1"/>
  <c r="D21" i="27" s="1"/>
  <c r="D22" i="27" s="1"/>
  <c r="D23" i="27" s="1"/>
  <c r="D24" i="27" s="1"/>
  <c r="D25" i="27" s="1"/>
  <c r="D26" i="27" s="1"/>
  <c r="D27" i="27" s="1"/>
  <c r="D28" i="27" s="1"/>
  <c r="D29" i="27" s="1"/>
  <c r="D30" i="27" s="1"/>
  <c r="D31" i="27" s="1"/>
  <c r="D32" i="27" s="1"/>
  <c r="D33" i="27" s="1"/>
  <c r="D34" i="27" s="1"/>
  <c r="D35" i="27" s="1"/>
  <c r="D36" i="27" s="1"/>
  <c r="D37" i="27" s="1"/>
  <c r="D38" i="27" s="1"/>
  <c r="D39" i="27" s="1"/>
  <c r="D40" i="27" s="1"/>
  <c r="D41" i="27" s="1"/>
  <c r="D42" i="27" s="1"/>
  <c r="D43" i="27" s="1"/>
  <c r="D44" i="27" s="1"/>
  <c r="D45" i="27" s="1"/>
  <c r="D46" i="27" s="1"/>
  <c r="D47" i="27" s="1"/>
  <c r="D48" i="27" s="1"/>
  <c r="D49" i="27" s="1"/>
  <c r="D50" i="27" s="1"/>
  <c r="D51" i="27" s="1"/>
  <c r="D52" i="27" s="1"/>
  <c r="D53" i="27" s="1"/>
  <c r="D54" i="27" s="1"/>
  <c r="D55" i="27" s="1"/>
  <c r="D56" i="27" s="1"/>
  <c r="D57" i="27" s="1"/>
  <c r="D58" i="27" s="1"/>
  <c r="D59" i="27" s="1"/>
  <c r="D60" i="27" s="1"/>
  <c r="D61" i="27" s="1"/>
  <c r="D62" i="27" s="1"/>
  <c r="D63" i="27" s="1"/>
  <c r="D64" i="27" s="1"/>
  <c r="D69" i="27" s="1"/>
  <c r="D192" i="37" l="1"/>
  <c r="D193" i="37" s="1"/>
  <c r="D194" i="37" s="1"/>
  <c r="D195" i="37" s="1"/>
  <c r="D196" i="37" s="1"/>
  <c r="D197" i="37" s="1"/>
  <c r="D198" i="37" s="1"/>
  <c r="D199" i="37" s="1"/>
  <c r="D200" i="37" s="1"/>
  <c r="D201" i="37" s="1"/>
  <c r="D202" i="37" s="1"/>
  <c r="D22" i="29"/>
  <c r="D23" i="29" s="1"/>
  <c r="D24" i="29" s="1"/>
  <c r="D25" i="29" s="1"/>
  <c r="D11" i="28"/>
  <c r="D12" i="28" s="1"/>
  <c r="D13" i="28" s="1"/>
  <c r="D14" i="28" s="1"/>
  <c r="D15" i="28" s="1"/>
  <c r="D16" i="28" s="1"/>
  <c r="D17" i="28" s="1"/>
  <c r="D18" i="28" s="1"/>
  <c r="D19" i="28" s="1"/>
  <c r="D20" i="28" s="1"/>
  <c r="D21" i="28" s="1"/>
  <c r="D22" i="28" s="1"/>
  <c r="D23" i="28" s="1"/>
  <c r="D24" i="28" s="1"/>
  <c r="D25" i="28" s="1"/>
  <c r="D26" i="28" s="1"/>
  <c r="D27" i="28" s="1"/>
  <c r="D28" i="28" s="1"/>
  <c r="D29" i="28" s="1"/>
  <c r="D30" i="28" s="1"/>
  <c r="D31" i="28" s="1"/>
  <c r="D32" i="28" s="1"/>
  <c r="D33" i="28" s="1"/>
  <c r="D34" i="28" s="1"/>
  <c r="D35" i="28" s="1"/>
  <c r="D36" i="28" s="1"/>
  <c r="D37" i="28" s="1"/>
  <c r="D38" i="28" s="1"/>
  <c r="D39" i="28" s="1"/>
  <c r="D40" i="28" s="1"/>
  <c r="D41" i="28" s="1"/>
  <c r="D42" i="28" s="1"/>
  <c r="D43" i="28" s="1"/>
  <c r="D44" i="28" s="1"/>
  <c r="D45" i="28" s="1"/>
  <c r="D46" i="28" s="1"/>
  <c r="D47" i="28" s="1"/>
  <c r="D48" i="28" s="1"/>
  <c r="D49" i="28" s="1"/>
  <c r="D50" i="28" s="1"/>
  <c r="D51" i="28" s="1"/>
  <c r="D52" i="28" s="1"/>
  <c r="D53" i="28" s="1"/>
  <c r="D54" i="28" s="1"/>
  <c r="D10" i="23"/>
  <c r="D11" i="23" s="1"/>
  <c r="D12" i="23" s="1"/>
  <c r="D13" i="23" s="1"/>
  <c r="D14" i="23" s="1"/>
  <c r="D15" i="23" s="1"/>
  <c r="D16" i="23" s="1"/>
  <c r="D17" i="23" s="1"/>
  <c r="D18" i="23" s="1"/>
  <c r="D10" i="22"/>
  <c r="D11" i="22" s="1"/>
  <c r="D12" i="22" s="1"/>
  <c r="D13" i="22" s="1"/>
  <c r="D14" i="22" s="1"/>
  <c r="D15" i="22" s="1"/>
  <c r="D16" i="22" s="1"/>
  <c r="D17" i="22" s="1"/>
  <c r="D18" i="22" s="1"/>
  <c r="D19" i="22" s="1"/>
  <c r="D20" i="22" s="1"/>
  <c r="D21" i="22" s="1"/>
  <c r="D22" i="22" s="1"/>
  <c r="D23" i="22" s="1"/>
  <c r="D24" i="22" s="1"/>
  <c r="D25" i="22" s="1"/>
  <c r="D26" i="22" s="1"/>
  <c r="D27" i="22" s="1"/>
  <c r="D28" i="22" s="1"/>
  <c r="D29" i="22" s="1"/>
  <c r="D30" i="22" s="1"/>
  <c r="D31" i="22" s="1"/>
  <c r="D32" i="22" s="1"/>
  <c r="D33" i="22" s="1"/>
  <c r="D34" i="22" s="1"/>
  <c r="D35" i="22" s="1"/>
  <c r="D36" i="22" s="1"/>
  <c r="D37" i="22" s="1"/>
  <c r="D38" i="22" s="1"/>
  <c r="D39" i="22" s="1"/>
  <c r="D40" i="22" s="1"/>
  <c r="D41" i="22" s="1"/>
  <c r="D42" i="22" s="1"/>
  <c r="D43" i="22" s="1"/>
  <c r="D44" i="22" s="1"/>
  <c r="D45" i="22" s="1"/>
  <c r="D46" i="22" s="1"/>
  <c r="D47" i="22" s="1"/>
  <c r="D48" i="22" s="1"/>
  <c r="D49" i="22" s="1"/>
  <c r="D50" i="22" s="1"/>
  <c r="D51" i="22" s="1"/>
  <c r="D52" i="22" s="1"/>
  <c r="D53" i="22" s="1"/>
  <c r="D54" i="22" s="1"/>
  <c r="D55" i="22" s="1"/>
  <c r="D56" i="22" s="1"/>
  <c r="D57" i="22" s="1"/>
  <c r="D58" i="22" s="1"/>
  <c r="D59" i="22" s="1"/>
  <c r="D60" i="22" s="1"/>
  <c r="D61" i="22" s="1"/>
  <c r="D62" i="22" s="1"/>
  <c r="D63" i="22" s="1"/>
  <c r="D64" i="22" s="1"/>
  <c r="D65" i="22" s="1"/>
  <c r="D66" i="22" s="1"/>
  <c r="D67" i="22" s="1"/>
  <c r="D68" i="22" s="1"/>
  <c r="D69" i="22" s="1"/>
  <c r="D70" i="22" s="1"/>
  <c r="D71" i="22" s="1"/>
  <c r="D72" i="22" s="1"/>
  <c r="D73" i="22" s="1"/>
  <c r="D74" i="22" s="1"/>
  <c r="D75" i="22" s="1"/>
  <c r="D76" i="22" s="1"/>
  <c r="D77" i="22" s="1"/>
  <c r="D78" i="22" s="1"/>
  <c r="D79" i="22" s="1"/>
  <c r="D80" i="22" s="1"/>
  <c r="D81" i="22" s="1"/>
  <c r="D82" i="22" s="1"/>
  <c r="D83" i="22" s="1"/>
  <c r="D84" i="22" s="1"/>
  <c r="D85" i="22" s="1"/>
  <c r="D86" i="22" s="1"/>
  <c r="D87" i="22" s="1"/>
  <c r="D88" i="22" s="1"/>
  <c r="D89" i="22" s="1"/>
  <c r="D90" i="22" s="1"/>
  <c r="D91" i="22" s="1"/>
  <c r="D92" i="22" s="1"/>
  <c r="D10" i="21"/>
  <c r="D11" i="21" s="1"/>
  <c r="D12" i="21" s="1"/>
  <c r="D13" i="21" s="1"/>
  <c r="D14" i="21" s="1"/>
  <c r="D10" i="19"/>
  <c r="D11" i="19" s="1"/>
  <c r="D12" i="19" s="1"/>
  <c r="D13" i="19" s="1"/>
  <c r="D14" i="19" s="1"/>
  <c r="D15" i="19" s="1"/>
  <c r="D16" i="19" s="1"/>
  <c r="D17" i="19" s="1"/>
  <c r="D10" i="18"/>
  <c r="D11" i="18" s="1"/>
  <c r="D12" i="18" s="1"/>
  <c r="D13" i="18" s="1"/>
  <c r="D14" i="18" s="1"/>
  <c r="D15" i="18" s="1"/>
  <c r="D16" i="18" s="1"/>
  <c r="D17" i="18" s="1"/>
  <c r="D18" i="18" s="1"/>
  <c r="D19" i="18" s="1"/>
  <c r="D20" i="18" s="1"/>
  <c r="D21" i="18" s="1"/>
  <c r="D22" i="18" s="1"/>
  <c r="D23" i="18" s="1"/>
  <c r="D24" i="18" s="1"/>
  <c r="D25" i="18" s="1"/>
  <c r="D26" i="18" s="1"/>
  <c r="D27" i="18" s="1"/>
  <c r="D28" i="18" s="1"/>
  <c r="D29" i="18" s="1"/>
  <c r="D10" i="17"/>
  <c r="D11" i="17" s="1"/>
  <c r="D12" i="17" s="1"/>
  <c r="D13" i="17" s="1"/>
  <c r="D14" i="17" s="1"/>
  <c r="D15" i="17" s="1"/>
  <c r="D10" i="16"/>
  <c r="D10" i="15"/>
  <c r="D10" i="13"/>
  <c r="D11" i="13" s="1"/>
  <c r="D12" i="13" s="1"/>
  <c r="D13" i="13" s="1"/>
  <c r="D14" i="13" s="1"/>
  <c r="D15" i="13" s="1"/>
  <c r="D10" i="12"/>
  <c r="D11" i="12" s="1"/>
  <c r="D12" i="12" s="1"/>
  <c r="D13" i="12" s="1"/>
  <c r="D14" i="12" s="1"/>
  <c r="D15" i="12" s="1"/>
  <c r="D16" i="12" s="1"/>
  <c r="D17" i="12" s="1"/>
  <c r="D18" i="12" s="1"/>
  <c r="D19" i="12" s="1"/>
  <c r="D20" i="12" s="1"/>
  <c r="D21" i="12" s="1"/>
  <c r="D22" i="12" s="1"/>
  <c r="D23" i="12" s="1"/>
  <c r="D24" i="12" s="1"/>
  <c r="D25" i="12" s="1"/>
  <c r="D26" i="12" s="1"/>
  <c r="D27" i="12" s="1"/>
  <c r="D28" i="12" s="1"/>
  <c r="D29" i="12" s="1"/>
  <c r="D30" i="12" s="1"/>
  <c r="D31" i="12" s="1"/>
  <c r="D32" i="12" s="1"/>
  <c r="D33" i="12" s="1"/>
  <c r="D34" i="12" s="1"/>
  <c r="D35" i="12" s="1"/>
  <c r="D36" i="12" s="1"/>
  <c r="D37" i="12" s="1"/>
  <c r="D38" i="12" s="1"/>
  <c r="D39" i="12" s="1"/>
  <c r="D40" i="12" s="1"/>
  <c r="D41" i="12" s="1"/>
  <c r="D42" i="12" s="1"/>
  <c r="D43" i="12" s="1"/>
  <c r="D44" i="12" s="1"/>
  <c r="D45" i="12" s="1"/>
  <c r="D46" i="12" s="1"/>
  <c r="D47" i="12" s="1"/>
  <c r="D48" i="12" s="1"/>
  <c r="D49" i="12" s="1"/>
  <c r="D50" i="12" s="1"/>
  <c r="D51" i="12" s="1"/>
  <c r="D52" i="12" s="1"/>
  <c r="D53" i="12" s="1"/>
  <c r="D54" i="12" s="1"/>
  <c r="D55" i="12" s="1"/>
  <c r="D56" i="12" s="1"/>
  <c r="D57" i="12" s="1"/>
  <c r="D58" i="12" s="1"/>
  <c r="D59" i="12" s="1"/>
  <c r="D60" i="12" s="1"/>
  <c r="D61" i="12" s="1"/>
  <c r="D62" i="12" s="1"/>
  <c r="D63" i="12" s="1"/>
  <c r="D10" i="11"/>
  <c r="D11" i="11" s="1"/>
  <c r="D12" i="11" s="1"/>
  <c r="D13" i="11" s="1"/>
  <c r="D14" i="11" s="1"/>
  <c r="D15" i="11" s="1"/>
  <c r="D16" i="11" s="1"/>
  <c r="D17" i="11" s="1"/>
  <c r="D18" i="11" s="1"/>
  <c r="D19" i="11" s="1"/>
  <c r="D20" i="11" s="1"/>
  <c r="D21" i="11" s="1"/>
  <c r="D22" i="11" s="1"/>
  <c r="D23" i="11" s="1"/>
  <c r="D24" i="11" s="1"/>
  <c r="D25" i="11" s="1"/>
  <c r="D26" i="11" s="1"/>
  <c r="D27" i="11" s="1"/>
  <c r="D28" i="11" s="1"/>
  <c r="D29" i="11" s="1"/>
  <c r="D30" i="11" s="1"/>
  <c r="D31" i="11" s="1"/>
  <c r="D32" i="11" s="1"/>
  <c r="D33" i="11" s="1"/>
  <c r="D34" i="11" s="1"/>
  <c r="D35" i="11" s="1"/>
  <c r="D36" i="11" s="1"/>
  <c r="D37" i="11" s="1"/>
  <c r="D38" i="11" s="1"/>
  <c r="D39" i="11" s="1"/>
  <c r="D40" i="11" s="1"/>
  <c r="D41" i="11" s="1"/>
  <c r="D42" i="11" s="1"/>
  <c r="D43" i="11" s="1"/>
  <c r="D44" i="11" s="1"/>
  <c r="D45" i="11" s="1"/>
  <c r="D46" i="11" s="1"/>
  <c r="D47" i="11" s="1"/>
  <c r="D48" i="11" s="1"/>
  <c r="D49" i="11" s="1"/>
  <c r="D50" i="11" s="1"/>
  <c r="D51" i="11" s="1"/>
  <c r="D10" i="10"/>
  <c r="D11" i="10" s="1"/>
  <c r="D12" i="10" s="1"/>
  <c r="D13" i="10" s="1"/>
  <c r="D14" i="10" s="1"/>
  <c r="D15" i="10" s="1"/>
  <c r="D16" i="10" s="1"/>
  <c r="D17" i="10" s="1"/>
  <c r="D18" i="10" s="1"/>
  <c r="D19" i="10" s="1"/>
  <c r="D20" i="10" s="1"/>
  <c r="D21" i="10" s="1"/>
  <c r="D22" i="10" s="1"/>
  <c r="D23" i="10" s="1"/>
  <c r="D24" i="10" s="1"/>
  <c r="D25" i="10" s="1"/>
  <c r="D26" i="10" s="1"/>
  <c r="D27" i="10" s="1"/>
  <c r="D28" i="10" s="1"/>
  <c r="D29" i="10" s="1"/>
  <c r="D30" i="10" s="1"/>
  <c r="D31" i="10" s="1"/>
  <c r="D32" i="10" s="1"/>
  <c r="D33" i="10" s="1"/>
  <c r="D34" i="10" s="1"/>
  <c r="D35" i="10" s="1"/>
  <c r="D36" i="10" s="1"/>
  <c r="D37" i="10" s="1"/>
  <c r="D38" i="10" s="1"/>
  <c r="D39" i="10" s="1"/>
  <c r="D40" i="10" s="1"/>
  <c r="D41" i="10" s="1"/>
  <c r="D42" i="10" s="1"/>
  <c r="D43" i="10" s="1"/>
  <c r="D44" i="10" s="1"/>
  <c r="D45" i="10" s="1"/>
  <c r="D46" i="10" s="1"/>
  <c r="D47" i="10" s="1"/>
  <c r="D48" i="10" s="1"/>
  <c r="D49" i="10" s="1"/>
  <c r="D50" i="10" s="1"/>
  <c r="D51" i="10" s="1"/>
  <c r="D10" i="9"/>
  <c r="D11" i="9" s="1"/>
  <c r="D12" i="9" s="1"/>
  <c r="D13" i="9" s="1"/>
  <c r="D14" i="9" s="1"/>
  <c r="D15" i="9" s="1"/>
  <c r="D16" i="9" s="1"/>
  <c r="D17" i="9" s="1"/>
  <c r="D18" i="9" s="1"/>
  <c r="D19" i="9" s="1"/>
  <c r="D20" i="9" s="1"/>
  <c r="D21" i="9" s="1"/>
  <c r="D22" i="9" s="1"/>
  <c r="D23" i="9" s="1"/>
  <c r="D24" i="9" s="1"/>
  <c r="D25" i="9" s="1"/>
  <c r="D26" i="9" s="1"/>
  <c r="D27" i="9" s="1"/>
  <c r="D28" i="9" s="1"/>
  <c r="D29" i="9" s="1"/>
  <c r="D30" i="9" s="1"/>
  <c r="D31" i="9" s="1"/>
  <c r="D32" i="9" s="1"/>
  <c r="D33" i="9" s="1"/>
  <c r="D34" i="9" s="1"/>
  <c r="D35" i="9" s="1"/>
  <c r="D36" i="9" s="1"/>
  <c r="D37" i="9" s="1"/>
  <c r="D38" i="9" s="1"/>
  <c r="D10" i="8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10" i="7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10" i="4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10" i="3"/>
  <c r="D11" i="3" s="1"/>
  <c r="D10" i="1"/>
  <c r="D11" i="1" s="1"/>
  <c r="D12" i="1" s="1"/>
  <c r="D13" i="1" s="1"/>
  <c r="D14" i="1" s="1"/>
  <c r="D15" i="1" s="1"/>
  <c r="D203" i="37" l="1"/>
  <c r="D204" i="37" s="1"/>
  <c r="D205" i="37" s="1"/>
  <c r="D206" i="37" s="1"/>
  <c r="D207" i="37" s="1"/>
  <c r="D208" i="37" s="1"/>
  <c r="D209" i="37" s="1"/>
  <c r="D210" i="37" s="1"/>
  <c r="D211" i="37" s="1"/>
  <c r="D93" i="22"/>
  <c r="D94" i="22" s="1"/>
  <c r="D95" i="22" s="1"/>
  <c r="D96" i="22" s="1"/>
  <c r="D97" i="22" s="1"/>
  <c r="D98" i="22" s="1"/>
  <c r="D99" i="22" s="1"/>
  <c r="D100" i="22" s="1"/>
  <c r="D101" i="22" s="1"/>
  <c r="D102" i="22" s="1"/>
  <c r="D103" i="22" s="1"/>
  <c r="D104" i="22" s="1"/>
  <c r="D105" i="22" s="1"/>
  <c r="D106" i="22" s="1"/>
  <c r="D107" i="22" s="1"/>
  <c r="D108" i="22" s="1"/>
  <c r="D109" i="22" s="1"/>
  <c r="D110" i="22" s="1"/>
  <c r="D111" i="22" s="1"/>
  <c r="D112" i="22" s="1"/>
  <c r="D113" i="22" s="1"/>
  <c r="D114" i="22" s="1"/>
  <c r="D115" i="22" s="1"/>
  <c r="D116" i="22" s="1"/>
  <c r="D117" i="22" s="1"/>
  <c r="D118" i="22" s="1"/>
  <c r="D119" i="22" s="1"/>
  <c r="D120" i="22" s="1"/>
  <c r="D121" i="22" s="1"/>
  <c r="D122" i="22" s="1"/>
  <c r="D123" i="22" s="1"/>
  <c r="D124" i="22" s="1"/>
  <c r="D125" i="22" s="1"/>
  <c r="D126" i="22" s="1"/>
  <c r="D127" i="22" s="1"/>
  <c r="D128" i="22" s="1"/>
  <c r="D129" i="22" s="1"/>
  <c r="D130" i="22" s="1"/>
  <c r="D131" i="22" s="1"/>
  <c r="D132" i="22" s="1"/>
  <c r="D133" i="22" s="1"/>
  <c r="D134" i="22" s="1"/>
  <c r="D135" i="22" s="1"/>
  <c r="D136" i="22" s="1"/>
  <c r="D137" i="22" s="1"/>
  <c r="D138" i="22" s="1"/>
  <c r="D139" i="22" s="1"/>
  <c r="D140" i="22" s="1"/>
  <c r="D141" i="22" s="1"/>
  <c r="D142" i="22" s="1"/>
  <c r="D143" i="22" s="1"/>
  <c r="D144" i="22" s="1"/>
  <c r="D145" i="22" s="1"/>
  <c r="D146" i="22" s="1"/>
  <c r="D147" i="22" s="1"/>
  <c r="D148" i="22" s="1"/>
  <c r="D68" i="8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55" i="28"/>
  <c r="D19" i="23"/>
  <c r="D20" i="23" s="1"/>
  <c r="D21" i="23" s="1"/>
  <c r="D22" i="23" s="1"/>
  <c r="D23" i="23" s="1"/>
  <c r="D24" i="23" s="1"/>
  <c r="D25" i="23" s="1"/>
  <c r="D26" i="23" s="1"/>
  <c r="D27" i="23" s="1"/>
  <c r="D28" i="23" s="1"/>
  <c r="D29" i="23" s="1"/>
  <c r="D30" i="23" s="1"/>
  <c r="D31" i="23" s="1"/>
  <c r="D32" i="23" s="1"/>
  <c r="D33" i="23" s="1"/>
  <c r="D34" i="23" s="1"/>
  <c r="D35" i="23" s="1"/>
  <c r="D36" i="23" s="1"/>
  <c r="D37" i="23" s="1"/>
  <c r="D38" i="23" s="1"/>
  <c r="D39" i="23" s="1"/>
  <c r="D40" i="23" s="1"/>
  <c r="D41" i="23" s="1"/>
  <c r="D42" i="23" s="1"/>
  <c r="D43" i="23" s="1"/>
  <c r="D44" i="23" s="1"/>
  <c r="D45" i="23" s="1"/>
  <c r="D46" i="23" s="1"/>
  <c r="D47" i="23" s="1"/>
  <c r="D48" i="23" s="1"/>
  <c r="D49" i="23" s="1"/>
  <c r="D50" i="23" s="1"/>
  <c r="D51" i="23" s="1"/>
  <c r="D52" i="23" s="1"/>
  <c r="D53" i="23" s="1"/>
  <c r="D54" i="23" s="1"/>
  <c r="D55" i="23" s="1"/>
  <c r="D56" i="23" s="1"/>
  <c r="D57" i="23" s="1"/>
  <c r="D58" i="23" s="1"/>
  <c r="D59" i="23" s="1"/>
  <c r="D60" i="23" s="1"/>
  <c r="D61" i="23" s="1"/>
  <c r="D62" i="23" s="1"/>
  <c r="D63" i="23" s="1"/>
  <c r="D64" i="23" s="1"/>
  <c r="D65" i="23" s="1"/>
  <c r="D66" i="23" s="1"/>
  <c r="D67" i="23" s="1"/>
  <c r="D68" i="23" s="1"/>
  <c r="D69" i="23" s="1"/>
  <c r="D70" i="23" s="1"/>
  <c r="D71" i="23" s="1"/>
  <c r="D72" i="23" s="1"/>
  <c r="D26" i="29"/>
  <c r="D27" i="29" s="1"/>
  <c r="D28" i="29" s="1"/>
  <c r="D29" i="29" s="1"/>
  <c r="D30" i="29" s="1"/>
  <c r="D31" i="29" s="1"/>
  <c r="D32" i="29" s="1"/>
  <c r="D33" i="29" s="1"/>
  <c r="D34" i="29" s="1"/>
  <c r="D35" i="29" s="1"/>
  <c r="D36" i="29" s="1"/>
  <c r="D37" i="29" s="1"/>
  <c r="D38" i="29" s="1"/>
  <c r="D39" i="29" s="1"/>
  <c r="D40" i="29" s="1"/>
  <c r="D41" i="29" s="1"/>
  <c r="D42" i="29" s="1"/>
  <c r="D43" i="29" s="1"/>
  <c r="D44" i="29" s="1"/>
  <c r="D45" i="29" s="1"/>
  <c r="D46" i="29" s="1"/>
  <c r="D47" i="29" s="1"/>
  <c r="D48" i="29" s="1"/>
  <c r="D49" i="29" s="1"/>
  <c r="D50" i="29" s="1"/>
  <c r="D51" i="29" s="1"/>
  <c r="D52" i="29" s="1"/>
  <c r="D53" i="29" s="1"/>
  <c r="D18" i="19"/>
  <c r="D19" i="19" s="1"/>
  <c r="D20" i="19" s="1"/>
  <c r="D21" i="19" s="1"/>
  <c r="D22" i="19" s="1"/>
  <c r="D23" i="19" s="1"/>
  <c r="D24" i="19" s="1"/>
  <c r="D25" i="19" s="1"/>
  <c r="D26" i="19" s="1"/>
  <c r="D27" i="19" s="1"/>
  <c r="D28" i="19" s="1"/>
  <c r="D29" i="19" s="1"/>
  <c r="D30" i="19" s="1"/>
  <c r="D31" i="19" s="1"/>
  <c r="D32" i="19" s="1"/>
  <c r="D33" i="19" s="1"/>
  <c r="D34" i="19" s="1"/>
  <c r="D35" i="19" s="1"/>
  <c r="D36" i="19" s="1"/>
  <c r="D37" i="19" s="1"/>
  <c r="D38" i="19" s="1"/>
  <c r="D39" i="19" s="1"/>
  <c r="D40" i="19" s="1"/>
  <c r="D41" i="19" s="1"/>
  <c r="D42" i="19" s="1"/>
  <c r="D43" i="19" s="1"/>
  <c r="D44" i="19" s="1"/>
  <c r="D45" i="19" s="1"/>
  <c r="D46" i="19" s="1"/>
  <c r="D47" i="19" s="1"/>
  <c r="D48" i="19" s="1"/>
  <c r="D49" i="19" s="1"/>
  <c r="D50" i="19" s="1"/>
  <c r="D51" i="19" s="1"/>
  <c r="D52" i="19" s="1"/>
  <c r="D53" i="19" s="1"/>
  <c r="D54" i="19" s="1"/>
  <c r="D55" i="19" s="1"/>
  <c r="D56" i="19" s="1"/>
  <c r="D57" i="19" s="1"/>
  <c r="D58" i="19" s="1"/>
  <c r="D59" i="19" s="1"/>
  <c r="D60" i="19" s="1"/>
  <c r="D61" i="19" s="1"/>
  <c r="D62" i="19" s="1"/>
  <c r="D63" i="19" s="1"/>
  <c r="D64" i="19" s="1"/>
  <c r="D65" i="19" s="1"/>
  <c r="D66" i="19" s="1"/>
  <c r="D67" i="19" s="1"/>
  <c r="D68" i="19" s="1"/>
  <c r="D69" i="19" s="1"/>
  <c r="D70" i="19" s="1"/>
  <c r="D71" i="19" s="1"/>
  <c r="D72" i="19" s="1"/>
  <c r="D73" i="19" s="1"/>
  <c r="D74" i="19" s="1"/>
  <c r="D75" i="19" s="1"/>
  <c r="D76" i="19" s="1"/>
  <c r="D77" i="19" s="1"/>
  <c r="D78" i="19" s="1"/>
  <c r="D79" i="19" s="1"/>
  <c r="D80" i="19" s="1"/>
  <c r="D81" i="19" s="1"/>
  <c r="D82" i="19" s="1"/>
  <c r="D83" i="19" s="1"/>
  <c r="D52" i="10"/>
  <c r="D53" i="10" s="1"/>
  <c r="D54" i="10" s="1"/>
  <c r="D55" i="10" s="1"/>
  <c r="D56" i="10" s="1"/>
  <c r="D57" i="10" s="1"/>
  <c r="D58" i="10" s="1"/>
  <c r="D59" i="10" s="1"/>
  <c r="D60" i="10" s="1"/>
  <c r="D61" i="10" s="1"/>
  <c r="D62" i="10" s="1"/>
  <c r="D63" i="10" s="1"/>
  <c r="D64" i="10" s="1"/>
  <c r="D65" i="10" s="1"/>
  <c r="D66" i="10" s="1"/>
  <c r="D67" i="10" s="1"/>
  <c r="D68" i="10" s="1"/>
  <c r="D69" i="10" s="1"/>
  <c r="D70" i="10" s="1"/>
  <c r="D71" i="10" s="1"/>
  <c r="D72" i="10" s="1"/>
  <c r="D73" i="10" s="1"/>
  <c r="D74" i="10" s="1"/>
  <c r="D75" i="10" s="1"/>
  <c r="D76" i="10" s="1"/>
  <c r="D77" i="10" s="1"/>
  <c r="D78" i="10" s="1"/>
  <c r="D79" i="10" s="1"/>
  <c r="D80" i="10" s="1"/>
  <c r="D81" i="10" s="1"/>
  <c r="D82" i="10" s="1"/>
  <c r="D83" i="10" s="1"/>
  <c r="D84" i="10" s="1"/>
  <c r="D85" i="10" s="1"/>
  <c r="D86" i="10" s="1"/>
  <c r="D87" i="10" s="1"/>
  <c r="D88" i="10" s="1"/>
  <c r="D89" i="10" s="1"/>
  <c r="D90" i="10" s="1"/>
  <c r="D91" i="10" s="1"/>
  <c r="D92" i="10" s="1"/>
  <c r="D93" i="10" s="1"/>
  <c r="D94" i="10" s="1"/>
  <c r="D95" i="10" s="1"/>
  <c r="D96" i="10" s="1"/>
  <c r="D97" i="10" s="1"/>
  <c r="D98" i="10" s="1"/>
  <c r="D99" i="10" s="1"/>
  <c r="D100" i="10" s="1"/>
  <c r="D101" i="10" s="1"/>
  <c r="D102" i="10" s="1"/>
  <c r="D103" i="10" s="1"/>
  <c r="D104" i="10" s="1"/>
  <c r="D105" i="10" s="1"/>
  <c r="D106" i="10" s="1"/>
  <c r="D107" i="10" s="1"/>
  <c r="D108" i="10" s="1"/>
  <c r="D109" i="10" s="1"/>
  <c r="D110" i="10" s="1"/>
  <c r="D111" i="10" s="1"/>
  <c r="D112" i="10" s="1"/>
  <c r="D113" i="10" s="1"/>
  <c r="D114" i="10" s="1"/>
  <c r="D115" i="10" s="1"/>
  <c r="D116" i="10" s="1"/>
  <c r="D117" i="10" s="1"/>
  <c r="D118" i="10" s="1"/>
  <c r="D119" i="10" s="1"/>
  <c r="D120" i="10" s="1"/>
  <c r="D121" i="10" s="1"/>
  <c r="D122" i="10" s="1"/>
  <c r="D123" i="10" s="1"/>
  <c r="D124" i="10" s="1"/>
  <c r="D125" i="10" s="1"/>
  <c r="D126" i="10" s="1"/>
  <c r="D127" i="10" s="1"/>
  <c r="D128" i="10" s="1"/>
  <c r="D129" i="10" s="1"/>
  <c r="D130" i="10" s="1"/>
  <c r="D131" i="10" s="1"/>
  <c r="D132" i="10" s="1"/>
  <c r="D133" i="10" s="1"/>
  <c r="D134" i="10" s="1"/>
  <c r="D135" i="10" s="1"/>
  <c r="D16" i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64" i="12"/>
  <c r="D65" i="12" s="1"/>
  <c r="D66" i="12" s="1"/>
  <c r="D67" i="12" s="1"/>
  <c r="D68" i="12" s="1"/>
  <c r="D69" i="12" s="1"/>
  <c r="D70" i="12" s="1"/>
  <c r="D71" i="12" s="1"/>
  <c r="D72" i="12" s="1"/>
  <c r="D73" i="12" s="1"/>
  <c r="D74" i="12" s="1"/>
  <c r="D75" i="12" s="1"/>
  <c r="D76" i="12" s="1"/>
  <c r="D77" i="12" s="1"/>
  <c r="D32" i="4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12" i="3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52" i="11"/>
  <c r="D53" i="11" s="1"/>
  <c r="D54" i="11" s="1"/>
  <c r="D55" i="11" s="1"/>
  <c r="D56" i="11" s="1"/>
  <c r="D57" i="11" s="1"/>
  <c r="D58" i="11" s="1"/>
  <c r="D59" i="11" s="1"/>
  <c r="D60" i="11" s="1"/>
  <c r="D61" i="11" s="1"/>
  <c r="D62" i="11" s="1"/>
  <c r="D63" i="11" s="1"/>
  <c r="D64" i="11" s="1"/>
  <c r="D65" i="11" s="1"/>
  <c r="D66" i="11" s="1"/>
  <c r="D67" i="11" s="1"/>
  <c r="D68" i="11" s="1"/>
  <c r="D69" i="11" s="1"/>
  <c r="D70" i="11" s="1"/>
  <c r="D71" i="11" s="1"/>
  <c r="D72" i="11" s="1"/>
  <c r="D73" i="11" s="1"/>
  <c r="D74" i="11" s="1"/>
  <c r="D75" i="11" s="1"/>
  <c r="D30" i="18"/>
  <c r="D31" i="18" s="1"/>
  <c r="D32" i="18" s="1"/>
  <c r="D33" i="18" s="1"/>
  <c r="D34" i="18" s="1"/>
  <c r="D35" i="18" s="1"/>
  <c r="D36" i="18" s="1"/>
  <c r="D37" i="18" s="1"/>
  <c r="D38" i="18" s="1"/>
  <c r="D39" i="18" s="1"/>
  <c r="D40" i="18" s="1"/>
  <c r="D41" i="18" s="1"/>
  <c r="D42" i="18" s="1"/>
  <c r="D43" i="18" s="1"/>
  <c r="D44" i="18" s="1"/>
  <c r="D45" i="18" s="1"/>
  <c r="D46" i="18" s="1"/>
  <c r="D47" i="18" s="1"/>
  <c r="D48" i="18" s="1"/>
  <c r="D49" i="18" s="1"/>
  <c r="D50" i="18" s="1"/>
  <c r="D51" i="18" s="1"/>
  <c r="D52" i="18" s="1"/>
  <c r="D53" i="18" s="1"/>
  <c r="D54" i="18" s="1"/>
  <c r="D55" i="18" s="1"/>
  <c r="D56" i="18" s="1"/>
  <c r="D57" i="18" s="1"/>
  <c r="D58" i="18" s="1"/>
  <c r="D59" i="18" s="1"/>
  <c r="D60" i="18" s="1"/>
  <c r="D61" i="18" s="1"/>
  <c r="D62" i="18" s="1"/>
  <c r="D63" i="18" s="1"/>
  <c r="D64" i="18" s="1"/>
  <c r="D65" i="18" s="1"/>
  <c r="D66" i="18" s="1"/>
  <c r="D67" i="18" s="1"/>
  <c r="D68" i="18" s="1"/>
  <c r="D69" i="18" s="1"/>
  <c r="D70" i="18" s="1"/>
  <c r="D71" i="18" s="1"/>
  <c r="D72" i="18" s="1"/>
  <c r="D73" i="18" s="1"/>
  <c r="D74" i="18" s="1"/>
  <c r="D75" i="18" s="1"/>
  <c r="D76" i="18" s="1"/>
  <c r="D77" i="18" s="1"/>
  <c r="D78" i="18" s="1"/>
  <c r="D79" i="18" s="1"/>
  <c r="D80" i="18" s="1"/>
  <c r="D81" i="18" s="1"/>
  <c r="D82" i="18" s="1"/>
  <c r="D83" i="18" s="1"/>
  <c r="D84" i="18" s="1"/>
  <c r="D85" i="18" s="1"/>
  <c r="D86" i="18" s="1"/>
  <c r="D87" i="18" s="1"/>
  <c r="D88" i="18" s="1"/>
  <c r="D89" i="18" s="1"/>
  <c r="D90" i="18" s="1"/>
  <c r="D91" i="18" s="1"/>
  <c r="D92" i="18" s="1"/>
  <c r="D93" i="18" s="1"/>
  <c r="D94" i="18" s="1"/>
  <c r="D95" i="18" s="1"/>
  <c r="D96" i="18" s="1"/>
  <c r="D97" i="18" s="1"/>
  <c r="D98" i="18" s="1"/>
  <c r="D99" i="18" s="1"/>
  <c r="D100" i="18" s="1"/>
  <c r="D101" i="18" s="1"/>
  <c r="D102" i="18" s="1"/>
  <c r="D103" i="18" s="1"/>
  <c r="D104" i="18" s="1"/>
  <c r="D105" i="18" s="1"/>
  <c r="D106" i="18" s="1"/>
  <c r="D107" i="18" s="1"/>
  <c r="D108" i="18" s="1"/>
  <c r="D109" i="18" s="1"/>
  <c r="D110" i="18" s="1"/>
  <c r="D111" i="18" s="1"/>
  <c r="D112" i="18" s="1"/>
  <c r="D113" i="18" s="1"/>
  <c r="D114" i="18" s="1"/>
  <c r="D115" i="18" s="1"/>
  <c r="D116" i="18" s="1"/>
  <c r="D117" i="18" s="1"/>
  <c r="D118" i="18" s="1"/>
  <c r="D119" i="18" s="1"/>
  <c r="D120" i="18" s="1"/>
  <c r="D121" i="18" s="1"/>
  <c r="D122" i="18" s="1"/>
  <c r="D123" i="18" s="1"/>
  <c r="D124" i="18" s="1"/>
  <c r="D125" i="18" s="1"/>
  <c r="D126" i="18" s="1"/>
  <c r="D127" i="18" s="1"/>
  <c r="D128" i="18" s="1"/>
  <c r="D129" i="18" s="1"/>
  <c r="D130" i="18" s="1"/>
  <c r="D131" i="18" s="1"/>
  <c r="D132" i="18" s="1"/>
  <c r="D133" i="18" s="1"/>
  <c r="D134" i="18" s="1"/>
  <c r="D135" i="18" s="1"/>
  <c r="D136" i="18" s="1"/>
  <c r="D137" i="18" s="1"/>
  <c r="D138" i="18" s="1"/>
  <c r="D139" i="18" s="1"/>
  <c r="D140" i="18" s="1"/>
  <c r="D141" i="18" s="1"/>
  <c r="D142" i="18" s="1"/>
  <c r="D143" i="18" s="1"/>
  <c r="D144" i="18" s="1"/>
  <c r="D145" i="18" s="1"/>
  <c r="D146" i="18" s="1"/>
  <c r="D147" i="18" s="1"/>
  <c r="D148" i="18" s="1"/>
  <c r="D149" i="18" s="1"/>
  <c r="D150" i="18" s="1"/>
  <c r="D151" i="18" s="1"/>
  <c r="D152" i="18" s="1"/>
  <c r="D153" i="18" s="1"/>
  <c r="D154" i="18" s="1"/>
  <c r="D155" i="18" s="1"/>
  <c r="D156" i="18" s="1"/>
  <c r="D157" i="18" s="1"/>
  <c r="D158" i="18" s="1"/>
  <c r="D159" i="18" s="1"/>
  <c r="D160" i="18" s="1"/>
  <c r="D161" i="18" s="1"/>
  <c r="D162" i="18" s="1"/>
  <c r="D163" i="18" s="1"/>
  <c r="D164" i="18" s="1"/>
  <c r="D165" i="18" s="1"/>
  <c r="D166" i="18" s="1"/>
  <c r="D167" i="18" s="1"/>
  <c r="D168" i="18" s="1"/>
  <c r="D169" i="18" s="1"/>
  <c r="D170" i="18" s="1"/>
  <c r="D171" i="18" s="1"/>
  <c r="D172" i="18" s="1"/>
  <c r="D173" i="18" s="1"/>
  <c r="D174" i="18" s="1"/>
  <c r="D175" i="18" s="1"/>
  <c r="D176" i="18" s="1"/>
  <c r="D177" i="18" s="1"/>
  <c r="D178" i="18" s="1"/>
  <c r="D179" i="18" s="1"/>
  <c r="D180" i="18" s="1"/>
  <c r="D181" i="18" s="1"/>
  <c r="D182" i="18" s="1"/>
  <c r="D183" i="18" s="1"/>
  <c r="D184" i="18" s="1"/>
  <c r="D185" i="18" s="1"/>
  <c r="D186" i="18" s="1"/>
  <c r="D187" i="18" s="1"/>
  <c r="D188" i="18" s="1"/>
  <c r="D189" i="18" s="1"/>
  <c r="D190" i="18" s="1"/>
  <c r="D191" i="18" s="1"/>
  <c r="D192" i="18" s="1"/>
  <c r="D193" i="18" s="1"/>
  <c r="D194" i="18" s="1"/>
  <c r="D195" i="18" s="1"/>
  <c r="D196" i="18" s="1"/>
  <c r="D197" i="18" s="1"/>
  <c r="D198" i="18" s="1"/>
  <c r="D199" i="18" s="1"/>
  <c r="D200" i="18" s="1"/>
  <c r="D201" i="18" s="1"/>
  <c r="D202" i="18" s="1"/>
  <c r="D16" i="17"/>
  <c r="D17" i="17" s="1"/>
  <c r="D18" i="17" s="1"/>
  <c r="D19" i="17" s="1"/>
  <c r="D20" i="17" s="1"/>
  <c r="D21" i="17" s="1"/>
  <c r="D22" i="17" s="1"/>
  <c r="D23" i="17" s="1"/>
  <c r="D24" i="17" s="1"/>
  <c r="D25" i="17" s="1"/>
  <c r="D26" i="17" s="1"/>
  <c r="D27" i="17" s="1"/>
  <c r="D16" i="13"/>
  <c r="D17" i="13" s="1"/>
  <c r="D18" i="13" s="1"/>
  <c r="D19" i="13" s="1"/>
  <c r="D20" i="13" s="1"/>
  <c r="D21" i="13" s="1"/>
  <c r="D22" i="13" s="1"/>
  <c r="D23" i="13" s="1"/>
  <c r="D24" i="13" s="1"/>
  <c r="D25" i="13" s="1"/>
  <c r="D26" i="13" s="1"/>
  <c r="D27" i="13" s="1"/>
  <c r="D28" i="13" s="1"/>
  <c r="D29" i="13" s="1"/>
  <c r="D30" i="13" s="1"/>
  <c r="D31" i="13" s="1"/>
  <c r="D32" i="13" s="1"/>
  <c r="D33" i="13" s="1"/>
  <c r="D34" i="13" s="1"/>
  <c r="D35" i="13" s="1"/>
  <c r="D36" i="13" s="1"/>
  <c r="D37" i="13" s="1"/>
  <c r="D38" i="13" s="1"/>
  <c r="D39" i="13" s="1"/>
  <c r="D40" i="13" s="1"/>
  <c r="D41" i="13" s="1"/>
  <c r="D42" i="13" s="1"/>
  <c r="D43" i="13" s="1"/>
  <c r="D44" i="13" s="1"/>
  <c r="D45" i="13" s="1"/>
  <c r="D46" i="13" s="1"/>
  <c r="D47" i="13" s="1"/>
  <c r="D48" i="13" s="1"/>
  <c r="D49" i="13" s="1"/>
  <c r="D15" i="21"/>
  <c r="D16" i="21" s="1"/>
  <c r="D17" i="21" s="1"/>
  <c r="D18" i="21" s="1"/>
  <c r="D19" i="21" s="1"/>
  <c r="D20" i="21" s="1"/>
  <c r="D21" i="21" s="1"/>
  <c r="D22" i="21" s="1"/>
  <c r="D23" i="21" s="1"/>
  <c r="D24" i="21" s="1"/>
  <c r="D25" i="21" s="1"/>
  <c r="D26" i="21" s="1"/>
  <c r="D27" i="21" s="1"/>
  <c r="D28" i="21" s="1"/>
  <c r="D29" i="21" s="1"/>
  <c r="D30" i="21" s="1"/>
  <c r="D31" i="21" s="1"/>
  <c r="D32" i="21" s="1"/>
  <c r="D33" i="21" s="1"/>
  <c r="D34" i="21" s="1"/>
  <c r="D35" i="21" s="1"/>
  <c r="D36" i="21" s="1"/>
  <c r="D37" i="21" s="1"/>
  <c r="D38" i="21" s="1"/>
  <c r="D39" i="21" s="1"/>
  <c r="D40" i="21" s="1"/>
  <c r="D41" i="21" s="1"/>
  <c r="D42" i="21" s="1"/>
  <c r="D43" i="21" s="1"/>
  <c r="D44" i="21" s="1"/>
  <c r="D45" i="21" s="1"/>
  <c r="D46" i="21" s="1"/>
  <c r="D47" i="21" s="1"/>
  <c r="D48" i="21" s="1"/>
  <c r="D49" i="21" s="1"/>
  <c r="D50" i="21" s="1"/>
  <c r="D51" i="21" s="1"/>
  <c r="D52" i="21" s="1"/>
  <c r="D53" i="21" s="1"/>
  <c r="D54" i="21" s="1"/>
  <c r="D55" i="21" s="1"/>
  <c r="D56" i="21" s="1"/>
  <c r="D57" i="21" s="1"/>
  <c r="D58" i="21" s="1"/>
  <c r="D59" i="21" s="1"/>
  <c r="D60" i="21" s="1"/>
  <c r="D61" i="21" s="1"/>
  <c r="D62" i="21" s="1"/>
  <c r="D63" i="21" s="1"/>
  <c r="D64" i="21" s="1"/>
  <c r="D65" i="21" s="1"/>
  <c r="D66" i="21" s="1"/>
  <c r="D67" i="21" s="1"/>
  <c r="D68" i="21" s="1"/>
  <c r="D69" i="21" s="1"/>
  <c r="D70" i="21" s="1"/>
  <c r="D71" i="21" s="1"/>
  <c r="D72" i="21" s="1"/>
  <c r="D73" i="21" s="1"/>
  <c r="D74" i="21" s="1"/>
  <c r="D75" i="21" s="1"/>
  <c r="D76" i="21" s="1"/>
  <c r="D77" i="21" s="1"/>
  <c r="D78" i="21" s="1"/>
  <c r="D79" i="21" s="1"/>
  <c r="D80" i="21" s="1"/>
  <c r="D81" i="21" s="1"/>
  <c r="D82" i="21" s="1"/>
  <c r="D83" i="21" s="1"/>
  <c r="D84" i="21" s="1"/>
  <c r="D85" i="21" s="1"/>
  <c r="D86" i="21" s="1"/>
  <c r="D87" i="21" s="1"/>
  <c r="D88" i="21" s="1"/>
  <c r="D89" i="21" s="1"/>
  <c r="D90" i="21" s="1"/>
  <c r="D91" i="21" s="1"/>
  <c r="D92" i="21" s="1"/>
  <c r="D93" i="21" s="1"/>
  <c r="D94" i="21" s="1"/>
  <c r="D95" i="21" s="1"/>
  <c r="D96" i="21" s="1"/>
  <c r="D97" i="21" s="1"/>
  <c r="D98" i="21" s="1"/>
  <c r="D99" i="21" s="1"/>
  <c r="D100" i="21" s="1"/>
  <c r="D101" i="21" s="1"/>
  <c r="D102" i="21" s="1"/>
  <c r="D103" i="21" s="1"/>
  <c r="D104" i="21" s="1"/>
  <c r="D105" i="21" s="1"/>
  <c r="D106" i="21" s="1"/>
  <c r="D107" i="21" s="1"/>
  <c r="D108" i="21" s="1"/>
  <c r="D109" i="21" s="1"/>
  <c r="D110" i="21" s="1"/>
  <c r="D111" i="21" s="1"/>
  <c r="D112" i="21" s="1"/>
  <c r="D113" i="21" s="1"/>
  <c r="D114" i="21" s="1"/>
  <c r="D115" i="21" s="1"/>
  <c r="D116" i="21" s="1"/>
  <c r="D117" i="21" s="1"/>
  <c r="D118" i="21" s="1"/>
  <c r="D119" i="21" s="1"/>
  <c r="D120" i="21" s="1"/>
  <c r="D121" i="21" s="1"/>
  <c r="D122" i="21" s="1"/>
  <c r="D123" i="21" s="1"/>
  <c r="D124" i="21" s="1"/>
  <c r="D125" i="21" s="1"/>
  <c r="D126" i="21" s="1"/>
  <c r="D127" i="21" s="1"/>
  <c r="D128" i="21" s="1"/>
  <c r="D129" i="21" s="1"/>
  <c r="D130" i="21" s="1"/>
  <c r="D131" i="21" s="1"/>
  <c r="D132" i="21" s="1"/>
  <c r="D133" i="21" s="1"/>
  <c r="D134" i="21" s="1"/>
  <c r="D135" i="21" s="1"/>
  <c r="D136" i="21" s="1"/>
  <c r="D137" i="21" s="1"/>
  <c r="D138" i="21" s="1"/>
  <c r="D139" i="21" s="1"/>
  <c r="D140" i="21" s="1"/>
  <c r="D141" i="21" s="1"/>
  <c r="D142" i="21" s="1"/>
  <c r="D143" i="21" s="1"/>
  <c r="D144" i="21" s="1"/>
  <c r="D145" i="21" s="1"/>
  <c r="D146" i="21" s="1"/>
  <c r="D147" i="21" s="1"/>
  <c r="D148" i="21" s="1"/>
  <c r="D149" i="21" s="1"/>
  <c r="D150" i="21" s="1"/>
  <c r="D151" i="21" s="1"/>
  <c r="D152" i="21" s="1"/>
  <c r="D153" i="21" s="1"/>
  <c r="D154" i="21" s="1"/>
  <c r="D155" i="21" s="1"/>
  <c r="D156" i="21" s="1"/>
  <c r="D157" i="21" s="1"/>
  <c r="D158" i="21" s="1"/>
  <c r="D159" i="21" s="1"/>
  <c r="D160" i="21" s="1"/>
  <c r="D161" i="21" s="1"/>
  <c r="D162" i="21" s="1"/>
  <c r="D163" i="21" s="1"/>
  <c r="D164" i="21" s="1"/>
  <c r="D165" i="21" s="1"/>
  <c r="D166" i="21" s="1"/>
  <c r="D167" i="21" s="1"/>
  <c r="D168" i="21" s="1"/>
  <c r="D169" i="21" s="1"/>
  <c r="D170" i="21" s="1"/>
  <c r="D171" i="21" s="1"/>
  <c r="D172" i="21" s="1"/>
  <c r="D173" i="21" s="1"/>
  <c r="D174" i="21" s="1"/>
  <c r="D175" i="21" s="1"/>
  <c r="D176" i="21" s="1"/>
  <c r="D177" i="21" s="1"/>
  <c r="D178" i="21" s="1"/>
  <c r="D179" i="21" s="1"/>
  <c r="D180" i="21" s="1"/>
  <c r="D181" i="21" s="1"/>
  <c r="D182" i="21" s="1"/>
  <c r="D11" i="16"/>
  <c r="D12" i="16" s="1"/>
  <c r="D13" i="16" s="1"/>
  <c r="D14" i="16" s="1"/>
  <c r="D15" i="16" s="1"/>
  <c r="D16" i="16" s="1"/>
  <c r="D17" i="16" s="1"/>
  <c r="D18" i="16" s="1"/>
  <c r="D19" i="16" s="1"/>
  <c r="D20" i="16" s="1"/>
  <c r="D21" i="16" s="1"/>
  <c r="D22" i="16" s="1"/>
  <c r="D23" i="16" s="1"/>
  <c r="D24" i="16" s="1"/>
  <c r="D25" i="16" s="1"/>
  <c r="D26" i="16" s="1"/>
  <c r="D27" i="16" s="1"/>
  <c r="D28" i="16" s="1"/>
  <c r="D29" i="16" s="1"/>
  <c r="D30" i="16" s="1"/>
  <c r="D31" i="16" s="1"/>
  <c r="D32" i="16" s="1"/>
  <c r="D33" i="16" s="1"/>
  <c r="D34" i="16" s="1"/>
  <c r="D42" i="16" s="1"/>
  <c r="D43" i="16" s="1"/>
  <c r="D11" i="15"/>
  <c r="D12" i="15" s="1"/>
  <c r="D13" i="15" s="1"/>
  <c r="D14" i="15" s="1"/>
  <c r="D15" i="15" s="1"/>
  <c r="D16" i="15" s="1"/>
  <c r="D17" i="15" s="1"/>
  <c r="D18" i="15" s="1"/>
  <c r="D19" i="15" s="1"/>
  <c r="D20" i="15" s="1"/>
  <c r="D21" i="15" s="1"/>
  <c r="D22" i="15" s="1"/>
  <c r="D23" i="15" s="1"/>
  <c r="D24" i="15" s="1"/>
  <c r="D25" i="15" s="1"/>
  <c r="D26" i="15" s="1"/>
  <c r="D27" i="15" s="1"/>
  <c r="D28" i="15" s="1"/>
  <c r="D29" i="15" s="1"/>
  <c r="D30" i="15" s="1"/>
  <c r="D31" i="15" s="1"/>
  <c r="D32" i="15" s="1"/>
  <c r="D33" i="15" s="1"/>
  <c r="D34" i="15" s="1"/>
  <c r="D35" i="15" s="1"/>
  <c r="D36" i="15" s="1"/>
  <c r="D37" i="15" s="1"/>
  <c r="D38" i="15" s="1"/>
  <c r="D39" i="15" s="1"/>
  <c r="D40" i="15" s="1"/>
  <c r="D41" i="15" s="1"/>
  <c r="D42" i="15" s="1"/>
  <c r="D43" i="15" s="1"/>
  <c r="D44" i="15" s="1"/>
  <c r="D45" i="15" s="1"/>
  <c r="D46" i="15" s="1"/>
  <c r="D47" i="15" s="1"/>
  <c r="D48" i="15" s="1"/>
  <c r="D49" i="15" s="1"/>
  <c r="D50" i="15" s="1"/>
  <c r="D51" i="15" s="1"/>
  <c r="D52" i="15" s="1"/>
  <c r="D53" i="15" s="1"/>
  <c r="D54" i="15" s="1"/>
  <c r="D55" i="15" s="1"/>
  <c r="D203" i="18" l="1"/>
  <c r="D204" i="18" s="1"/>
  <c r="D205" i="18" s="1"/>
  <c r="D183" i="21"/>
  <c r="D184" i="21" s="1"/>
  <c r="D185" i="21" s="1"/>
  <c r="D186" i="21" s="1"/>
  <c r="D187" i="21" s="1"/>
  <c r="D188" i="21" s="1"/>
  <c r="D189" i="21" s="1"/>
  <c r="D203" i="21" s="1"/>
  <c r="D204" i="21" s="1"/>
  <c r="D205" i="21" s="1"/>
  <c r="D206" i="21" s="1"/>
  <c r="D212" i="37"/>
  <c r="D213" i="37" s="1"/>
  <c r="D214" i="37" s="1"/>
  <c r="D215" i="37" s="1"/>
  <c r="D216" i="37" s="1"/>
  <c r="D217" i="37" s="1"/>
  <c r="D218" i="37" s="1"/>
  <c r="D219" i="37" s="1"/>
  <c r="D220" i="37" s="1"/>
  <c r="D190" i="8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D201" i="8" s="1"/>
  <c r="D202" i="8" s="1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80" i="4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3" i="4" s="1"/>
  <c r="D144" i="4" s="1"/>
  <c r="D145" i="4" s="1"/>
  <c r="D146" i="4" s="1"/>
  <c r="D147" i="4" s="1"/>
  <c r="D148" i="4" s="1"/>
  <c r="D149" i="4" s="1"/>
  <c r="D150" i="4" s="1"/>
  <c r="D56" i="28"/>
  <c r="D57" i="28" s="1"/>
  <c r="D58" i="28" s="1"/>
  <c r="D59" i="28" s="1"/>
  <c r="D60" i="28" s="1"/>
  <c r="D54" i="29"/>
  <c r="D57" i="29" s="1"/>
  <c r="D58" i="29" s="1"/>
  <c r="D59" i="29" s="1"/>
  <c r="D60" i="29" s="1"/>
  <c r="D136" i="10"/>
  <c r="D137" i="10" s="1"/>
  <c r="D138" i="10" s="1"/>
  <c r="D139" i="10" s="1"/>
  <c r="D140" i="10" s="1"/>
  <c r="D141" i="10" s="1"/>
  <c r="D142" i="10" s="1"/>
  <c r="D143" i="10" s="1"/>
  <c r="D144" i="10" s="1"/>
  <c r="D145" i="10" s="1"/>
  <c r="D146" i="10" s="1"/>
  <c r="D147" i="10" s="1"/>
  <c r="D148" i="10" s="1"/>
  <c r="D149" i="10" s="1"/>
  <c r="D150" i="10" s="1"/>
  <c r="D151" i="10" s="1"/>
  <c r="D152" i="10" s="1"/>
  <c r="D153" i="10" s="1"/>
  <c r="D154" i="10" s="1"/>
  <c r="D155" i="10" s="1"/>
  <c r="D156" i="10" s="1"/>
  <c r="D157" i="10" s="1"/>
  <c r="D158" i="10" s="1"/>
  <c r="D159" i="10" s="1"/>
  <c r="D160" i="10" s="1"/>
  <c r="D161" i="10" s="1"/>
  <c r="D73" i="23"/>
  <c r="D74" i="23" s="1"/>
  <c r="D75" i="23" s="1"/>
  <c r="D76" i="23" s="1"/>
  <c r="D77" i="23" s="1"/>
  <c r="D78" i="23" s="1"/>
  <c r="D79" i="23" s="1"/>
  <c r="D80" i="23" s="1"/>
  <c r="D81" i="23" s="1"/>
  <c r="D82" i="23" s="1"/>
  <c r="D83" i="23" s="1"/>
  <c r="D84" i="23" s="1"/>
  <c r="D85" i="23" s="1"/>
  <c r="D86" i="23" s="1"/>
  <c r="D87" i="23" s="1"/>
  <c r="D88" i="23" s="1"/>
  <c r="D89" i="23" s="1"/>
  <c r="D90" i="23" s="1"/>
  <c r="D91" i="23" s="1"/>
  <c r="D92" i="23" s="1"/>
  <c r="D93" i="23" s="1"/>
  <c r="D94" i="23" s="1"/>
  <c r="D95" i="23" s="1"/>
  <c r="D96" i="23" s="1"/>
  <c r="D97" i="23" s="1"/>
  <c r="D98" i="23" s="1"/>
  <c r="D99" i="23" s="1"/>
  <c r="D100" i="23" s="1"/>
  <c r="D101" i="23" s="1"/>
  <c r="D102" i="23" s="1"/>
  <c r="D103" i="23" s="1"/>
  <c r="D104" i="23" s="1"/>
  <c r="D105" i="23" s="1"/>
  <c r="D106" i="23" s="1"/>
  <c r="D107" i="23" s="1"/>
  <c r="D108" i="23" s="1"/>
  <c r="D109" i="23" s="1"/>
  <c r="D110" i="23" s="1"/>
  <c r="D111" i="23" s="1"/>
  <c r="D112" i="23" s="1"/>
  <c r="D113" i="23" s="1"/>
  <c r="D114" i="23" s="1"/>
  <c r="D115" i="23" s="1"/>
  <c r="D116" i="23" s="1"/>
  <c r="D117" i="23" s="1"/>
  <c r="D118" i="23" s="1"/>
  <c r="D119" i="23" s="1"/>
  <c r="D120" i="23" s="1"/>
  <c r="D121" i="23" s="1"/>
  <c r="D122" i="23" s="1"/>
  <c r="D123" i="23" s="1"/>
  <c r="D124" i="23" s="1"/>
  <c r="D125" i="23" s="1"/>
  <c r="D126" i="23" s="1"/>
  <c r="D127" i="23" s="1"/>
  <c r="D128" i="23" s="1"/>
  <c r="D129" i="23" s="1"/>
  <c r="D130" i="23" s="1"/>
  <c r="D131" i="23" s="1"/>
  <c r="D132" i="23" s="1"/>
  <c r="D133" i="23" s="1"/>
  <c r="D134" i="23" s="1"/>
  <c r="D135" i="23" s="1"/>
  <c r="D136" i="23" s="1"/>
  <c r="D137" i="23" s="1"/>
  <c r="D138" i="23" s="1"/>
  <c r="D139" i="23" s="1"/>
  <c r="D140" i="23" s="1"/>
  <c r="D141" i="23" s="1"/>
  <c r="D142" i="23" s="1"/>
  <c r="D143" i="23" s="1"/>
  <c r="D144" i="23" s="1"/>
  <c r="D145" i="23" s="1"/>
  <c r="D146" i="23" s="1"/>
  <c r="D147" i="23" s="1"/>
  <c r="D148" i="23" s="1"/>
  <c r="D149" i="23" s="1"/>
  <c r="D84" i="19"/>
  <c r="D85" i="19" s="1"/>
  <c r="D86" i="19" s="1"/>
  <c r="D87" i="19" s="1"/>
  <c r="D88" i="19" s="1"/>
  <c r="D89" i="19" s="1"/>
  <c r="D90" i="19" s="1"/>
  <c r="D91" i="19" s="1"/>
  <c r="D92" i="19" s="1"/>
  <c r="D93" i="19" s="1"/>
  <c r="D94" i="19" s="1"/>
  <c r="D95" i="19" s="1"/>
  <c r="D50" i="13"/>
  <c r="D51" i="13" s="1"/>
  <c r="D52" i="13" s="1"/>
  <c r="D53" i="13" s="1"/>
  <c r="D54" i="13" s="1"/>
  <c r="D55" i="13" s="1"/>
  <c r="D56" i="13" s="1"/>
  <c r="D57" i="13" s="1"/>
  <c r="D58" i="13" s="1"/>
  <c r="D59" i="13" s="1"/>
  <c r="D60" i="13" s="1"/>
  <c r="D61" i="13" s="1"/>
  <c r="D62" i="13" s="1"/>
  <c r="D63" i="13" s="1"/>
  <c r="D64" i="13" s="1"/>
  <c r="D65" i="13" s="1"/>
  <c r="D66" i="13" s="1"/>
  <c r="D67" i="13" s="1"/>
  <c r="D68" i="13" s="1"/>
  <c r="D69" i="13" s="1"/>
  <c r="D70" i="13" s="1"/>
  <c r="D71" i="13" s="1"/>
  <c r="D72" i="13" s="1"/>
  <c r="D73" i="13" s="1"/>
  <c r="D74" i="13" s="1"/>
  <c r="D75" i="13" s="1"/>
  <c r="D76" i="13" s="1"/>
  <c r="D56" i="15"/>
  <c r="D57" i="15" s="1"/>
  <c r="D58" i="15" s="1"/>
  <c r="D59" i="15" s="1"/>
  <c r="D60" i="15" s="1"/>
  <c r="D61" i="15" s="1"/>
  <c r="D62" i="15" s="1"/>
  <c r="D63" i="15" s="1"/>
  <c r="D64" i="15" s="1"/>
  <c r="D65" i="15" s="1"/>
  <c r="D66" i="15" s="1"/>
  <c r="D67" i="15" s="1"/>
  <c r="D68" i="15" s="1"/>
  <c r="D69" i="15" s="1"/>
  <c r="D70" i="15" s="1"/>
  <c r="D71" i="15" s="1"/>
  <c r="D72" i="15" s="1"/>
  <c r="D73" i="15" s="1"/>
  <c r="D73" i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4" i="1" s="1"/>
  <c r="D76" i="11"/>
  <c r="D77" i="11" s="1"/>
  <c r="D78" i="11" s="1"/>
  <c r="D79" i="11" s="1"/>
  <c r="D80" i="11" s="1"/>
  <c r="D81" i="11" s="1"/>
  <c r="D82" i="11" s="1"/>
  <c r="D83" i="11" s="1"/>
  <c r="D84" i="11" s="1"/>
  <c r="D85" i="11" s="1"/>
  <c r="D86" i="11" s="1"/>
  <c r="D87" i="11" s="1"/>
  <c r="D88" i="11" s="1"/>
  <c r="D89" i="11" s="1"/>
  <c r="D90" i="11" s="1"/>
  <c r="D91" i="11" s="1"/>
  <c r="D92" i="11" s="1"/>
  <c r="D93" i="11" s="1"/>
  <c r="D94" i="11" s="1"/>
  <c r="D78" i="12"/>
  <c r="D79" i="12" s="1"/>
  <c r="D80" i="12" s="1"/>
  <c r="D81" i="12" s="1"/>
  <c r="D82" i="12" s="1"/>
  <c r="D83" i="12" s="1"/>
  <c r="D84" i="12" s="1"/>
  <c r="D85" i="12" s="1"/>
  <c r="D86" i="12" s="1"/>
  <c r="D87" i="12" s="1"/>
  <c r="D88" i="12" s="1"/>
  <c r="D89" i="12" s="1"/>
  <c r="D90" i="12" s="1"/>
  <c r="D91" i="12" s="1"/>
  <c r="D92" i="12" s="1"/>
  <c r="D93" i="12" s="1"/>
  <c r="D94" i="12" s="1"/>
  <c r="D95" i="12" s="1"/>
  <c r="D96" i="12" s="1"/>
  <c r="D97" i="12" s="1"/>
  <c r="D98" i="12" s="1"/>
  <c r="D99" i="12" s="1"/>
  <c r="D100" i="12" s="1"/>
  <c r="D101" i="12" s="1"/>
  <c r="D102" i="12" s="1"/>
  <c r="D103" i="12" s="1"/>
  <c r="D104" i="12" s="1"/>
  <c r="D105" i="12" s="1"/>
  <c r="D106" i="12" s="1"/>
  <c r="D107" i="12" s="1"/>
  <c r="D108" i="12" s="1"/>
  <c r="D109" i="12" s="1"/>
  <c r="D110" i="12" s="1"/>
  <c r="D111" i="12" s="1"/>
  <c r="D112" i="12" s="1"/>
  <c r="D113" i="12" s="1"/>
  <c r="D114" i="12" s="1"/>
  <c r="D115" i="12" s="1"/>
  <c r="D116" i="12" s="1"/>
  <c r="D117" i="12" s="1"/>
  <c r="D118" i="12" s="1"/>
  <c r="D119" i="12" s="1"/>
  <c r="D120" i="12" s="1"/>
  <c r="D121" i="12" s="1"/>
  <c r="D122" i="12" s="1"/>
  <c r="D123" i="12" s="1"/>
  <c r="D124" i="12" s="1"/>
  <c r="D125" i="12" s="1"/>
  <c r="D126" i="12" s="1"/>
  <c r="D127" i="12" s="1"/>
  <c r="D128" i="12" s="1"/>
  <c r="D129" i="12" s="1"/>
  <c r="D130" i="12" s="1"/>
  <c r="D131" i="12" s="1"/>
  <c r="D132" i="12" s="1"/>
  <c r="D133" i="12" s="1"/>
  <c r="D134" i="12" s="1"/>
  <c r="D135" i="12" s="1"/>
  <c r="D136" i="12" s="1"/>
  <c r="D137" i="12" s="1"/>
  <c r="D138" i="12" s="1"/>
  <c r="D139" i="12" s="1"/>
  <c r="D140" i="12" s="1"/>
  <c r="D141" i="12" s="1"/>
  <c r="D142" i="12" s="1"/>
  <c r="D143" i="12" s="1"/>
  <c r="D144" i="12" s="1"/>
  <c r="D145" i="12" s="1"/>
  <c r="D146" i="12" s="1"/>
  <c r="D147" i="12" s="1"/>
  <c r="D148" i="12" s="1"/>
  <c r="D149" i="12" s="1"/>
  <c r="D150" i="12" s="1"/>
  <c r="D151" i="12" s="1"/>
  <c r="D152" i="12" s="1"/>
  <c r="D153" i="12" s="1"/>
  <c r="D154" i="12" s="1"/>
  <c r="D155" i="12" s="1"/>
  <c r="D156" i="12" s="1"/>
  <c r="D157" i="12" s="1"/>
  <c r="D158" i="12" s="1"/>
  <c r="D159" i="12" s="1"/>
  <c r="D160" i="12" s="1"/>
  <c r="D161" i="12" s="1"/>
  <c r="D162" i="12" s="1"/>
  <c r="D163" i="12" s="1"/>
  <c r="D164" i="12" s="1"/>
  <c r="D165" i="12" s="1"/>
  <c r="D166" i="12" s="1"/>
  <c r="D167" i="12" s="1"/>
  <c r="D168" i="12" s="1"/>
  <c r="D169" i="12" s="1"/>
  <c r="D170" i="12" s="1"/>
  <c r="D171" i="12" s="1"/>
  <c r="D172" i="12" s="1"/>
  <c r="D173" i="12" s="1"/>
  <c r="D174" i="12" s="1"/>
  <c r="D175" i="12" s="1"/>
  <c r="D176" i="12" s="1"/>
  <c r="D177" i="12" s="1"/>
  <c r="D178" i="12" s="1"/>
  <c r="D179" i="12" s="1"/>
  <c r="D180" i="12" s="1"/>
  <c r="D181" i="12" s="1"/>
  <c r="D182" i="12" s="1"/>
  <c r="D183" i="12" s="1"/>
  <c r="D184" i="12" s="1"/>
  <c r="D185" i="12" s="1"/>
  <c r="D186" i="12" s="1"/>
  <c r="D187" i="12" s="1"/>
  <c r="D188" i="12" s="1"/>
  <c r="D189" i="12" s="1"/>
  <c r="D190" i="12" s="1"/>
  <c r="D191" i="12" s="1"/>
  <c r="D192" i="12" s="1"/>
  <c r="D193" i="12" s="1"/>
  <c r="D194" i="12" s="1"/>
  <c r="D195" i="12" s="1"/>
  <c r="D196" i="12" s="1"/>
  <c r="D197" i="12" s="1"/>
  <c r="D198" i="12" s="1"/>
  <c r="D199" i="12" s="1"/>
  <c r="D200" i="12" s="1"/>
  <c r="D201" i="12" s="1"/>
  <c r="D202" i="12" s="1"/>
  <c r="D203" i="12" s="1"/>
  <c r="D204" i="12" s="1"/>
  <c r="D205" i="12" s="1"/>
  <c r="D206" i="12" s="1"/>
  <c r="D207" i="12" s="1"/>
  <c r="D208" i="12" s="1"/>
  <c r="D209" i="12" s="1"/>
  <c r="D210" i="12" s="1"/>
  <c r="D211" i="12" s="1"/>
  <c r="D212" i="12" s="1"/>
  <c r="D74" i="3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28" i="17"/>
  <c r="D29" i="17" s="1"/>
  <c r="D30" i="17" s="1"/>
  <c r="D31" i="17" s="1"/>
  <c r="D206" i="18" l="1"/>
  <c r="D207" i="18" s="1"/>
  <c r="D208" i="18" s="1"/>
  <c r="D219" i="18" s="1"/>
  <c r="D221" i="37"/>
  <c r="D222" i="37" s="1"/>
  <c r="D223" i="37" s="1"/>
  <c r="D224" i="37" s="1"/>
  <c r="D225" i="37" s="1"/>
  <c r="D226" i="37" s="1"/>
  <c r="D227" i="37" s="1"/>
  <c r="D228" i="37" s="1"/>
  <c r="D229" i="37" s="1"/>
  <c r="D230" i="37" s="1"/>
  <c r="D231" i="37" s="1"/>
  <c r="D232" i="37" s="1"/>
  <c r="D233" i="37" s="1"/>
  <c r="D234" i="37" s="1"/>
  <c r="D235" i="37" s="1"/>
  <c r="D236" i="37" s="1"/>
  <c r="D247" i="37" s="1"/>
  <c r="D248" i="37" s="1"/>
  <c r="D249" i="37" s="1"/>
  <c r="D250" i="37" s="1"/>
  <c r="D251" i="37" s="1"/>
  <c r="D252" i="37" s="1"/>
  <c r="D213" i="12"/>
  <c r="D214" i="12" s="1"/>
  <c r="D215" i="12" s="1"/>
  <c r="D216" i="12" s="1"/>
  <c r="D217" i="12" s="1"/>
  <c r="D218" i="12" s="1"/>
  <c r="D219" i="12" s="1"/>
  <c r="D220" i="12" s="1"/>
  <c r="D221" i="12" s="1"/>
  <c r="D222" i="12" s="1"/>
  <c r="D223" i="12" s="1"/>
  <c r="D224" i="12" s="1"/>
  <c r="D225" i="12" s="1"/>
  <c r="D226" i="12" s="1"/>
  <c r="D227" i="12" s="1"/>
  <c r="D228" i="12" s="1"/>
  <c r="D229" i="12" s="1"/>
  <c r="D230" i="12" s="1"/>
  <c r="D231" i="12" s="1"/>
  <c r="D232" i="12" s="1"/>
  <c r="D233" i="12" s="1"/>
  <c r="D234" i="12" s="1"/>
  <c r="D235" i="12" s="1"/>
  <c r="D236" i="12" s="1"/>
  <c r="D237" i="12" s="1"/>
  <c r="D238" i="12" s="1"/>
  <c r="D239" i="12" s="1"/>
  <c r="D240" i="12" s="1"/>
  <c r="D241" i="12" s="1"/>
  <c r="D242" i="12" s="1"/>
  <c r="D243" i="12" s="1"/>
  <c r="D244" i="12" s="1"/>
  <c r="D245" i="12" s="1"/>
  <c r="D246" i="12" s="1"/>
  <c r="D247" i="12" s="1"/>
  <c r="D248" i="12" s="1"/>
  <c r="D249" i="12" s="1"/>
  <c r="D250" i="12" s="1"/>
  <c r="D251" i="12" s="1"/>
  <c r="D252" i="12" s="1"/>
  <c r="D253" i="12" s="1"/>
  <c r="D77" i="13"/>
  <c r="D78" i="13" s="1"/>
  <c r="D79" i="13" s="1"/>
  <c r="D80" i="13" s="1"/>
  <c r="D81" i="13" s="1"/>
  <c r="D82" i="13" s="1"/>
  <c r="D83" i="13" s="1"/>
  <c r="D84" i="13" s="1"/>
  <c r="D85" i="13" s="1"/>
  <c r="D86" i="13" s="1"/>
  <c r="D87" i="13" s="1"/>
  <c r="D88" i="13" s="1"/>
  <c r="D89" i="13" s="1"/>
  <c r="D90" i="13" s="1"/>
  <c r="D91" i="13" s="1"/>
  <c r="D92" i="13" s="1"/>
  <c r="D93" i="13" s="1"/>
  <c r="D94" i="13" s="1"/>
  <c r="D95" i="13" s="1"/>
  <c r="D96" i="13" s="1"/>
  <c r="D97" i="13" s="1"/>
  <c r="D98" i="13" s="1"/>
  <c r="D99" i="13" s="1"/>
  <c r="D100" i="13" s="1"/>
  <c r="D101" i="13" s="1"/>
  <c r="D102" i="13" s="1"/>
  <c r="D103" i="13" s="1"/>
  <c r="D104" i="13" s="1"/>
  <c r="D105" i="13" s="1"/>
  <c r="D106" i="13" s="1"/>
  <c r="D107" i="13" s="1"/>
  <c r="D108" i="13" s="1"/>
  <c r="D109" i="13" s="1"/>
  <c r="D110" i="13" s="1"/>
  <c r="D111" i="13" s="1"/>
  <c r="D112" i="13" s="1"/>
  <c r="D113" i="13" s="1"/>
  <c r="D114" i="13" s="1"/>
  <c r="D115" i="13" s="1"/>
  <c r="D116" i="13" s="1"/>
  <c r="D117" i="13" s="1"/>
  <c r="D118" i="13" s="1"/>
  <c r="D119" i="13" s="1"/>
  <c r="D120" i="13" s="1"/>
  <c r="D121" i="13" s="1"/>
  <c r="D122" i="13" s="1"/>
  <c r="D123" i="13" s="1"/>
  <c r="D124" i="13" s="1"/>
  <c r="D125" i="13" s="1"/>
  <c r="D126" i="13" s="1"/>
  <c r="D127" i="13" s="1"/>
  <c r="D128" i="13" s="1"/>
  <c r="D129" i="13" s="1"/>
  <c r="D130" i="13" s="1"/>
  <c r="D131" i="13" s="1"/>
  <c r="D132" i="13" s="1"/>
  <c r="D133" i="13" s="1"/>
  <c r="D134" i="13" s="1"/>
  <c r="D135" i="13" s="1"/>
  <c r="D136" i="13" s="1"/>
  <c r="D137" i="13" s="1"/>
  <c r="D138" i="13" s="1"/>
  <c r="D139" i="13" s="1"/>
  <c r="D140" i="13" s="1"/>
  <c r="D141" i="13" s="1"/>
  <c r="D142" i="13" s="1"/>
  <c r="D143" i="13" s="1"/>
  <c r="D144" i="13" s="1"/>
  <c r="D145" i="13" s="1"/>
  <c r="D146" i="13" s="1"/>
  <c r="D147" i="13" s="1"/>
  <c r="D148" i="13" s="1"/>
  <c r="D149" i="13" s="1"/>
  <c r="D150" i="13" s="1"/>
  <c r="D151" i="13" s="1"/>
  <c r="D152" i="13" s="1"/>
  <c r="D153" i="13" s="1"/>
  <c r="D154" i="13" s="1"/>
  <c r="D155" i="13" s="1"/>
  <c r="D156" i="13" s="1"/>
  <c r="D157" i="13" s="1"/>
  <c r="D158" i="13" s="1"/>
  <c r="D159" i="13" s="1"/>
  <c r="D160" i="13" s="1"/>
  <c r="D161" i="13" s="1"/>
  <c r="D162" i="13" s="1"/>
  <c r="D162" i="10"/>
  <c r="D163" i="10" s="1"/>
  <c r="D164" i="10" s="1"/>
  <c r="D61" i="28"/>
  <c r="D62" i="28" s="1"/>
  <c r="D63" i="28" s="1"/>
  <c r="D64" i="28" s="1"/>
  <c r="D65" i="28" s="1"/>
  <c r="D66" i="28" s="1"/>
  <c r="D67" i="28" s="1"/>
  <c r="D68" i="28" s="1"/>
  <c r="D69" i="28" s="1"/>
  <c r="D70" i="28" s="1"/>
  <c r="D71" i="28" s="1"/>
  <c r="D72" i="28" s="1"/>
  <c r="D73" i="28" s="1"/>
  <c r="D74" i="28" s="1"/>
  <c r="D75" i="28" s="1"/>
  <c r="D76" i="28" s="1"/>
  <c r="D77" i="28" s="1"/>
  <c r="D78" i="28" s="1"/>
  <c r="D79" i="28" s="1"/>
  <c r="D80" i="28" s="1"/>
  <c r="D81" i="28" s="1"/>
  <c r="D82" i="28" s="1"/>
  <c r="D83" i="28" s="1"/>
  <c r="D84" i="28" s="1"/>
  <c r="D85" i="28" s="1"/>
  <c r="D86" i="28" s="1"/>
  <c r="D87" i="28" s="1"/>
  <c r="D88" i="28" s="1"/>
  <c r="D89" i="28" s="1"/>
  <c r="D90" i="28" s="1"/>
  <c r="D91" i="28" s="1"/>
  <c r="D92" i="28" s="1"/>
  <c r="D220" i="8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96" i="19"/>
  <c r="D97" i="19" s="1"/>
  <c r="D98" i="19" s="1"/>
  <c r="D99" i="19" s="1"/>
  <c r="D100" i="19" s="1"/>
  <c r="D101" i="19" s="1"/>
  <c r="D102" i="19" s="1"/>
  <c r="D103" i="19" s="1"/>
  <c r="D95" i="11"/>
  <c r="D96" i="11" s="1"/>
  <c r="D97" i="11" s="1"/>
  <c r="D98" i="11" s="1"/>
  <c r="D99" i="11" s="1"/>
  <c r="D100" i="11" s="1"/>
  <c r="D101" i="11" s="1"/>
  <c r="D102" i="11" s="1"/>
  <c r="D103" i="11" s="1"/>
  <c r="D104" i="11" s="1"/>
  <c r="D105" i="11" s="1"/>
  <c r="D106" i="11" s="1"/>
  <c r="D107" i="11" s="1"/>
  <c r="D108" i="11" s="1"/>
  <c r="D109" i="11" s="1"/>
  <c r="D110" i="11" s="1"/>
  <c r="D111" i="11" s="1"/>
  <c r="D112" i="11" s="1"/>
  <c r="D113" i="11" s="1"/>
  <c r="D114" i="11" s="1"/>
  <c r="D115" i="11" s="1"/>
  <c r="D116" i="11" s="1"/>
  <c r="D117" i="11" s="1"/>
  <c r="D74" i="15"/>
  <c r="D75" i="15" s="1"/>
  <c r="D76" i="15" s="1"/>
  <c r="D77" i="15" s="1"/>
  <c r="D78" i="15" s="1"/>
  <c r="D79" i="15" s="1"/>
  <c r="D80" i="15" s="1"/>
  <c r="D81" i="15" s="1"/>
  <c r="D82" i="15" s="1"/>
  <c r="D83" i="15" s="1"/>
  <c r="D84" i="15" s="1"/>
  <c r="D85" i="15" s="1"/>
  <c r="D86" i="15" s="1"/>
  <c r="D87" i="15" s="1"/>
  <c r="D88" i="15" s="1"/>
  <c r="D89" i="15" s="1"/>
  <c r="D90" i="15" s="1"/>
  <c r="D120" i="3"/>
  <c r="D121" i="3" s="1"/>
  <c r="D122" i="3" s="1"/>
  <c r="D123" i="3" s="1"/>
  <c r="D124" i="3" s="1"/>
  <c r="D125" i="3" s="1"/>
  <c r="D126" i="3" s="1"/>
  <c r="D127" i="3" s="1"/>
  <c r="D32" i="17"/>
  <c r="D93" i="28" l="1"/>
  <c r="D94" i="28" s="1"/>
  <c r="D95" i="28" s="1"/>
  <c r="D96" i="28" s="1"/>
  <c r="D106" i="28" s="1"/>
  <c r="D107" i="28" s="1"/>
  <c r="D108" i="28" s="1"/>
  <c r="D109" i="28" s="1"/>
  <c r="D111" i="28" s="1"/>
  <c r="D163" i="13"/>
  <c r="D164" i="13" s="1"/>
  <c r="D165" i="13" s="1"/>
  <c r="D166" i="13" s="1"/>
  <c r="D167" i="13" s="1"/>
  <c r="D168" i="13" s="1"/>
  <c r="D169" i="13" s="1"/>
  <c r="D170" i="13" s="1"/>
  <c r="D176" i="13" s="1"/>
  <c r="D177" i="13" s="1"/>
  <c r="D178" i="13" s="1"/>
  <c r="D179" i="13" s="1"/>
  <c r="D180" i="13" s="1"/>
  <c r="D181" i="13" s="1"/>
  <c r="D182" i="13" s="1"/>
  <c r="D183" i="13" s="1"/>
  <c r="D184" i="13" s="1"/>
  <c r="D185" i="13" s="1"/>
  <c r="D186" i="13" s="1"/>
  <c r="D187" i="13" s="1"/>
  <c r="D188" i="13" s="1"/>
  <c r="D189" i="13" s="1"/>
  <c r="D190" i="13" s="1"/>
  <c r="D191" i="13" s="1"/>
  <c r="D192" i="13" s="1"/>
  <c r="D193" i="13" s="1"/>
  <c r="D194" i="13" s="1"/>
  <c r="D254" i="12"/>
  <c r="D255" i="12" s="1"/>
  <c r="D256" i="12" s="1"/>
  <c r="D165" i="10"/>
  <c r="D166" i="10" s="1"/>
  <c r="D167" i="10" s="1"/>
  <c r="D168" i="10" s="1"/>
  <c r="D169" i="10" s="1"/>
  <c r="D170" i="10" s="1"/>
  <c r="D171" i="10" s="1"/>
  <c r="D172" i="10" s="1"/>
  <c r="D173" i="10" s="1"/>
  <c r="D174" i="10" s="1"/>
  <c r="D175" i="10" s="1"/>
  <c r="D176" i="10" s="1"/>
  <c r="D177" i="10" s="1"/>
  <c r="D178" i="10" s="1"/>
  <c r="D179" i="10" s="1"/>
  <c r="D180" i="10" s="1"/>
  <c r="D181" i="10" s="1"/>
  <c r="D182" i="10" s="1"/>
  <c r="D183" i="10" s="1"/>
  <c r="D184" i="10" s="1"/>
  <c r="D185" i="10" s="1"/>
  <c r="D186" i="10" s="1"/>
  <c r="D187" i="10" s="1"/>
  <c r="D188" i="10" s="1"/>
  <c r="D189" i="10" s="1"/>
  <c r="D190" i="10" s="1"/>
  <c r="D191" i="10" s="1"/>
  <c r="D192" i="10" s="1"/>
  <c r="D193" i="10" s="1"/>
  <c r="D194" i="10" s="1"/>
  <c r="D195" i="10" s="1"/>
  <c r="D196" i="10" s="1"/>
  <c r="D197" i="10" s="1"/>
  <c r="D198" i="10" s="1"/>
  <c r="D199" i="10" s="1"/>
  <c r="D200" i="10" s="1"/>
  <c r="D201" i="10" s="1"/>
  <c r="D202" i="10" s="1"/>
  <c r="D203" i="10" s="1"/>
  <c r="D204" i="10" s="1"/>
  <c r="D205" i="10" s="1"/>
  <c r="D206" i="10" s="1"/>
  <c r="D207" i="10" s="1"/>
  <c r="D208" i="10" s="1"/>
  <c r="D209" i="10" s="1"/>
  <c r="D210" i="10" s="1"/>
  <c r="D211" i="10" s="1"/>
  <c r="D231" i="8"/>
  <c r="D104" i="19"/>
  <c r="D105" i="19" s="1"/>
  <c r="D106" i="19" s="1"/>
  <c r="D107" i="19" s="1"/>
  <c r="D108" i="19" s="1"/>
  <c r="D109" i="19" s="1"/>
  <c r="D110" i="19" s="1"/>
  <c r="D111" i="19" s="1"/>
  <c r="D112" i="19" s="1"/>
  <c r="D113" i="19" s="1"/>
  <c r="D118" i="11"/>
  <c r="D119" i="11" s="1"/>
  <c r="D120" i="11" s="1"/>
  <c r="D121" i="11" s="1"/>
  <c r="D122" i="11" s="1"/>
  <c r="D123" i="11" s="1"/>
  <c r="D124" i="11" s="1"/>
  <c r="D125" i="11" s="1"/>
  <c r="D126" i="11" s="1"/>
  <c r="D127" i="11" s="1"/>
  <c r="D128" i="3"/>
  <c r="D129" i="3" s="1"/>
  <c r="D130" i="3" s="1"/>
  <c r="D131" i="3" s="1"/>
  <c r="D132" i="3" s="1"/>
  <c r="D133" i="3" s="1"/>
  <c r="D134" i="3" s="1"/>
  <c r="D33" i="17"/>
  <c r="D34" i="17" s="1"/>
  <c r="D35" i="17" s="1"/>
  <c r="D36" i="17" s="1"/>
  <c r="D37" i="17" s="1"/>
  <c r="D38" i="17" s="1"/>
  <c r="D39" i="17" s="1"/>
  <c r="D40" i="17" s="1"/>
  <c r="D41" i="17" s="1"/>
  <c r="D42" i="17" s="1"/>
  <c r="D43" i="17" s="1"/>
  <c r="D44" i="17" s="1"/>
  <c r="D45" i="17" s="1"/>
  <c r="D46" i="17" s="1"/>
  <c r="D47" i="17" s="1"/>
  <c r="D48" i="17" s="1"/>
  <c r="D49" i="17" s="1"/>
  <c r="D50" i="17" s="1"/>
  <c r="D51" i="17" s="1"/>
  <c r="D52" i="17" s="1"/>
  <c r="D53" i="17" s="1"/>
  <c r="D54" i="17" s="1"/>
  <c r="D55" i="17" s="1"/>
  <c r="D56" i="17" s="1"/>
  <c r="D57" i="17" s="1"/>
  <c r="D58" i="17" s="1"/>
  <c r="D59" i="17" s="1"/>
  <c r="D60" i="17" s="1"/>
  <c r="D61" i="17" s="1"/>
  <c r="D62" i="17" s="1"/>
  <c r="D63" i="17" s="1"/>
  <c r="D64" i="17" s="1"/>
  <c r="D65" i="17" s="1"/>
  <c r="D66" i="17" s="1"/>
  <c r="D67" i="17" s="1"/>
  <c r="D212" i="10" l="1"/>
  <c r="D213" i="10" s="1"/>
  <c r="D214" i="10" s="1"/>
  <c r="D257" i="12"/>
  <c r="D258" i="12" s="1"/>
  <c r="D232" i="8"/>
  <c r="D233" i="8" s="1"/>
  <c r="D234" i="8" s="1"/>
  <c r="D235" i="8" s="1"/>
  <c r="D68" i="17"/>
  <c r="D69" i="17" s="1"/>
  <c r="D70" i="17" s="1"/>
  <c r="D71" i="17" s="1"/>
  <c r="D72" i="17" s="1"/>
  <c r="D73" i="17" s="1"/>
  <c r="D74" i="17" s="1"/>
  <c r="D75" i="17" s="1"/>
  <c r="D76" i="17" s="1"/>
  <c r="D77" i="17" s="1"/>
  <c r="D78" i="17" s="1"/>
  <c r="D79" i="17" s="1"/>
  <c r="D80" i="17" s="1"/>
  <c r="D81" i="17" s="1"/>
  <c r="D82" i="17" s="1"/>
  <c r="D83" i="17" s="1"/>
  <c r="D84" i="17" s="1"/>
  <c r="D85" i="17" s="1"/>
  <c r="D86" i="17" s="1"/>
  <c r="D87" i="17" s="1"/>
  <c r="D88" i="17" s="1"/>
  <c r="D89" i="17" s="1"/>
  <c r="D90" i="17" s="1"/>
  <c r="D91" i="17" s="1"/>
  <c r="D92" i="17" s="1"/>
  <c r="D93" i="17" s="1"/>
  <c r="D94" i="17" s="1"/>
  <c r="D128" i="11"/>
  <c r="D129" i="11" s="1"/>
  <c r="D130" i="11" s="1"/>
  <c r="D131" i="11" s="1"/>
  <c r="D132" i="11" s="1"/>
  <c r="D133" i="11" s="1"/>
  <c r="D134" i="11" s="1"/>
  <c r="D135" i="11" s="1"/>
  <c r="D136" i="11" s="1"/>
  <c r="D137" i="11" s="1"/>
  <c r="D138" i="11" s="1"/>
  <c r="D139" i="11" s="1"/>
  <c r="D140" i="11" s="1"/>
  <c r="D141" i="11" s="1"/>
  <c r="D142" i="11" s="1"/>
  <c r="D143" i="11" s="1"/>
  <c r="D144" i="11" s="1"/>
  <c r="D114" i="19"/>
  <c r="D115" i="19" s="1"/>
  <c r="D116" i="19" s="1"/>
  <c r="D117" i="19" s="1"/>
  <c r="D118" i="19" s="1"/>
  <c r="D135" i="3"/>
  <c r="D136" i="3" s="1"/>
  <c r="D137" i="3" s="1"/>
  <c r="D138" i="3" s="1"/>
  <c r="D139" i="3" s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259" i="12" l="1"/>
  <c r="D260" i="12" s="1"/>
  <c r="D261" i="12" s="1"/>
  <c r="D262" i="12" s="1"/>
  <c r="D263" i="12" s="1"/>
  <c r="D264" i="12" s="1"/>
  <c r="D215" i="10"/>
  <c r="D216" i="10" s="1"/>
  <c r="D236" i="8"/>
  <c r="D237" i="8" s="1"/>
  <c r="D238" i="8" s="1"/>
  <c r="D145" i="11"/>
  <c r="D146" i="11" s="1"/>
  <c r="D147" i="11" s="1"/>
  <c r="D148" i="11" s="1"/>
  <c r="D149" i="11" s="1"/>
  <c r="D150" i="11" s="1"/>
  <c r="D151" i="11" s="1"/>
  <c r="D152" i="11" s="1"/>
  <c r="D153" i="11" s="1"/>
  <c r="D154" i="11" s="1"/>
  <c r="D155" i="11" s="1"/>
  <c r="D156" i="11" s="1"/>
  <c r="D157" i="11" s="1"/>
  <c r="D158" i="11" s="1"/>
  <c r="D159" i="11" s="1"/>
  <c r="D160" i="11" s="1"/>
  <c r="D161" i="11" s="1"/>
  <c r="D162" i="11" s="1"/>
  <c r="D163" i="11" s="1"/>
  <c r="D164" i="11" s="1"/>
  <c r="D165" i="11" s="1"/>
  <c r="D156" i="3"/>
  <c r="D265" i="12" l="1"/>
  <c r="D266" i="12" s="1"/>
  <c r="D267" i="12" s="1"/>
  <c r="D268" i="12" s="1"/>
  <c r="D269" i="12" s="1"/>
  <c r="D270" i="12" s="1"/>
  <c r="D276" i="12" s="1"/>
  <c r="D277" i="12" s="1"/>
  <c r="D278" i="12" s="1"/>
  <c r="D279" i="12" s="1"/>
  <c r="D280" i="12" s="1"/>
  <c r="D281" i="12" s="1"/>
  <c r="D282" i="12" s="1"/>
  <c r="D166" i="11"/>
  <c r="D167" i="11" s="1"/>
  <c r="D168" i="11" s="1"/>
  <c r="D169" i="11" s="1"/>
  <c r="D170" i="11" s="1"/>
  <c r="D171" i="11" s="1"/>
  <c r="D172" i="11" s="1"/>
  <c r="D173" i="11" s="1"/>
  <c r="D174" i="11" s="1"/>
  <c r="D175" i="11" s="1"/>
  <c r="D176" i="11" s="1"/>
  <c r="D177" i="11" s="1"/>
  <c r="D178" i="11" s="1"/>
  <c r="D179" i="11" s="1"/>
  <c r="D180" i="11" s="1"/>
  <c r="D181" i="11" s="1"/>
  <c r="D182" i="11" s="1"/>
  <c r="D183" i="11" s="1"/>
  <c r="D184" i="11" s="1"/>
  <c r="D185" i="11" s="1"/>
  <c r="D186" i="11" s="1"/>
  <c r="D239" i="8"/>
  <c r="D157" i="3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  <c r="D177" i="3" s="1"/>
  <c r="D178" i="3" s="1"/>
  <c r="D179" i="3" s="1"/>
  <c r="D180" i="3" s="1"/>
  <c r="D187" i="11" l="1"/>
  <c r="D188" i="11" s="1"/>
  <c r="D189" i="11" s="1"/>
  <c r="D190" i="11" s="1"/>
  <c r="D191" i="11" s="1"/>
  <c r="D192" i="11" s="1"/>
  <c r="D193" i="11" s="1"/>
  <c r="D194" i="11" s="1"/>
  <c r="D195" i="11" s="1"/>
  <c r="D196" i="11" s="1"/>
  <c r="D197" i="11" s="1"/>
  <c r="D198" i="11" s="1"/>
  <c r="D199" i="11" s="1"/>
  <c r="D200" i="11" s="1"/>
  <c r="D201" i="11" s="1"/>
  <c r="D202" i="11" s="1"/>
  <c r="D203" i="11" s="1"/>
  <c r="D204" i="11" s="1"/>
  <c r="D205" i="11" s="1"/>
  <c r="D206" i="11" s="1"/>
  <c r="D207" i="11" s="1"/>
  <c r="D208" i="11" s="1"/>
  <c r="D209" i="11" s="1"/>
  <c r="D210" i="11" s="1"/>
  <c r="D211" i="11" s="1"/>
  <c r="D212" i="11" s="1"/>
  <c r="D213" i="11" s="1"/>
  <c r="D214" i="11" s="1"/>
  <c r="D215" i="11" s="1"/>
  <c r="D216" i="11" s="1"/>
  <c r="D217" i="11" s="1"/>
  <c r="D218" i="11" s="1"/>
  <c r="D240" i="8"/>
  <c r="D241" i="8" s="1"/>
  <c r="D242" i="8" s="1"/>
  <c r="D243" i="8" s="1"/>
  <c r="D244" i="8" s="1"/>
  <c r="D245" i="8" s="1"/>
  <c r="D246" i="8" s="1"/>
  <c r="D181" i="3"/>
  <c r="D182" i="3" s="1"/>
  <c r="D183" i="3" s="1"/>
  <c r="D184" i="3" s="1"/>
  <c r="D185" i="3" s="1"/>
  <c r="D186" i="3" s="1"/>
  <c r="D187" i="3" s="1"/>
  <c r="D188" i="3" s="1"/>
  <c r="D189" i="3" s="1"/>
  <c r="D190" i="3" s="1"/>
  <c r="D191" i="3" s="1"/>
  <c r="D192" i="3" s="1"/>
  <c r="D193" i="3" s="1"/>
  <c r="D194" i="3" s="1"/>
  <c r="D195" i="3" s="1"/>
  <c r="D196" i="3" s="1"/>
  <c r="D219" i="11" l="1"/>
  <c r="D220" i="11" s="1"/>
  <c r="D221" i="11" s="1"/>
  <c r="D222" i="11" s="1"/>
  <c r="D223" i="11" s="1"/>
  <c r="D224" i="11" s="1"/>
  <c r="D225" i="11" s="1"/>
  <c r="D226" i="11" s="1"/>
  <c r="D227" i="11" s="1"/>
  <c r="D228" i="11" s="1"/>
  <c r="D247" i="8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34" i="8" s="1"/>
  <c r="D335" i="8" s="1"/>
  <c r="D336" i="8" s="1"/>
  <c r="D197" i="3"/>
  <c r="D198" i="3" s="1"/>
  <c r="D199" i="3" s="1"/>
  <c r="D200" i="3" s="1"/>
  <c r="D201" i="3" s="1"/>
  <c r="D337" i="8" l="1"/>
  <c r="D338" i="8" s="1"/>
  <c r="D229" i="11"/>
  <c r="D202" i="3"/>
  <c r="D203" i="3" s="1"/>
  <c r="D204" i="3" s="1"/>
  <c r="D205" i="3" s="1"/>
  <c r="D206" i="3" s="1"/>
  <c r="D207" i="3" s="1"/>
  <c r="D208" i="3" s="1"/>
  <c r="D209" i="3" s="1"/>
  <c r="D210" i="3" s="1"/>
  <c r="D211" i="3" s="1"/>
  <c r="D212" i="3" s="1"/>
  <c r="D213" i="3" s="1"/>
  <c r="D214" i="3" s="1"/>
  <c r="D215" i="3" s="1"/>
  <c r="D216" i="3" s="1"/>
  <c r="D240" i="11" l="1"/>
  <c r="D241" i="11" s="1"/>
  <c r="D242" i="11" s="1"/>
  <c r="D243" i="11" s="1"/>
  <c r="D244" i="11" s="1"/>
  <c r="D245" i="11" s="1"/>
  <c r="D246" i="11" s="1"/>
  <c r="D247" i="11" s="1"/>
  <c r="D248" i="11" s="1"/>
  <c r="D249" i="11" s="1"/>
  <c r="D250" i="11" s="1"/>
  <c r="D251" i="11" s="1"/>
  <c r="D252" i="11" s="1"/>
  <c r="D230" i="11"/>
  <c r="D231" i="11" s="1"/>
  <c r="D232" i="11" s="1"/>
  <c r="D233" i="11" s="1"/>
  <c r="D234" i="11" s="1"/>
  <c r="D217" i="3"/>
  <c r="D218" i="3" s="1"/>
  <c r="D219" i="3" s="1"/>
  <c r="D220" i="3" s="1"/>
  <c r="D221" i="3" s="1"/>
  <c r="D222" i="3" l="1"/>
  <c r="D223" i="3" s="1"/>
  <c r="D224" i="3" s="1"/>
  <c r="D225" i="3" s="1"/>
  <c r="D226" i="3" s="1"/>
  <c r="D227" i="3" s="1"/>
  <c r="D228" i="3" s="1"/>
  <c r="D229" i="3" s="1"/>
  <c r="D230" i="3" s="1"/>
  <c r="D231" i="3" l="1"/>
  <c r="D232" i="3" s="1"/>
  <c r="D233" i="3" l="1"/>
  <c r="D234" i="3" s="1"/>
  <c r="D235" i="3" s="1"/>
  <c r="D236" i="3" s="1"/>
  <c r="D237" i="3" s="1"/>
  <c r="D238" i="3" s="1"/>
  <c r="D239" i="3" s="1"/>
  <c r="D240" i="3" s="1"/>
  <c r="D241" i="3" l="1"/>
  <c r="D242" i="3" s="1"/>
  <c r="D243" i="3" s="1"/>
  <c r="D244" i="3" s="1"/>
  <c r="D245" i="3" s="1"/>
  <c r="D246" i="3" s="1"/>
  <c r="D247" i="3" s="1"/>
  <c r="D248" i="3" s="1"/>
  <c r="D249" i="3" s="1"/>
  <c r="D250" i="3" s="1"/>
  <c r="D251" i="3" s="1"/>
  <c r="D252" i="3" s="1"/>
  <c r="D253" i="3" l="1"/>
  <c r="D254" i="3" s="1"/>
  <c r="D255" i="3" s="1"/>
  <c r="D256" i="3" s="1"/>
  <c r="D257" i="3" s="1"/>
  <c r="D258" i="3" s="1"/>
  <c r="D259" i="3" l="1"/>
  <c r="D260" i="3" s="1"/>
  <c r="D261" i="3" s="1"/>
  <c r="D262" i="3" s="1"/>
  <c r="D263" i="3" s="1"/>
  <c r="D264" i="3" s="1"/>
  <c r="D265" i="3" s="1"/>
  <c r="D266" i="3" s="1"/>
  <c r="D267" i="3" s="1"/>
  <c r="D268" i="3" s="1"/>
  <c r="D269" i="3" s="1"/>
  <c r="D270" i="3" s="1"/>
  <c r="D271" i="3" s="1"/>
  <c r="D272" i="3" s="1"/>
  <c r="D273" i="3" s="1"/>
  <c r="D274" i="3" s="1"/>
  <c r="D275" i="3" s="1"/>
  <c r="D276" i="3" s="1"/>
  <c r="D277" i="3" s="1"/>
  <c r="D278" i="3" s="1"/>
  <c r="D279" i="3" s="1"/>
  <c r="D280" i="3" s="1"/>
  <c r="D281" i="3" s="1"/>
  <c r="D282" i="3" s="1"/>
  <c r="D283" i="3" s="1"/>
  <c r="D284" i="3" s="1"/>
  <c r="D285" i="3" s="1"/>
  <c r="D286" i="3" s="1"/>
  <c r="D287" i="3" s="1"/>
  <c r="D288" i="3" s="1"/>
  <c r="D289" i="3" s="1"/>
  <c r="D290" i="3" s="1"/>
  <c r="D291" i="3" s="1"/>
  <c r="D292" i="3" s="1"/>
  <c r="D293" i="3" s="1"/>
  <c r="D294" i="3" s="1"/>
  <c r="D295" i="3" l="1"/>
  <c r="D296" i="3" s="1"/>
  <c r="D297" i="3" s="1"/>
  <c r="D298" i="3" s="1"/>
  <c r="D299" i="3" s="1"/>
  <c r="D300" i="3" l="1"/>
  <c r="D301" i="3" s="1"/>
  <c r="D302" i="3" s="1"/>
  <c r="D303" i="3" s="1"/>
  <c r="D304" i="3" s="1"/>
  <c r="D305" i="3" l="1"/>
  <c r="D306" i="3" s="1"/>
  <c r="D307" i="3" s="1"/>
  <c r="D308" i="3" s="1"/>
  <c r="D309" i="3" s="1"/>
  <c r="D310" i="3" s="1"/>
  <c r="D311" i="3" s="1"/>
  <c r="D312" i="3" s="1"/>
  <c r="D31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tc={B12258C8-29E8-4C3E-A5D3-A06993930F3F}</author>
  </authors>
  <commentList>
    <comment ref="D20" authorId="0" shapeId="0" xr:uid="{B12258C8-29E8-4C3E-A5D3-A06993930F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FAVOR REVISAR PORQUE QUEDA ESE SALDO PENDIENTE, SEGÚN FACTURACION DE JOSE DICE SALDO EN CERO. TOMANDO EN CUENTA EL , EL PAGO QUE HIZO EL CLIENTE DE LA FACTURA ANTERIOR PERO SEGÚN CUADRO VA ARRASTRANDO SALDO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tc={0491B09E-82FD-4528-80F6-936F98070DEF}</author>
    <author>tc={79C50164-2EC3-43FF-9EE6-88BD20860CBA}</author>
  </authors>
  <commentList>
    <comment ref="D32" authorId="0" shapeId="0" xr:uid="{0491B09E-82FD-4528-80F6-936F98070DE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VALOR SEGÚN COBROS DE JOSE DEBERIA SER 2500 LEMPIRAS PERO AL RESTAR LOS ABONOS HAY UNA DIFERENCIA DE 160 LPS DE MAS A FAVOR DE PARAISO. </t>
      </text>
    </comment>
    <comment ref="D37" authorId="1" shapeId="0" xr:uid="{79C50164-2EC3-43FF-9EE6-88BD20860C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PONDRA EN LAS CUENTAS POR COBRAR ESOS 160 LPS DE MAS FAVOR REVISAR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tc={94788AD9-10DD-4319-9510-B3ECC4807A95}</author>
    <author>tc={C53485CB-82C8-4651-A1B3-6E9D6CCCAC0B}</author>
  </authors>
  <commentList>
    <comment ref="C41" authorId="0" shapeId="0" xr:uid="{94788AD9-10DD-4319-9510-B3ECC4807A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LA FACTURA CLIENTA ABONA 5000 Y DEBE 5260 , CUANDO JOSE PRESENTA LA FACTURA LE RESTA EL ABONO Y LE CARGA  A LA SIGUIENTE FACTURA 260 PENDIENTE, PERO SEGÚN SALDO QUE ARRASTRA ES MAS, VERIFICAR</t>
      </text>
    </comment>
    <comment ref="D43" authorId="1" shapeId="0" xr:uid="{C53485CB-82C8-4651-A1B3-6E9D6CCCAC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SEGÚN ABONOS SERIA ESTE EL SALDO QUE DEBIO SUMAR JOSE, REVISAE ESA INFORMACION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tc={8182A959-E81D-4A16-B2FB-7A0978CCD7CC}</author>
  </authors>
  <commentList>
    <comment ref="C31" authorId="0" shapeId="0" xr:uid="{8182A959-E81D-4A16-B2FB-7A0978CCD7C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ES EL VALOR DE LA ULTIMA FACTURA QUE DEBE LA CLIENTA
</t>
      </text>
    </comment>
  </commentList>
</comments>
</file>

<file path=xl/sharedStrings.xml><?xml version="1.0" encoding="utf-8"?>
<sst xmlns="http://schemas.openxmlformats.org/spreadsheetml/2006/main" count="6367" uniqueCount="620">
  <si>
    <t xml:space="preserve">ESTADO DE CUENTA </t>
  </si>
  <si>
    <t>CLIENTE</t>
  </si>
  <si>
    <t xml:space="preserve">FECHA </t>
  </si>
  <si>
    <t>FACTURA</t>
  </si>
  <si>
    <t xml:space="preserve">CANTIDAD </t>
  </si>
  <si>
    <t>TOTAL</t>
  </si>
  <si>
    <t>FACTURAS</t>
  </si>
  <si>
    <t>ABONO</t>
  </si>
  <si>
    <t>DECORA Y CREA</t>
  </si>
  <si>
    <t>DETALLES Y MAS</t>
  </si>
  <si>
    <t>YOSELIN</t>
  </si>
  <si>
    <t>LUGAR</t>
  </si>
  <si>
    <t>AZACUALPA SBB</t>
  </si>
  <si>
    <t>JANSY</t>
  </si>
  <si>
    <t>AZACUALPA</t>
  </si>
  <si>
    <t>ROSA SARON</t>
  </si>
  <si>
    <t>AZACUALPÁ</t>
  </si>
  <si>
    <t>DISTRIBUIDORA OCCIDENTAL</t>
  </si>
  <si>
    <t>LA ENTRADA</t>
  </si>
  <si>
    <t>YOLANY ANY</t>
  </si>
  <si>
    <t>CARLA EVENTOS DEL OCCIDENTE</t>
  </si>
  <si>
    <t>MARIA CRISBY HENRIQUEZ</t>
  </si>
  <si>
    <t>INVERSIONES DUBBON SORELLE</t>
  </si>
  <si>
    <t>SAN NICOLAS</t>
  </si>
  <si>
    <t>DANESY MALDONADO</t>
  </si>
  <si>
    <t>LEFRUITT FLOWERS</t>
  </si>
  <si>
    <t>MELISSA</t>
  </si>
  <si>
    <t>SANTA ROSA</t>
  </si>
  <si>
    <t>DETALLES HEYMI</t>
  </si>
  <si>
    <t>WENDY ARAGON</t>
  </si>
  <si>
    <t>MONSERRATH</t>
  </si>
  <si>
    <t>FLORISTERIA FIORE</t>
  </si>
  <si>
    <t>DILO CON FLORES</t>
  </si>
  <si>
    <t>LILIS FLOWERS</t>
  </si>
  <si>
    <t>MANOS CREATIVAS</t>
  </si>
  <si>
    <t>DIANA ARITA</t>
  </si>
  <si>
    <t>IMPORTADORA MANA</t>
  </si>
  <si>
    <t>PAGO</t>
  </si>
  <si>
    <t>FACTURAS # 1846</t>
  </si>
  <si>
    <t>FLORISTERIA SANTA FE</t>
  </si>
  <si>
    <t>FACTURA #1847</t>
  </si>
  <si>
    <t>CINDY ALVARADO</t>
  </si>
  <si>
    <t>FACTURAS # 1831</t>
  </si>
  <si>
    <t>MACUELIZO</t>
  </si>
  <si>
    <t>ABONO/OCCIDENTE</t>
  </si>
  <si>
    <t>ABON/EFEC</t>
  </si>
  <si>
    <t>ABONO/EFECTIVO</t>
  </si>
  <si>
    <t>FACTURA #1858</t>
  </si>
  <si>
    <t>FACTURA #1855</t>
  </si>
  <si>
    <t>CORQUIN COPAN</t>
  </si>
  <si>
    <t>FACTURA#1858</t>
  </si>
  <si>
    <t>DANIA DUBON</t>
  </si>
  <si>
    <t>FACTURA#1859</t>
  </si>
  <si>
    <t>FACTURA#|</t>
  </si>
  <si>
    <t>FACTURA#1873</t>
  </si>
  <si>
    <t>ABONO/EFEC</t>
  </si>
  <si>
    <t>ABONO/ATLANTIDA</t>
  </si>
  <si>
    <t>FACTURA#1874</t>
  </si>
  <si>
    <t>FACTURA#1870</t>
  </si>
  <si>
    <t xml:space="preserve">HACER FACTURAS DESDE EL 03 </t>
  </si>
  <si>
    <t>PONER ROSA 350</t>
  </si>
  <si>
    <t>ABONO/efe/occ</t>
  </si>
  <si>
    <t>ISA COTO</t>
  </si>
  <si>
    <t>HACER FACTURA EN SISTEMA</t>
  </si>
  <si>
    <t>ABONO/BAC</t>
  </si>
  <si>
    <t>MAKEMIDAY</t>
  </si>
  <si>
    <t>ABOINO</t>
  </si>
  <si>
    <t xml:space="preserve">DEPATALOS/ HIJA </t>
  </si>
  <si>
    <t>ABONO/occ</t>
  </si>
  <si>
    <t>ABONO/OCC</t>
  </si>
  <si>
    <t>FACTURA#1876</t>
  </si>
  <si>
    <t>FACTURAS#1877</t>
  </si>
  <si>
    <t>FACTURA#1879</t>
  </si>
  <si>
    <t>FACTURA#1885</t>
  </si>
  <si>
    <t>ABONO/EFE</t>
  </si>
  <si>
    <t>ABONO/EF</t>
  </si>
  <si>
    <t>FACTURA#1892</t>
  </si>
  <si>
    <t>FACTURA#1891</t>
  </si>
  <si>
    <t>AB/OCCIDENTE</t>
  </si>
  <si>
    <t>FACTURA#1896</t>
  </si>
  <si>
    <t>FACTURA#1897</t>
  </si>
  <si>
    <t>DETALLES DE AMOR</t>
  </si>
  <si>
    <t>JESLER PACHECO</t>
  </si>
  <si>
    <t>ABONO/efe</t>
  </si>
  <si>
    <t>FACTURA#1911</t>
  </si>
  <si>
    <t>FACTURAS#1913</t>
  </si>
  <si>
    <t>AB/EFEC</t>
  </si>
  <si>
    <t>ABONO/EFCT</t>
  </si>
  <si>
    <t>FACTURA#1918</t>
  </si>
  <si>
    <t>FACTURA#1931</t>
  </si>
  <si>
    <t>FACTURA#1932</t>
  </si>
  <si>
    <t>ABONO  OCCIDENTE</t>
  </si>
  <si>
    <t>ABONO EFECTIVO</t>
  </si>
  <si>
    <t>DEPTALOS/ LOURDES</t>
  </si>
  <si>
    <t>ABONO/ EFECTIVO</t>
  </si>
  <si>
    <t>FACTURA#1956</t>
  </si>
  <si>
    <t>PAGO FACTURA</t>
  </si>
  <si>
    <t xml:space="preserve">FACTURA </t>
  </si>
  <si>
    <t>FACTURA#1981</t>
  </si>
  <si>
    <t>PAGO FACTURA 1981</t>
  </si>
  <si>
    <t>FACTURA#2050</t>
  </si>
  <si>
    <t>FACTURAS#2049</t>
  </si>
  <si>
    <t>FACTURA#2051|</t>
  </si>
  <si>
    <t>ABONO/ DEPOSITO</t>
  </si>
  <si>
    <t>ABONO/DEPOSITO</t>
  </si>
  <si>
    <t>FACTURA#2101</t>
  </si>
  <si>
    <t>FACTURAS/BAC</t>
  </si>
  <si>
    <t>ALKANA</t>
  </si>
  <si>
    <t>ABONO/EFCTIVO</t>
  </si>
  <si>
    <t>FACTURA#2124</t>
  </si>
  <si>
    <t>CIREULO</t>
  </si>
  <si>
    <t>DOÑA NERY</t>
  </si>
  <si>
    <t>ANA MORALES</t>
  </si>
  <si>
    <t>COPAN</t>
  </si>
  <si>
    <t>ABONO/EFE/DEPOSITO</t>
  </si>
  <si>
    <t>CAROL VALLEJO</t>
  </si>
  <si>
    <t>FACTURA#2132</t>
  </si>
  <si>
    <t>FACTURA#2133</t>
  </si>
  <si>
    <t>FACTURA#2134</t>
  </si>
  <si>
    <t>YOSSET</t>
  </si>
  <si>
    <t>DULCE N COPAN</t>
  </si>
  <si>
    <t>WILMER HN</t>
  </si>
  <si>
    <t>GABRIELA TRIGUEROS</t>
  </si>
  <si>
    <t>ABONO/EFC</t>
  </si>
  <si>
    <t>11/092025</t>
  </si>
  <si>
    <t>23 09 2025</t>
  </si>
  <si>
    <t>COMPRA ENVIOS</t>
  </si>
  <si>
    <t>DEPOSITO OCCIDENTE</t>
  </si>
  <si>
    <t>25 09 2025</t>
  </si>
  <si>
    <t>FACTURA ENVIADO</t>
  </si>
  <si>
    <t>ABONO ATLANTIDA</t>
  </si>
  <si>
    <t>FACTURA#2140 C/ AL 18/09/25</t>
  </si>
  <si>
    <t>FACTURA 2149</t>
  </si>
  <si>
    <t>FACTURA 2159 C/29/09/25</t>
  </si>
  <si>
    <t>ABONOS</t>
  </si>
  <si>
    <t>30/092025</t>
  </si>
  <si>
    <t>ABONO/ FICOHSA</t>
  </si>
  <si>
    <t>ABON /OCCIDENTE</t>
  </si>
  <si>
    <t>ABONO /OCCIDENTE</t>
  </si>
  <si>
    <t>22/092025</t>
  </si>
  <si>
    <t>ABONO ATLNTIDA</t>
  </si>
  <si>
    <t>ABONO*/ OCCIDENTE</t>
  </si>
  <si>
    <t>ABONO/OCC 3 DEPOSITOS</t>
  </si>
  <si>
    <t>FACTURAS ENVIADO</t>
  </si>
  <si>
    <t>FACTUTA</t>
  </si>
  <si>
    <t>ABONO/FICOHSA</t>
  </si>
  <si>
    <t>ABONO/EFECT/DEPOSITO</t>
  </si>
  <si>
    <t>DEPPOSITO OCCIDENTE</t>
  </si>
  <si>
    <t>FACTURA ENVIADA</t>
  </si>
  <si>
    <t>FATURA</t>
  </si>
  <si>
    <t>ABONO OCCIDENTE</t>
  </si>
  <si>
    <t>FACTURA/2141</t>
  </si>
  <si>
    <t>FACTURA/2150</t>
  </si>
  <si>
    <t>FACTURA2161</t>
  </si>
  <si>
    <t>FACURAS</t>
  </si>
  <si>
    <t>ABONOS/OCCIDENTE</t>
  </si>
  <si>
    <t>ABONO BAC</t>
  </si>
  <si>
    <t>FACTURA2148 C.25</t>
  </si>
  <si>
    <t>03//10/2025</t>
  </si>
  <si>
    <t>FACTUR/2162/C.02 2025</t>
  </si>
  <si>
    <t>.</t>
  </si>
  <si>
    <t>ABONOATLANTIDA</t>
  </si>
  <si>
    <t>02/010/2025</t>
  </si>
  <si>
    <t>2/10//2025</t>
  </si>
  <si>
    <t>FANY DEL CIRUELO M.S.B.B</t>
  </si>
  <si>
    <t>ABONOS /EFECTIVO</t>
  </si>
  <si>
    <t>FACTURA/2163</t>
  </si>
  <si>
    <t>ABONOS OCCIDENTE /DEPOSITO</t>
  </si>
  <si>
    <t>ABONO2 ATLANTIDA</t>
  </si>
  <si>
    <t>ABONOS EFECTIVO</t>
  </si>
  <si>
    <t>DYEL DETALLES</t>
  </si>
  <si>
    <t>SAN AGUSTIN</t>
  </si>
  <si>
    <t xml:space="preserve">LOURDES </t>
  </si>
  <si>
    <t>FACTURA Y ABONOS</t>
  </si>
  <si>
    <t>ABONO/OCCIDENTES</t>
  </si>
  <si>
    <t>NELI MEJIA</t>
  </si>
  <si>
    <t>1109/2025</t>
  </si>
  <si>
    <t>ABONO EFECTIV0</t>
  </si>
  <si>
    <t>PAGO EFECTIVO</t>
  </si>
  <si>
    <t>PAGO OCCIDENTE</t>
  </si>
  <si>
    <t>ABON0 EFECTIVO</t>
  </si>
  <si>
    <t>NATALY SULA</t>
  </si>
  <si>
    <t>MULTISERVICIOS</t>
  </si>
  <si>
    <t>LA ENTRADA COPAN</t>
  </si>
  <si>
    <t>FACTURAS OCCIDENTE</t>
  </si>
  <si>
    <t>ABONO ATLATIDA</t>
  </si>
  <si>
    <t>FACTURA/2166</t>
  </si>
  <si>
    <t>PAGO FICOHSA</t>
  </si>
  <si>
    <t>16/10/825</t>
  </si>
  <si>
    <t>PAGO ATLANTIDA</t>
  </si>
  <si>
    <t>PAGO EFECTIVODEPOSITO</t>
  </si>
  <si>
    <t>OAGO</t>
  </si>
  <si>
    <t>FACTURA 2169</t>
  </si>
  <si>
    <t>FACTURA 2171</t>
  </si>
  <si>
    <t>FACTURAS 2175</t>
  </si>
  <si>
    <t>PAGO DEPOSITO OCCIDENTE</t>
  </si>
  <si>
    <t>PAGO  EFECTIVO</t>
  </si>
  <si>
    <t>PAGO EFECTIV</t>
  </si>
  <si>
    <t>PAGO BAC</t>
  </si>
  <si>
    <t>08/102025</t>
  </si>
  <si>
    <t xml:space="preserve"> 16/10/2025</t>
  </si>
  <si>
    <t>PAGO EFECTIVO.</t>
  </si>
  <si>
    <t>PAGO ATLANTDA</t>
  </si>
  <si>
    <t>PÁGO OCCIDENTE</t>
  </si>
  <si>
    <t>PAGO  OCCIDENTE</t>
  </si>
  <si>
    <t>SE LE DEBE UNA GERBERA QUE SE FACTURO X ERROR</t>
  </si>
  <si>
    <t>FACTURA 2180</t>
  </si>
  <si>
    <t>23/10/025</t>
  </si>
  <si>
    <t>AMARALYS INVERSIONES</t>
  </si>
  <si>
    <t>ADRIANA PAOLA</t>
  </si>
  <si>
    <t>SANTA ROSA COPAN</t>
  </si>
  <si>
    <t>FLORES DETALLES</t>
  </si>
  <si>
    <t>AZACUALPA S.B.B</t>
  </si>
  <si>
    <t>FACTURA2193</t>
  </si>
  <si>
    <t>FACTURA2194</t>
  </si>
  <si>
    <t>FACTURA 2038</t>
  </si>
  <si>
    <t xml:space="preserve"> 30/10/2025</t>
  </si>
  <si>
    <t>FACTURA2195 C.07/11</t>
  </si>
  <si>
    <t>FACTURA 2196 C.07/11</t>
  </si>
  <si>
    <t>PAGO EFECTIVO/DEPOSITO</t>
  </si>
  <si>
    <t>ABON FICOHSA</t>
  </si>
  <si>
    <t>ABONO FICOHSA</t>
  </si>
  <si>
    <t>ABON OCCIDENTE</t>
  </si>
  <si>
    <t>ABONO EFECTIV</t>
  </si>
  <si>
    <t>PAGO EFEC</t>
  </si>
  <si>
    <t>3/11/20254</t>
  </si>
  <si>
    <t>PAGO OCCIDENTE Y EFEC</t>
  </si>
  <si>
    <t>DEPOSITO ATLANTIDA</t>
  </si>
  <si>
    <t>FACTURA ENVIO</t>
  </si>
  <si>
    <t>FACTURA C.13/11</t>
  </si>
  <si>
    <t>DEPOSITO FICOHSA</t>
  </si>
  <si>
    <t>DEPOSTO FICOHSA</t>
  </si>
  <si>
    <t xml:space="preserve">DEPOSITO OCCIDENTE </t>
  </si>
  <si>
    <t>EFECTIVO</t>
  </si>
  <si>
    <t>CUENTAS POR COBRAR</t>
  </si>
  <si>
    <t xml:space="preserve">VENDEDOR </t>
  </si>
  <si>
    <t>JOSE MENDEZ</t>
  </si>
  <si>
    <t xml:space="preserve">CLIENTE </t>
  </si>
  <si>
    <t>FANY/CIRUELO</t>
  </si>
  <si>
    <t xml:space="preserve">DETALLESY MAS </t>
  </si>
  <si>
    <t>YOLANY</t>
  </si>
  <si>
    <t>MARIA CRISBY</t>
  </si>
  <si>
    <t>INVERSIONES SORELLE</t>
  </si>
  <si>
    <t>LEFRUITT</t>
  </si>
  <si>
    <t>DPETALOS</t>
  </si>
  <si>
    <t>YISSEL TARROS</t>
  </si>
  <si>
    <t>GABRIELA TRIGUERAS</t>
  </si>
  <si>
    <t>PAGO EN NEGOCIO PF</t>
  </si>
  <si>
    <t>ABONO/ OCCIDENTE</t>
  </si>
  <si>
    <t>ABONOS / OCCIDENTE</t>
  </si>
  <si>
    <t>FACTURAS/ENVIADO</t>
  </si>
  <si>
    <t>ABONO / OCCIDENTE</t>
  </si>
  <si>
    <t>FACTURA 2222</t>
  </si>
  <si>
    <t>ANDREA PAULINA</t>
  </si>
  <si>
    <t>ABONO/EFECIVO</t>
  </si>
  <si>
    <t>ABONO/ ATLANTIDA</t>
  </si>
  <si>
    <t>FACURA</t>
  </si>
  <si>
    <t>FACTURA 2233</t>
  </si>
  <si>
    <t>FACTURA 2244</t>
  </si>
  <si>
    <t>ABONO / DEPOS</t>
  </si>
  <si>
    <t xml:space="preserve">ABONO </t>
  </si>
  <si>
    <t>DEPOSITO BAC</t>
  </si>
  <si>
    <t>REBAJA DE PRODUCTO DAÑADO</t>
  </si>
  <si>
    <t>FACTURA 2257</t>
  </si>
  <si>
    <t>REPONER GERBERA DAÑADA</t>
  </si>
  <si>
    <t>ABONO / FICOHSA</t>
  </si>
  <si>
    <t>ABONO DEPOSITO</t>
  </si>
  <si>
    <t>FACTURAQ</t>
  </si>
  <si>
    <t xml:space="preserve"> FACTURA</t>
  </si>
  <si>
    <t>FACTURA 2282</t>
  </si>
  <si>
    <t>FACTURA 2287</t>
  </si>
  <si>
    <t>PAG0 EFECTIVO</t>
  </si>
  <si>
    <t>FACTURA 2311</t>
  </si>
  <si>
    <t>PAGO DEPOSITO</t>
  </si>
  <si>
    <t>FACCTURA</t>
  </si>
  <si>
    <t>FACTURA 2308</t>
  </si>
  <si>
    <t>FACTURA  COMERCIAL</t>
  </si>
  <si>
    <t>FACTIURA COMERCIAL</t>
  </si>
  <si>
    <t>FACTURA 2317</t>
  </si>
  <si>
    <t>FACTURA 2281</t>
  </si>
  <si>
    <t>FACTURA 2283</t>
  </si>
  <si>
    <t>FACTURA 2300</t>
  </si>
  <si>
    <t>FACTURA 2309</t>
  </si>
  <si>
    <t>FACTURA 2320</t>
  </si>
  <si>
    <t>FACTURA 2275</t>
  </si>
  <si>
    <t>DEPOSITO BAC CON TOQUEN</t>
  </si>
  <si>
    <t>FACTURA 2318</t>
  </si>
  <si>
    <t>FACTURA 2307</t>
  </si>
  <si>
    <t>FACTURA 2304</t>
  </si>
  <si>
    <t>FACTURA 2296</t>
  </si>
  <si>
    <t xml:space="preserve">ANA MORALES </t>
  </si>
  <si>
    <t>NELY MEJIA</t>
  </si>
  <si>
    <t xml:space="preserve">TOTAL </t>
  </si>
  <si>
    <t>FACTURA ENTREGADO DE NOCHE</t>
  </si>
  <si>
    <t>FACTURA 2334 ENVIADO</t>
  </si>
  <si>
    <t>FACTURA 2333</t>
  </si>
  <si>
    <t>PAGO   EFECTIVO</t>
  </si>
  <si>
    <t>ABONP FICOHSA</t>
  </si>
  <si>
    <t>FACTURA ENVIADO CON OMAR</t>
  </si>
  <si>
    <t xml:space="preserve"> 15/1/2026</t>
  </si>
  <si>
    <t>FACTURA 2330</t>
  </si>
  <si>
    <t>FACTURA 2337 SE FACTURO EL 20</t>
  </si>
  <si>
    <t>FACTURA 2338</t>
  </si>
  <si>
    <t>FACTURA 2329</t>
  </si>
  <si>
    <t>22/1//2026</t>
  </si>
  <si>
    <t>03//2/2026</t>
  </si>
  <si>
    <t>FACTURA 2353</t>
  </si>
  <si>
    <t>FACTURA  2387</t>
  </si>
  <si>
    <t>FACTURA 2390</t>
  </si>
  <si>
    <t>FACTURA 2373</t>
  </si>
  <si>
    <t>FACTURA 2344</t>
  </si>
  <si>
    <t>FACTURA 2388</t>
  </si>
  <si>
    <t>FACTURA 2371</t>
  </si>
  <si>
    <t>FACTURA 2340</t>
  </si>
  <si>
    <t>DEPOSITO ATLNTIDA</t>
  </si>
  <si>
    <t>FACTURA 2377</t>
  </si>
  <si>
    <t>FACTURA 2370</t>
  </si>
  <si>
    <t>FACTURA 2356</t>
  </si>
  <si>
    <t>FACTURA 2349</t>
  </si>
  <si>
    <t>FACTURA 2395</t>
  </si>
  <si>
    <t>FACTURA 2394</t>
  </si>
  <si>
    <t>FACTURA 2393</t>
  </si>
  <si>
    <t>FACTURA 2404</t>
  </si>
  <si>
    <t>FACTURA 2405</t>
  </si>
  <si>
    <t>FACTURA 2408</t>
  </si>
  <si>
    <t xml:space="preserve">PAGO DEPOSITO Y EFEC </t>
  </si>
  <si>
    <t xml:space="preserve">PAGO EN NEGOCIO </t>
  </si>
  <si>
    <t>FACTURA COMERCIAL</t>
  </si>
  <si>
    <t xml:space="preserve">DEPOSITO </t>
  </si>
  <si>
    <t>FACTURA2428</t>
  </si>
  <si>
    <t>FACTURA 2424</t>
  </si>
  <si>
    <t>FACTURA 2427</t>
  </si>
  <si>
    <t>FACTURA 2421</t>
  </si>
  <si>
    <t>FACTURA 2414</t>
  </si>
  <si>
    <t>FACTURA 2411</t>
  </si>
  <si>
    <t>FACTURA 2401</t>
  </si>
  <si>
    <t>FACTURA 2430</t>
  </si>
  <si>
    <t>FACTURA 2425</t>
  </si>
  <si>
    <t>PAGO OCCI Y ATANTIDA</t>
  </si>
  <si>
    <t>EFECTIVO Y DEPOSITO</t>
  </si>
  <si>
    <t>FACTURA 2436</t>
  </si>
  <si>
    <t>FACTURA 2437</t>
  </si>
  <si>
    <t>FACTURA 2444</t>
  </si>
  <si>
    <t>FACTURA 2443</t>
  </si>
  <si>
    <t>FACTURA 2372 MUNICIPALIDAD</t>
  </si>
  <si>
    <t>CHEQUE A PARAISO FLORAL</t>
  </si>
  <si>
    <t xml:space="preserve">                                                                                     </t>
  </si>
  <si>
    <t>FACTURA 2449</t>
  </si>
  <si>
    <t>FACTURA2446</t>
  </si>
  <si>
    <t>FACTURA 2450</t>
  </si>
  <si>
    <t xml:space="preserve">  5/3/2026</t>
  </si>
  <si>
    <t>FACTURA 2 PEONEAS</t>
  </si>
  <si>
    <t>PAGO BAC ENTIENDA</t>
  </si>
  <si>
    <t>FACTURA 2453</t>
  </si>
  <si>
    <t>FACTURA 2454</t>
  </si>
  <si>
    <t>FACTURA 2455</t>
  </si>
  <si>
    <t xml:space="preserve">PAGO EFECTIVO </t>
  </si>
  <si>
    <t>FACTURa</t>
  </si>
  <si>
    <t>FACTURA 2461</t>
  </si>
  <si>
    <t>FACTURA 2462</t>
  </si>
  <si>
    <t>FACTURA 2464</t>
  </si>
  <si>
    <t>FACTURA 2465</t>
  </si>
  <si>
    <t>FACTURA 2466</t>
  </si>
  <si>
    <t>FACTURA 2474</t>
  </si>
  <si>
    <t>DEPOSITO</t>
  </si>
  <si>
    <t>FACTURA 2473</t>
  </si>
  <si>
    <t xml:space="preserve"> 19/3/2026</t>
  </si>
  <si>
    <t>FACTURA 2477</t>
  </si>
  <si>
    <t>DANESY</t>
  </si>
  <si>
    <t>FACTURA 2480</t>
  </si>
  <si>
    <t xml:space="preserve">DEPOSITO A BAC </t>
  </si>
  <si>
    <t>23/3//2026</t>
  </si>
  <si>
    <t>FACTURA 2483</t>
  </si>
  <si>
    <t>FACTURA 2482</t>
  </si>
  <si>
    <t>DEEPOSITO OCCIDENTE</t>
  </si>
  <si>
    <t>PAGO EFCTIVO</t>
  </si>
  <si>
    <t>FACTURA ETAOO</t>
  </si>
  <si>
    <t>FACTURA 2489</t>
  </si>
  <si>
    <t xml:space="preserve"> PAGO EFECTIVO</t>
  </si>
  <si>
    <t>FACTURA 1 PEONEA</t>
  </si>
  <si>
    <t>FACTURA 2486</t>
  </si>
  <si>
    <t>FACTURA 2490</t>
  </si>
  <si>
    <t>PAGOEFECTIVO</t>
  </si>
  <si>
    <t>ISABELA</t>
  </si>
  <si>
    <t xml:space="preserve">FACTURA ENVIADO </t>
  </si>
  <si>
    <t>FACTURA 2496</t>
  </si>
  <si>
    <t>FACTURA  ENVIADA</t>
  </si>
  <si>
    <t>FACTURA 2502</t>
  </si>
  <si>
    <t>FACTURA 2503</t>
  </si>
  <si>
    <t>FACTURA 2504</t>
  </si>
  <si>
    <t>FACTURA 2509</t>
  </si>
  <si>
    <t>FSCTURA</t>
  </si>
  <si>
    <t>FACTURA DE ENVIADO</t>
  </si>
  <si>
    <t>FACTURA 2508</t>
  </si>
  <si>
    <t>FACTURA2507</t>
  </si>
  <si>
    <t>PAGO EFECTIVO PAGO ROSA ECUAD</t>
  </si>
  <si>
    <t>FACTURA 2514</t>
  </si>
  <si>
    <t>FACTURA 2515</t>
  </si>
  <si>
    <t>FACTURA 2518</t>
  </si>
  <si>
    <t>FACTURA 2521</t>
  </si>
  <si>
    <t>FACTURA 2520</t>
  </si>
  <si>
    <t>FACTURA 2522</t>
  </si>
  <si>
    <t>FACTURA 2519</t>
  </si>
  <si>
    <t>FACTURA 2524</t>
  </si>
  <si>
    <t xml:space="preserve"> EFECTIVO Y DEPOSITO </t>
  </si>
  <si>
    <t xml:space="preserve">SALDOS </t>
  </si>
  <si>
    <t>PAGO EN EFECTIVO</t>
  </si>
  <si>
    <t>FACTURA 2527 ENVIADO</t>
  </si>
  <si>
    <t>DOS DEPOSITOS OCCIDENTE</t>
  </si>
  <si>
    <t>PAGO EFECTIVO Y TRANSFE</t>
  </si>
  <si>
    <t>FACTURA 2528</t>
  </si>
  <si>
    <t>FACTURA 2530</t>
  </si>
  <si>
    <t>FACTURA ENTREGADO EN TIENDA</t>
  </si>
  <si>
    <t>FACTURA 2544</t>
  </si>
  <si>
    <t>FACTURA 2540</t>
  </si>
  <si>
    <t>FACTURA 2546</t>
  </si>
  <si>
    <t>FACTURA MADRES</t>
  </si>
  <si>
    <t>FACTURA MADRE</t>
  </si>
  <si>
    <t>FACTURA ROSA AZUL EN TIENDA</t>
  </si>
  <si>
    <t>FACTURA 2555 ENVIA CON OMAR</t>
  </si>
  <si>
    <t>FACTURA 2561</t>
  </si>
  <si>
    <t>FACTURA 2559</t>
  </si>
  <si>
    <t>FACTURA 2537</t>
  </si>
  <si>
    <t>FACTURA 2539</t>
  </si>
  <si>
    <t>FACTURA 2549</t>
  </si>
  <si>
    <t>FACTURA 2551</t>
  </si>
  <si>
    <t>FACTURA 2560</t>
  </si>
  <si>
    <t>FACTURA 2558</t>
  </si>
  <si>
    <t xml:space="preserve">FACTURA 2538 </t>
  </si>
  <si>
    <t>FACTURA ENVIADO OMAR</t>
  </si>
  <si>
    <t>DEPOSITO OCCIDENTE Y BAC</t>
  </si>
  <si>
    <t>FACTURA 2565</t>
  </si>
  <si>
    <t>FACTURA 2566</t>
  </si>
  <si>
    <t xml:space="preserve"> 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                                                                                                                 T</t>
  </si>
  <si>
    <t>FACTURA 2570</t>
  </si>
  <si>
    <t>PAGAR FACTURA</t>
  </si>
  <si>
    <t>DEPOSITO  OCCIDENTE</t>
  </si>
  <si>
    <t>FACTURA 2571</t>
  </si>
  <si>
    <t>EFECTI</t>
  </si>
  <si>
    <t>RI</t>
  </si>
  <si>
    <t>RINCONCITO AZACUALPA</t>
  </si>
  <si>
    <t>FACTURA 2582</t>
  </si>
  <si>
    <t>FACTURA 2580</t>
  </si>
  <si>
    <t>FACTURA 2578</t>
  </si>
  <si>
    <t>FACTURA ETAOO 2581</t>
  </si>
  <si>
    <t>FACTURA EN TIENDA</t>
  </si>
  <si>
    <t>FACTURA EN SPS</t>
  </si>
  <si>
    <t>FACTURA 2597</t>
  </si>
  <si>
    <t>FPAGO EFECTIVO</t>
  </si>
  <si>
    <t>FACTURA 2595</t>
  </si>
  <si>
    <t>FACTURA2596</t>
  </si>
  <si>
    <t xml:space="preserve">FACTURA ETAOO </t>
  </si>
  <si>
    <t xml:space="preserve">PAGO </t>
  </si>
  <si>
    <t>PAGO BANCO ATLANTIDA</t>
  </si>
  <si>
    <t>FACTURA 2606</t>
  </si>
  <si>
    <t xml:space="preserve"> FACTURA  ENVIADO DE SPS</t>
  </si>
  <si>
    <t>FACTURA ENVIADO LA ENTRADA</t>
  </si>
  <si>
    <t>FAC ENVIADO</t>
  </si>
  <si>
    <t>FACTURA 2614</t>
  </si>
  <si>
    <t>FCATURA</t>
  </si>
  <si>
    <t>FACTURA 2612</t>
  </si>
  <si>
    <t>FACTURA 2615</t>
  </si>
  <si>
    <t>FACTURA 2610</t>
  </si>
  <si>
    <t>FACTURA 2611</t>
  </si>
  <si>
    <t>FACTURA 2620 ENVIADO</t>
  </si>
  <si>
    <t>FACTURA 2626</t>
  </si>
  <si>
    <t>FACTURA 2627</t>
  </si>
  <si>
    <t>FACTURA 2628</t>
  </si>
  <si>
    <t>FACTURA ENVIADO BUS</t>
  </si>
  <si>
    <t>FACTURA 2637</t>
  </si>
  <si>
    <t>FACTURA 2635</t>
  </si>
  <si>
    <t>Factura</t>
  </si>
  <si>
    <t xml:space="preserve">PAGO DE FACTURA </t>
  </si>
  <si>
    <t>BCO DE OCCIDE</t>
  </si>
  <si>
    <t>Nombre del Bco</t>
  </si>
  <si>
    <t>FACTURA NUM 2642</t>
  </si>
  <si>
    <t>DEPOSITO BCO OCCIDENTE</t>
  </si>
  <si>
    <t>FACTURA 2643</t>
  </si>
  <si>
    <t>GRISELDA</t>
  </si>
  <si>
    <t>SAN ANTONIO COPAN</t>
  </si>
  <si>
    <t>DEPOSITO OCC Y ATLANT</t>
  </si>
  <si>
    <t>PGAO EN EFECTIVO</t>
  </si>
  <si>
    <t>PAGO DEPOSITO OCC</t>
  </si>
  <si>
    <t xml:space="preserve">FACTURA 2651 </t>
  </si>
  <si>
    <t>DEPOSITO BANCO DE OCCIDENTE</t>
  </si>
  <si>
    <t>DEPOSIITO BANCO DE OCCIDENTE</t>
  </si>
  <si>
    <t xml:space="preserve">PAGO DEPOSITO </t>
  </si>
  <si>
    <t>FACRURA</t>
  </si>
  <si>
    <t>FACTURA 2656</t>
  </si>
  <si>
    <t>DEPOSITO BCO ATLANTI</t>
  </si>
  <si>
    <t xml:space="preserve">FACTURA 2657 </t>
  </si>
  <si>
    <t>6 DE MAYO</t>
  </si>
  <si>
    <t>FACTURA 2658</t>
  </si>
  <si>
    <t>PAGO EFETIVO</t>
  </si>
  <si>
    <t>PAGO DEPOSITO BCO TLANTI</t>
  </si>
  <si>
    <t xml:space="preserve">FACTURA 2636 </t>
  </si>
  <si>
    <t>FATURA 2661</t>
  </si>
  <si>
    <t>FACTURA 2662</t>
  </si>
  <si>
    <t>FACTURA 2666</t>
  </si>
  <si>
    <t>PGO EFECTIVO</t>
  </si>
  <si>
    <t>FACTURA 2669</t>
  </si>
  <si>
    <t>FACTURA ETAO2668</t>
  </si>
  <si>
    <t>FACTURA 2667</t>
  </si>
  <si>
    <t>PGO DEPOSITO</t>
  </si>
  <si>
    <t>FACTURA 2672</t>
  </si>
  <si>
    <t xml:space="preserve">FACTURA 2674 </t>
  </si>
  <si>
    <t>FACTURA ENVIADA CON OMAR</t>
  </si>
  <si>
    <t xml:space="preserve"> </t>
  </si>
  <si>
    <t>FACTURA 2678</t>
  </si>
  <si>
    <t>FACTURA 2681</t>
  </si>
  <si>
    <t>FACTURA ETAOO 2677</t>
  </si>
  <si>
    <t>CLAUDIA 6 DE MAYO</t>
  </si>
  <si>
    <t xml:space="preserve">6 DE MAYO </t>
  </si>
  <si>
    <t>FACTURA 2686</t>
  </si>
  <si>
    <t>FACTURA 2688</t>
  </si>
  <si>
    <t>PENDIENTE DE ARREGLAR</t>
  </si>
  <si>
    <t>OJO</t>
  </si>
  <si>
    <t>FACTURA 8629</t>
  </si>
  <si>
    <t>DEPOSITO EFECTIVO</t>
  </si>
  <si>
    <t>NERY BUSTAMENTE</t>
  </si>
  <si>
    <t>LE REPUSIERON 5 SOLIDAGO</t>
  </si>
  <si>
    <t>FACTURA 2692</t>
  </si>
  <si>
    <t>FACTURA ETAO 2693</t>
  </si>
  <si>
    <t>FACTURA EVENTO</t>
  </si>
  <si>
    <t>FACTURA 2691</t>
  </si>
  <si>
    <t xml:space="preserve">DEPOSITO  OCCIDENTO </t>
  </si>
  <si>
    <t>FACTURA 2698</t>
  </si>
  <si>
    <t>FACTURA 2697</t>
  </si>
  <si>
    <t xml:space="preserve">FACTURA 2696 </t>
  </si>
  <si>
    <t>FACTURA 2704</t>
  </si>
  <si>
    <t>SE REBAJO UNA ROSA ROJO DANADA</t>
  </si>
  <si>
    <t>FACUTRA</t>
  </si>
  <si>
    <t>FACTURA 2703</t>
  </si>
  <si>
    <t>FACTURA NUM 2701</t>
  </si>
  <si>
    <t>FACTURA 2702</t>
  </si>
  <si>
    <t>FACTURA CRISTY FAC 0501</t>
  </si>
  <si>
    <t>MARIA JOSE</t>
  </si>
  <si>
    <t xml:space="preserve">FACTURA   2714 </t>
  </si>
  <si>
    <t>DEPOSITO DE OCC</t>
  </si>
  <si>
    <t>DEPOSITO FICHOSA</t>
  </si>
  <si>
    <t>FACTURA 2715</t>
  </si>
  <si>
    <t>FACRTURA</t>
  </si>
  <si>
    <t>DEPODITO ATLANTIDA</t>
  </si>
  <si>
    <t>FACTURA 2716</t>
  </si>
  <si>
    <t>PAGO EFECCTIVO</t>
  </si>
  <si>
    <t>FACTURA SE REPUSO UNA ROSA DAÑADA</t>
  </si>
  <si>
    <t>FACTURA CON ENVIO</t>
  </si>
  <si>
    <t>FACTUREA</t>
  </si>
  <si>
    <t>DEPPOSITO BAC</t>
  </si>
  <si>
    <t>FACTURA 2721</t>
  </si>
  <si>
    <t>FACTURA 2729</t>
  </si>
  <si>
    <t>FACTURA 2728</t>
  </si>
  <si>
    <t>FACTURA 2725</t>
  </si>
  <si>
    <t>DEPOSITO LINK DE BAC</t>
  </si>
  <si>
    <t>FACTURA 2736</t>
  </si>
  <si>
    <t>FACTURA 2739</t>
  </si>
  <si>
    <t>FACTURA 2742</t>
  </si>
  <si>
    <t>13 Y 14 /8/2026</t>
  </si>
  <si>
    <t>DEPOSITO OCCIDENTAL</t>
  </si>
  <si>
    <t>FACTURA 2748</t>
  </si>
  <si>
    <t>FACTURA 3011</t>
  </si>
  <si>
    <t>FACTURA 3002</t>
  </si>
  <si>
    <t>FACTURA 1923</t>
  </si>
  <si>
    <t>FACTURA 2179</t>
  </si>
  <si>
    <t>FACTURA 3018</t>
  </si>
  <si>
    <t>FACTURA 3020</t>
  </si>
  <si>
    <t>FACTURA 3019</t>
  </si>
  <si>
    <t>FACTURA 3017</t>
  </si>
  <si>
    <t>DEPOSITO TARJETA CREDITO</t>
  </si>
  <si>
    <t>FACTURA 3021</t>
  </si>
  <si>
    <t>FACTURA 3034</t>
  </si>
  <si>
    <t>FACTURA 3033</t>
  </si>
  <si>
    <t>FACTURA 3044</t>
  </si>
  <si>
    <t>FACTURA 3043</t>
  </si>
  <si>
    <t>FACTURA3045</t>
  </si>
  <si>
    <t>FACTURA ENVIA</t>
  </si>
  <si>
    <t>FACTUARA 3055</t>
  </si>
  <si>
    <t>FACTURA  3054</t>
  </si>
  <si>
    <t xml:space="preserve"> FACTURA 3056</t>
  </si>
  <si>
    <t>PAGO  CON 3 ROSA QUE SE LE</t>
  </si>
  <si>
    <t xml:space="preserve">FACTURO  IMPORTADORA </t>
  </si>
  <si>
    <t>FACTURA 3061</t>
  </si>
  <si>
    <t>FACTURA 3063</t>
  </si>
  <si>
    <t>FACTURA 3062</t>
  </si>
  <si>
    <t>CINTIA PEÑA</t>
  </si>
  <si>
    <t>12 Y 14/9/2026</t>
  </si>
  <si>
    <t>DEPOSITO OCCIDENTE 1</t>
  </si>
  <si>
    <t>DEPOSITO OCCIDENTE 2</t>
  </si>
  <si>
    <t>FACTURA 3077</t>
  </si>
  <si>
    <t>FACTURA CREDITO</t>
  </si>
  <si>
    <t>FACTURA CRETITO</t>
  </si>
  <si>
    <t xml:space="preserve">PAGO  EFECTIVO </t>
  </si>
  <si>
    <t>FACTURA 3097</t>
  </si>
  <si>
    <t>FACTURA ENVIADO 3096</t>
  </si>
  <si>
    <t>FACTURA CREDITO P</t>
  </si>
  <si>
    <t>DEPOSITO  ATLANRTIDA</t>
  </si>
  <si>
    <t>FACTURA 3093</t>
  </si>
  <si>
    <t>FACTURA 3094</t>
  </si>
  <si>
    <t>FACTURA 3086</t>
  </si>
  <si>
    <t>FACTURA 3113</t>
  </si>
  <si>
    <t>FCTURA</t>
  </si>
  <si>
    <t>COFRADIA</t>
  </si>
  <si>
    <t>SOFIA</t>
  </si>
  <si>
    <t>ROOS</t>
  </si>
  <si>
    <t>FACTURA 3114</t>
  </si>
  <si>
    <t>FACTURA 3124</t>
  </si>
  <si>
    <t>FACTURA3123</t>
  </si>
  <si>
    <t>FACTURA 3132</t>
  </si>
  <si>
    <t>ATLANTIDA</t>
  </si>
  <si>
    <t>LINK PAGO</t>
  </si>
  <si>
    <t>DEPOSITO OCCIDENTE-3164</t>
  </si>
  <si>
    <t>FACTURA 3166</t>
  </si>
  <si>
    <t>FACTURA 3168</t>
  </si>
  <si>
    <t>CREDITO ENVIADO</t>
  </si>
  <si>
    <t>FACTURAR</t>
  </si>
  <si>
    <t>FACTURAR PAGADO</t>
  </si>
  <si>
    <t>FACTURA CREDITO ENVIADA</t>
  </si>
  <si>
    <t>ESTRELLA SERRANO</t>
  </si>
  <si>
    <t>ADRIS LOPEZ</t>
  </si>
  <si>
    <t>LA FLECHA, SANTA BARBARA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</si>
</sst>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L&quot;#,##0.00"/>
  </numFmts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66C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12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164" fontId="0" fillId="0" borderId="0" xfId="0" applyNumberFormat="1"/>
    <xf numFmtId="164" fontId="1" fillId="2" borderId="1" xfId="0" applyNumberFormat="1" applyFont="1" applyFill="1" applyBorder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4" fontId="1" fillId="0" borderId="1" xfId="0" applyNumberFormat="1" applyFont="1" applyBorder="1"/>
    <xf numFmtId="0" fontId="3" fillId="0" borderId="0" xfId="0" applyFont="1" applyAlignment="1">
      <alignment vertical="center"/>
    </xf>
    <xf numFmtId="14" fontId="0" fillId="0" borderId="1" xfId="0" applyNumberFormat="1" applyBorder="1" applyAlignment="1">
      <alignment horizontal="right"/>
    </xf>
    <xf numFmtId="14" fontId="0" fillId="0" borderId="1" xfId="0" applyNumberFormat="1" applyBorder="1" applyAlignment="1">
      <alignment horizontal="right" indent="1"/>
    </xf>
    <xf numFmtId="164" fontId="4" fillId="0" borderId="1" xfId="0" applyNumberFormat="1" applyFont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16" fontId="0" fillId="0" borderId="0" xfId="0" applyNumberFormat="1"/>
    <xf numFmtId="43" fontId="0" fillId="0" borderId="1" xfId="1" applyFont="1" applyBorder="1"/>
    <xf numFmtId="14" fontId="0" fillId="0" borderId="1" xfId="0" quotePrefix="1" applyNumberFormat="1" applyBorder="1"/>
    <xf numFmtId="14" fontId="0" fillId="0" borderId="0" xfId="0" applyNumberFormat="1"/>
    <xf numFmtId="0" fontId="0" fillId="0" borderId="1" xfId="0" applyBorder="1" applyAlignment="1">
      <alignment horizontal="right"/>
    </xf>
    <xf numFmtId="0" fontId="1" fillId="6" borderId="1" xfId="0" applyFont="1" applyFill="1" applyBorder="1"/>
    <xf numFmtId="164" fontId="0" fillId="5" borderId="1" xfId="0" applyNumberFormat="1" applyFill="1" applyBorder="1"/>
    <xf numFmtId="17" fontId="0" fillId="0" borderId="1" xfId="0" applyNumberFormat="1" applyBorder="1"/>
    <xf numFmtId="16" fontId="0" fillId="0" borderId="1" xfId="0" applyNumberFormat="1" applyBorder="1"/>
    <xf numFmtId="0" fontId="0" fillId="7" borderId="1" xfId="0" applyFill="1" applyBorder="1"/>
    <xf numFmtId="164" fontId="0" fillId="7" borderId="1" xfId="0" applyNumberFormat="1" applyFill="1" applyBorder="1"/>
    <xf numFmtId="0" fontId="7" fillId="0" borderId="0" xfId="0" applyFont="1" applyAlignment="1">
      <alignment horizontal="center"/>
    </xf>
    <xf numFmtId="0" fontId="8" fillId="0" borderId="0" xfId="0" applyFont="1"/>
    <xf numFmtId="164" fontId="8" fillId="0" borderId="0" xfId="0" applyNumberFormat="1" applyFont="1"/>
    <xf numFmtId="0" fontId="9" fillId="2" borderId="1" xfId="0" applyFont="1" applyFill="1" applyBorder="1"/>
    <xf numFmtId="0" fontId="9" fillId="0" borderId="0" xfId="0" applyFont="1"/>
    <xf numFmtId="0" fontId="7" fillId="0" borderId="0" xfId="0" applyFont="1"/>
    <xf numFmtId="164" fontId="9" fillId="2" borderId="1" xfId="0" applyNumberFormat="1" applyFont="1" applyFill="1" applyBorder="1"/>
    <xf numFmtId="14" fontId="8" fillId="0" borderId="1" xfId="0" applyNumberFormat="1" applyFont="1" applyBorder="1"/>
    <xf numFmtId="0" fontId="8" fillId="0" borderId="1" xfId="0" applyFont="1" applyBorder="1"/>
    <xf numFmtId="164" fontId="8" fillId="0" borderId="1" xfId="0" applyNumberFormat="1" applyFont="1" applyBorder="1"/>
    <xf numFmtId="14" fontId="8" fillId="0" borderId="1" xfId="0" applyNumberFormat="1" applyFont="1" applyBorder="1" applyAlignment="1">
      <alignment horizontal="right"/>
    </xf>
    <xf numFmtId="0" fontId="0" fillId="0" borderId="3" xfId="0" applyBorder="1"/>
    <xf numFmtId="0" fontId="0" fillId="0" borderId="4" xfId="0" applyBorder="1"/>
    <xf numFmtId="14" fontId="10" fillId="0" borderId="1" xfId="0" applyNumberFormat="1" applyFont="1" applyBorder="1"/>
    <xf numFmtId="0" fontId="10" fillId="0" borderId="1" xfId="0" applyFont="1" applyBorder="1"/>
    <xf numFmtId="164" fontId="10" fillId="0" borderId="1" xfId="0" applyNumberFormat="1" applyFont="1" applyBorder="1"/>
    <xf numFmtId="164" fontId="11" fillId="0" borderId="1" xfId="0" applyNumberFormat="1" applyFont="1" applyBorder="1"/>
    <xf numFmtId="14" fontId="10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center"/>
    </xf>
    <xf numFmtId="0" fontId="12" fillId="2" borderId="1" xfId="0" applyFont="1" applyFill="1" applyBorder="1"/>
    <xf numFmtId="0" fontId="12" fillId="0" borderId="0" xfId="0" applyFont="1"/>
    <xf numFmtId="0" fontId="13" fillId="0" borderId="0" xfId="0" applyFont="1"/>
    <xf numFmtId="164" fontId="13" fillId="0" borderId="0" xfId="0" applyNumberFormat="1" applyFont="1"/>
    <xf numFmtId="164" fontId="12" fillId="2" borderId="1" xfId="0" applyNumberFormat="1" applyFont="1" applyFill="1" applyBorder="1"/>
    <xf numFmtId="14" fontId="13" fillId="0" borderId="1" xfId="0" applyNumberFormat="1" applyFont="1" applyBorder="1"/>
    <xf numFmtId="0" fontId="13" fillId="0" borderId="1" xfId="0" applyFont="1" applyBorder="1"/>
    <xf numFmtId="164" fontId="13" fillId="0" borderId="1" xfId="0" applyNumberFormat="1" applyFont="1" applyBorder="1"/>
    <xf numFmtId="0" fontId="1" fillId="2" borderId="5" xfId="0" applyFont="1" applyFill="1" applyBorder="1"/>
    <xf numFmtId="14" fontId="0" fillId="0" borderId="5" xfId="0" applyNumberFormat="1" applyBorder="1"/>
    <xf numFmtId="14" fontId="0" fillId="0" borderId="5" xfId="0" applyNumberFormat="1" applyBorder="1" applyAlignment="1">
      <alignment horizontal="right"/>
    </xf>
    <xf numFmtId="164" fontId="1" fillId="2" borderId="6" xfId="0" applyNumberFormat="1" applyFont="1" applyFill="1" applyBorder="1"/>
    <xf numFmtId="164" fontId="0" fillId="0" borderId="6" xfId="0" applyNumberFormat="1" applyBorder="1"/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164" fontId="1" fillId="2" borderId="1" xfId="0" applyNumberFormat="1" applyFont="1" applyFill="1" applyBorder="1" applyAlignment="1">
      <alignment horizontal="center"/>
    </xf>
    <xf numFmtId="164" fontId="14" fillId="2" borderId="1" xfId="0" applyNumberFormat="1" applyFont="1" applyFill="1" applyBorder="1"/>
    <xf numFmtId="0" fontId="14" fillId="2" borderId="1" xfId="0" applyFont="1" applyFill="1" applyBorder="1"/>
    <xf numFmtId="0" fontId="10" fillId="0" borderId="0" xfId="0" applyFont="1"/>
    <xf numFmtId="0" fontId="0" fillId="0" borderId="7" xfId="0" applyBorder="1"/>
    <xf numFmtId="164" fontId="0" fillId="0" borderId="7" xfId="0" applyNumberFormat="1" applyBorder="1"/>
    <xf numFmtId="0" fontId="0" fillId="0" borderId="8" xfId="0" applyBorder="1"/>
    <xf numFmtId="0" fontId="0" fillId="0" borderId="9" xfId="0" applyBorder="1"/>
    <xf numFmtId="164" fontId="0" fillId="0" borderId="9" xfId="0" applyNumberFormat="1" applyBorder="1"/>
    <xf numFmtId="164" fontId="0" fillId="0" borderId="10" xfId="0" applyNumberFormat="1" applyBorder="1"/>
    <xf numFmtId="0" fontId="0" fillId="0" borderId="11" xfId="0" applyBorder="1"/>
    <xf numFmtId="164" fontId="0" fillId="0" borderId="12" xfId="0" applyNumberFormat="1" applyBorder="1"/>
    <xf numFmtId="0" fontId="1" fillId="2" borderId="13" xfId="0" applyFont="1" applyFill="1" applyBorder="1"/>
    <xf numFmtId="0" fontId="1" fillId="0" borderId="11" xfId="0" applyFont="1" applyBorder="1"/>
    <xf numFmtId="0" fontId="3" fillId="0" borderId="12" xfId="0" applyFont="1" applyBorder="1" applyAlignment="1">
      <alignment horizontal="center"/>
    </xf>
    <xf numFmtId="164" fontId="1" fillId="2" borderId="14" xfId="0" applyNumberFormat="1" applyFont="1" applyFill="1" applyBorder="1"/>
    <xf numFmtId="14" fontId="0" fillId="0" borderId="13" xfId="0" applyNumberFormat="1" applyBorder="1"/>
    <xf numFmtId="164" fontId="0" fillId="0" borderId="14" xfId="0" applyNumberFormat="1" applyBorder="1"/>
    <xf numFmtId="14" fontId="0" fillId="0" borderId="13" xfId="0" applyNumberFormat="1" applyBorder="1" applyAlignment="1">
      <alignment horizontal="right"/>
    </xf>
    <xf numFmtId="0" fontId="0" fillId="0" borderId="13" xfId="0" applyBorder="1"/>
    <xf numFmtId="0" fontId="0" fillId="0" borderId="15" xfId="0" applyBorder="1"/>
    <xf numFmtId="0" fontId="0" fillId="0" borderId="16" xfId="0" applyBorder="1"/>
    <xf numFmtId="164" fontId="0" fillId="0" borderId="16" xfId="0" applyNumberFormat="1" applyBorder="1"/>
    <xf numFmtId="164" fontId="0" fillId="0" borderId="17" xfId="0" applyNumberFormat="1" applyBorder="1"/>
    <xf numFmtId="0" fontId="10" fillId="0" borderId="4" xfId="0" applyFont="1" applyBorder="1"/>
    <xf numFmtId="164" fontId="15" fillId="0" borderId="1" xfId="0" applyNumberFormat="1" applyFont="1" applyBorder="1"/>
    <xf numFmtId="0" fontId="16" fillId="0" borderId="0" xfId="0" applyFont="1"/>
    <xf numFmtId="164" fontId="16" fillId="0" borderId="0" xfId="0" applyNumberFormat="1" applyFont="1"/>
    <xf numFmtId="0" fontId="17" fillId="0" borderId="0" xfId="0" applyFont="1"/>
    <xf numFmtId="0" fontId="18" fillId="0" borderId="0" xfId="0" applyFont="1"/>
    <xf numFmtId="43" fontId="0" fillId="0" borderId="0" xfId="1" applyFont="1"/>
    <xf numFmtId="43" fontId="0" fillId="0" borderId="0" xfId="0" applyNumberFormat="1"/>
    <xf numFmtId="0" fontId="3" fillId="2" borderId="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2" borderId="2" xfId="0" applyFont="1" applyFill="1" applyBorder="1"/>
    <xf numFmtId="0" fontId="3" fillId="2" borderId="0" xfId="0" applyFont="1" applyFill="1"/>
    <xf numFmtId="0" fontId="2" fillId="2" borderId="2" xfId="0" applyFont="1" applyFill="1" applyBorder="1"/>
    <xf numFmtId="0" fontId="2" fillId="2" borderId="0" xfId="0" applyFont="1" applyFill="1"/>
    <xf numFmtId="0" fontId="3" fillId="2" borderId="2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7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3" fillId="2" borderId="2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2" borderId="12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444500</xdr:colOff>
      <xdr:row>0</xdr:row>
      <xdr:rowOff>165100</xdr:rowOff>
    </xdr:from>
    <xdr:to>
      <xdr:col>0</xdr:col>
      <xdr:colOff>1429302</xdr:colOff>
      <xdr:row>5</xdr:row>
      <xdr:rowOff>12700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FBB20D9-8482-41AD-937F-7ED09B85D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0" y="165100"/>
          <a:ext cx="984802" cy="8001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444500</xdr:colOff>
      <xdr:row>0</xdr:row>
      <xdr:rowOff>165100</xdr:rowOff>
    </xdr:from>
    <xdr:to>
      <xdr:col>0</xdr:col>
      <xdr:colOff>1429302</xdr:colOff>
      <xdr:row>5</xdr:row>
      <xdr:rowOff>50800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8315D9F-F702-4ACC-BF49-4FEFB57E2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0" y="165100"/>
          <a:ext cx="984802" cy="8382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444500</xdr:colOff>
      <xdr:row>0</xdr:row>
      <xdr:rowOff>165100</xdr:rowOff>
    </xdr:from>
    <xdr:to>
      <xdr:col>0</xdr:col>
      <xdr:colOff>1429302</xdr:colOff>
      <xdr:row>5</xdr:row>
      <xdr:rowOff>50800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C3C0324-1C47-4D51-9130-9133DD0D1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0" y="165100"/>
          <a:ext cx="984802" cy="8382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501650</xdr:colOff>
      <xdr:row>3</xdr:row>
      <xdr:rowOff>0</xdr:rowOff>
    </xdr:from>
    <xdr:ext cx="755650" cy="1074371"/>
    <xdr:pic>
      <xdr:nvPicPr>
        <xdr:cNvPr id="2" name="Imagen 1">
          <a:extLst>
            <a:ext uri="{FF2B5EF4-FFF2-40B4-BE49-F238E27FC236}">
              <a16:creationId xmlns:a16="http://schemas.microsoft.com/office/drawing/2014/main" id="{5C00D9ED-1EB2-4B0C-B039-540465224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650" y="0"/>
          <a:ext cx="755650" cy="1074371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444500</xdr:colOff>
      <xdr:row>0</xdr:row>
      <xdr:rowOff>165100</xdr:rowOff>
    </xdr:from>
    <xdr:to>
      <xdr:col>0</xdr:col>
      <xdr:colOff>1429302</xdr:colOff>
      <xdr:row>5</xdr:row>
      <xdr:rowOff>88900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389D9A-4035-4B2C-B56C-7336D4043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0" y="165100"/>
          <a:ext cx="984802" cy="8763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444500</xdr:colOff>
      <xdr:row>0</xdr:row>
      <xdr:rowOff>165100</xdr:rowOff>
    </xdr:from>
    <xdr:to>
      <xdr:col>0</xdr:col>
      <xdr:colOff>1429302</xdr:colOff>
      <xdr:row>5</xdr:row>
      <xdr:rowOff>127000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2900858-59E9-44B6-9D43-C393048D1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0" y="165100"/>
          <a:ext cx="984802" cy="9144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12700</xdr:rowOff>
    </xdr:from>
    <xdr:to>
      <xdr:col>1</xdr:col>
      <xdr:colOff>222802</xdr:colOff>
      <xdr:row>5</xdr:row>
      <xdr:rowOff>12700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DBAFB0-3555-4D9A-8D51-FD48A8EB8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700"/>
          <a:ext cx="984802" cy="9906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444500</xdr:colOff>
      <xdr:row>0</xdr:row>
      <xdr:rowOff>165100</xdr:rowOff>
    </xdr:from>
    <xdr:to>
      <xdr:col>0</xdr:col>
      <xdr:colOff>1429302</xdr:colOff>
      <xdr:row>5</xdr:row>
      <xdr:rowOff>127000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8C1866F-A353-4CDA-93C4-EB21F656D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0" y="165100"/>
          <a:ext cx="984802" cy="9144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444500</xdr:colOff>
      <xdr:row>0</xdr:row>
      <xdr:rowOff>165100</xdr:rowOff>
    </xdr:from>
    <xdr:to>
      <xdr:col>0</xdr:col>
      <xdr:colOff>1429302</xdr:colOff>
      <xdr:row>5</xdr:row>
      <xdr:rowOff>165100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8B2D79F-E8BB-48C2-95F7-CC4033EFE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0" y="165100"/>
          <a:ext cx="984802" cy="9525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444500</xdr:colOff>
      <xdr:row>0</xdr:row>
      <xdr:rowOff>165100</xdr:rowOff>
    </xdr:from>
    <xdr:to>
      <xdr:col>0</xdr:col>
      <xdr:colOff>1429302</xdr:colOff>
      <xdr:row>6</xdr:row>
      <xdr:rowOff>50800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3A51EC9-570A-4A84-8A0F-1BFB7B771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0" y="165100"/>
          <a:ext cx="984802" cy="10287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635000</xdr:colOff>
      <xdr:row>0</xdr:row>
      <xdr:rowOff>0</xdr:rowOff>
    </xdr:from>
    <xdr:to>
      <xdr:col>4</xdr:col>
      <xdr:colOff>162477</xdr:colOff>
      <xdr:row>5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3A5681-FC50-44C1-9EAA-71947B5F5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1825" y="0"/>
          <a:ext cx="927652" cy="11049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444500</xdr:colOff>
      <xdr:row>0</xdr:row>
      <xdr:rowOff>165100</xdr:rowOff>
    </xdr:from>
    <xdr:to>
      <xdr:col>0</xdr:col>
      <xdr:colOff>1429302</xdr:colOff>
      <xdr:row>6</xdr:row>
      <xdr:rowOff>88900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55F178-AE9E-4939-96FA-234EB6EC2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0" y="165100"/>
          <a:ext cx="984802" cy="10668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444500</xdr:colOff>
      <xdr:row>0</xdr:row>
      <xdr:rowOff>165100</xdr:rowOff>
    </xdr:from>
    <xdr:to>
      <xdr:col>0</xdr:col>
      <xdr:colOff>1429302</xdr:colOff>
      <xdr:row>6</xdr:row>
      <xdr:rowOff>127000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058FAD0-AA63-4592-9F64-E8CCFE209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0" y="165100"/>
          <a:ext cx="984802" cy="11049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444500</xdr:colOff>
      <xdr:row>0</xdr:row>
      <xdr:rowOff>165100</xdr:rowOff>
    </xdr:from>
    <xdr:to>
      <xdr:col>0</xdr:col>
      <xdr:colOff>1429302</xdr:colOff>
      <xdr:row>6</xdr:row>
      <xdr:rowOff>165100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C6BC328-4638-4704-87D2-4CB008109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0" y="165100"/>
          <a:ext cx="984802" cy="11430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492125</xdr:colOff>
      <xdr:row>0</xdr:row>
      <xdr:rowOff>0</xdr:rowOff>
    </xdr:from>
    <xdr:to>
      <xdr:col>0</xdr:col>
      <xdr:colOff>1476927</xdr:colOff>
      <xdr:row>4</xdr:row>
      <xdr:rowOff>158750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E8F0508-38FA-4F77-A8F1-482D34349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125" y="0"/>
          <a:ext cx="984802" cy="95885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444500</xdr:colOff>
      <xdr:row>0</xdr:row>
      <xdr:rowOff>165100</xdr:rowOff>
    </xdr:from>
    <xdr:to>
      <xdr:col>0</xdr:col>
      <xdr:colOff>1429302</xdr:colOff>
      <xdr:row>7</xdr:row>
      <xdr:rowOff>50800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957E9BC-64F2-47C1-84AE-7072D108A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0" y="165100"/>
          <a:ext cx="984802" cy="12192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444500</xdr:colOff>
      <xdr:row>0</xdr:row>
      <xdr:rowOff>165100</xdr:rowOff>
    </xdr:from>
    <xdr:to>
      <xdr:col>0</xdr:col>
      <xdr:colOff>1429302</xdr:colOff>
      <xdr:row>7</xdr:row>
      <xdr:rowOff>88900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C2C8829-DBC6-4B24-9D4D-3C56AE991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4500" y="165100"/>
          <a:ext cx="984802" cy="12573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654050</xdr:colOff>
      <xdr:row>0</xdr:row>
      <xdr:rowOff>0</xdr:rowOff>
    </xdr:from>
    <xdr:to>
      <xdr:col>0</xdr:col>
      <xdr:colOff>1638852</xdr:colOff>
      <xdr:row>7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17DBAA4-5405-451C-9A8C-1812D9F91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" y="0"/>
          <a:ext cx="984802" cy="13716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654050</xdr:colOff>
      <xdr:row>0</xdr:row>
      <xdr:rowOff>0</xdr:rowOff>
    </xdr:from>
    <xdr:to>
      <xdr:col>0</xdr:col>
      <xdr:colOff>1638852</xdr:colOff>
      <xdr:row>7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5A5960-01E7-4E21-AB1B-DC12D25B4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" y="0"/>
          <a:ext cx="984802" cy="13716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625475</xdr:colOff>
      <xdr:row>0</xdr:row>
      <xdr:rowOff>0</xdr:rowOff>
    </xdr:from>
    <xdr:to>
      <xdr:col>0</xdr:col>
      <xdr:colOff>1610277</xdr:colOff>
      <xdr:row>4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7B05ED4-D986-49BC-BA11-9C73D9352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475" y="0"/>
          <a:ext cx="984802" cy="97155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oneCellAnchor>
    <xdr:from>
      <xdr:col>6</xdr:col>
      <xdr:colOff>625475</xdr:colOff>
      <xdr:row>3</xdr:row>
      <xdr:rowOff>0</xdr:rowOff>
    </xdr:from>
    <xdr:ext cx="984802" cy="971550"/>
    <xdr:pic>
      <xdr:nvPicPr>
        <xdr:cNvPr id="3" name="Imagen 2">
          <a:extLst>
            <a:ext uri="{FF2B5EF4-FFF2-40B4-BE49-F238E27FC236}">
              <a16:creationId xmlns:a16="http://schemas.microsoft.com/office/drawing/2014/main" id="{E6ACB949-F802-4DEE-9B36-DFD8FA062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475" y="0"/>
          <a:ext cx="984802" cy="97155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654050</xdr:colOff>
      <xdr:row>0</xdr:row>
      <xdr:rowOff>0</xdr:rowOff>
    </xdr:from>
    <xdr:to>
      <xdr:col>0</xdr:col>
      <xdr:colOff>1638852</xdr:colOff>
      <xdr:row>7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6A643B-617A-48DE-8040-FF497BC2E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" y="0"/>
          <a:ext cx="984802" cy="14097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654050</xdr:colOff>
      <xdr:row>0</xdr:row>
      <xdr:rowOff>0</xdr:rowOff>
    </xdr:from>
    <xdr:to>
      <xdr:col>0</xdr:col>
      <xdr:colOff>1638852</xdr:colOff>
      <xdr:row>7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7A273E9-760E-449E-B7A1-C41B1E469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" y="0"/>
          <a:ext cx="984802" cy="14478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654050</xdr:colOff>
      <xdr:row>0</xdr:row>
      <xdr:rowOff>0</xdr:rowOff>
    </xdr:from>
    <xdr:to>
      <xdr:col>0</xdr:col>
      <xdr:colOff>1638852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2AFED4-960D-4769-8AB6-D8DFCA862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" y="0"/>
          <a:ext cx="984802" cy="10287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654050</xdr:colOff>
      <xdr:row>0</xdr:row>
      <xdr:rowOff>0</xdr:rowOff>
    </xdr:from>
    <xdr:to>
      <xdr:col>0</xdr:col>
      <xdr:colOff>1638852</xdr:colOff>
      <xdr:row>4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D0A0055-9135-44F8-BCD4-B5253681F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" y="0"/>
          <a:ext cx="984802" cy="86677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654050</xdr:colOff>
      <xdr:row>0</xdr:row>
      <xdr:rowOff>0</xdr:rowOff>
    </xdr:from>
    <xdr:to>
      <xdr:col>0</xdr:col>
      <xdr:colOff>1638852</xdr:colOff>
      <xdr:row>8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0510C05-8121-47F2-AD16-7DFA80238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" y="0"/>
          <a:ext cx="984802" cy="15621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758825</xdr:colOff>
      <xdr:row>0</xdr:row>
      <xdr:rowOff>0</xdr:rowOff>
    </xdr:from>
    <xdr:to>
      <xdr:col>0</xdr:col>
      <xdr:colOff>1743627</xdr:colOff>
      <xdr:row>4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E67F488-B945-4792-B1A1-F6EAB5AFD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825" y="0"/>
          <a:ext cx="984802" cy="84772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654051</xdr:colOff>
      <xdr:row>0</xdr:row>
      <xdr:rowOff>1</xdr:rowOff>
    </xdr:from>
    <xdr:to>
      <xdr:col>0</xdr:col>
      <xdr:colOff>1485901</xdr:colOff>
      <xdr:row>4</xdr:row>
      <xdr:rowOff>136083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B56B477-32C2-4DD5-9B7C-80A4A10CE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1" y="1"/>
          <a:ext cx="831850" cy="936182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692150</xdr:colOff>
      <xdr:row>0</xdr:row>
      <xdr:rowOff>0</xdr:rowOff>
    </xdr:from>
    <xdr:to>
      <xdr:col>0</xdr:col>
      <xdr:colOff>1676952</xdr:colOff>
      <xdr:row>4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32769E3-F352-4923-8EF2-5E2A0AEB3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150" y="0"/>
          <a:ext cx="984802" cy="96202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615950</xdr:colOff>
      <xdr:row>0</xdr:row>
      <xdr:rowOff>0</xdr:rowOff>
    </xdr:from>
    <xdr:to>
      <xdr:col>0</xdr:col>
      <xdr:colOff>1266825</xdr:colOff>
      <xdr:row>4</xdr:row>
      <xdr:rowOff>62351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4B3CDFE-3DC9-4933-BCBA-CA6F77C2C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950" y="0"/>
          <a:ext cx="650875" cy="862451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654050</xdr:colOff>
      <xdr:row>0</xdr:row>
      <xdr:rowOff>0</xdr:rowOff>
    </xdr:from>
    <xdr:to>
      <xdr:col>0</xdr:col>
      <xdr:colOff>1638852</xdr:colOff>
      <xdr:row>5</xdr:row>
      <xdr:rowOff>180975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81A65D-A6F4-43F3-A673-10D75AE52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" y="0"/>
          <a:ext cx="984802" cy="113347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654050</xdr:colOff>
      <xdr:row>0</xdr:row>
      <xdr:rowOff>0</xdr:rowOff>
    </xdr:from>
    <xdr:to>
      <xdr:col>0</xdr:col>
      <xdr:colOff>1638852</xdr:colOff>
      <xdr:row>6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B388C7-3981-41B9-B6E7-57E4098EE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" y="0"/>
          <a:ext cx="984802" cy="117157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701675</xdr:colOff>
      <xdr:row>0</xdr:row>
      <xdr:rowOff>9526</xdr:rowOff>
    </xdr:from>
    <xdr:to>
      <xdr:col>0</xdr:col>
      <xdr:colOff>1686477</xdr:colOff>
      <xdr:row>4</xdr:row>
      <xdr:rowOff>66676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18271AC-712F-49F0-B74A-1E2CC3BD8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675" y="9526"/>
          <a:ext cx="984802" cy="85725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654050</xdr:colOff>
      <xdr:row>0</xdr:row>
      <xdr:rowOff>0</xdr:rowOff>
    </xdr:from>
    <xdr:to>
      <xdr:col>0</xdr:col>
      <xdr:colOff>1638852</xdr:colOff>
      <xdr:row>6</xdr:row>
      <xdr:rowOff>180975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193F72C-25EE-4BC6-983A-41322F39C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" y="0"/>
          <a:ext cx="984802" cy="132397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654050</xdr:colOff>
      <xdr:row>0</xdr:row>
      <xdr:rowOff>0</xdr:rowOff>
    </xdr:from>
    <xdr:to>
      <xdr:col>0</xdr:col>
      <xdr:colOff>1638852</xdr:colOff>
      <xdr:row>7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CD2E805-23E5-4DE5-A5B6-01F4CA076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" y="0"/>
          <a:ext cx="984802" cy="140017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654050</xdr:colOff>
      <xdr:row>0</xdr:row>
      <xdr:rowOff>0</xdr:rowOff>
    </xdr:from>
    <xdr:to>
      <xdr:col>0</xdr:col>
      <xdr:colOff>1638852</xdr:colOff>
      <xdr:row>7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9E3575E-8A0E-4DD2-8396-045DA9FD7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" y="0"/>
          <a:ext cx="984802" cy="143827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654050</xdr:colOff>
      <xdr:row>0</xdr:row>
      <xdr:rowOff>0</xdr:rowOff>
    </xdr:from>
    <xdr:to>
      <xdr:col>0</xdr:col>
      <xdr:colOff>1638852</xdr:colOff>
      <xdr:row>7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99DB3BB-1641-4F03-8B04-59D9D1D5E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" y="0"/>
          <a:ext cx="984802" cy="147637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654050</xdr:colOff>
      <xdr:row>0</xdr:row>
      <xdr:rowOff>0</xdr:rowOff>
    </xdr:from>
    <xdr:to>
      <xdr:col>0</xdr:col>
      <xdr:colOff>1638852</xdr:colOff>
      <xdr:row>8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CB5E048-8E5E-4C7E-80E3-D1255E952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" y="0"/>
          <a:ext cx="984802" cy="155257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araiso Floral" id="{2933DCBE-B4B3-4C6F-913D-7DBCC1CA1E45}" userId="5b90387a799bd73c" providerId="Windows Live"/>
</personList>
</file>

<file path=xl/theme/theme1.xml><?xml version="1.0" encoding="utf-8"?>
<a:theme xmlns:a="http://schemas.openxmlformats.org/drawingml/2006/main" name="Tema d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0" dT="2025-08-25T03:02:38.87" personId="{2933DCBE-B4B3-4C6F-913D-7DBCC1CA1E45}" id="{B12258C8-29E8-4C3E-A5D3-A06993930F3F}">
    <text>FAVOR REVISAR PORQUE QUEDA ESE SALDO PENDIENTE, SEGÚN FACTURACION DE JOSE DICE SALDO EN CERO. TOMANDO EN CUENTA EL , EL PAGO QUE HIZO EL CLIENTE DE LA FACTURA ANTERIOR PERO SEGÚN CUADRO VA ARRASTRANDO SALDO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32" dT="2025-08-25T03:00:44.71" personId="{2933DCBE-B4B3-4C6F-913D-7DBCC1CA1E45}" id="{0491B09E-82FD-4528-80F6-936F98070DEF}">
    <text xml:space="preserve">ESTE VALOR SEGÚN COBROS DE JOSE DEBERIA SER 2500 LEMPIRAS PERO AL RESTAR LOS ABONOS HAY UNA DIFERENCIA DE 160 LPS DE MAS A FAVOR DE PARAISO. </text>
  </threadedComment>
  <threadedComment ref="D37" dT="2025-08-25T03:01:10.45" personId="{2933DCBE-B4B3-4C6F-913D-7DBCC1CA1E45}" id="{79C50164-2EC3-43FF-9EE6-88BD20860CBA}">
    <text>SE PONDRA EN LAS CUENTAS POR COBRAR ESOS 160 LPS DE MAS FAVOR REVISAR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41" dT="2025-08-25T03:06:07.52" personId="{2933DCBE-B4B3-4C6F-913D-7DBCC1CA1E45}" id="{94788AD9-10DD-4319-9510-B3ECC4807A95}">
    <text>SEGÚN LA FACTURA CLIENTA ABONA 5000 Y DEBE 5260 , CUANDO JOSE PRESENTA LA FACTURA LE RESTA EL ABONO Y LE CARGA  A LA SIGUIENTE FACTURA 260 PENDIENTE, PERO SEGÚN SALDO QUE ARRASTRA ES MAS, VERIFICAR</text>
  </threadedComment>
  <threadedComment ref="D43" dT="2025-08-25T03:06:51.99" personId="{2933DCBE-B4B3-4C6F-913D-7DBCC1CA1E45}" id="{C53485CB-82C8-4651-A1B3-6E9D6CCCAC0B}">
    <text>SEGÚN ABONOS SERIA ESTE EL SALDO QUE DEBIO SUMAR JOSE, REVISAE ESA INFORMACION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31" dT="2025-08-25T02:53:48.67" personId="{2933DCBE-B4B3-4C6F-913D-7DBCC1CA1E45}" id="{8182A959-E81D-4A16-B2FB-7A0978CCD7CC}">
    <text xml:space="preserve">ESTE ES EL VALOR DE LA ULTIMA FACTURA QUE DEBE LA CLIENTA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2.xml"/><Relationship Id="rId4" Type="http://schemas.microsoft.com/office/2017/10/relationships/threadedComment" Target="../threadedComments/threadedComment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5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3345D-11BC-4E3F-9DF6-3388A1C03F55}">
  <sheetPr>
    <tabColor rgb="FF00B050"/>
  </sheetPr>
  <dimension ref="A4:J187"/>
  <sheetViews>
    <sheetView topLeftCell="A160" workbookViewId="0">
      <selection activeCell="A181" sqref="A181"/>
    </sheetView>
  </sheetViews>
  <sheetFormatPr baseColWidth="10" defaultRowHeight="15" x14ac:dyDescent="0.25"/>
  <cols>
    <col min="1" max="1" width="28.28515625" customWidth="1"/>
    <col min="2" max="2" width="30.28515625" customWidth="1"/>
    <col min="3" max="3" width="23.42578125" style="6" customWidth="1"/>
    <col min="4" max="4" width="21.85546875" style="6" customWidth="1"/>
  </cols>
  <sheetData>
    <row r="4" spans="1:4" ht="18" x14ac:dyDescent="0.25">
      <c r="A4" s="98" t="s">
        <v>0</v>
      </c>
      <c r="B4" s="98"/>
      <c r="C4" s="98"/>
      <c r="D4" s="98"/>
    </row>
    <row r="6" spans="1:4" x14ac:dyDescent="0.25">
      <c r="A6" s="24" t="s">
        <v>1</v>
      </c>
      <c r="B6" s="96" t="s">
        <v>8</v>
      </c>
      <c r="C6" s="97"/>
      <c r="D6" s="97"/>
    </row>
    <row r="7" spans="1:4" x14ac:dyDescent="0.25">
      <c r="A7" s="3"/>
      <c r="B7" s="4"/>
      <c r="C7" s="4"/>
      <c r="D7" s="4"/>
    </row>
    <row r="8" spans="1:4" x14ac:dyDescent="0.25">
      <c r="B8" s="5"/>
    </row>
    <row r="9" spans="1:4" x14ac:dyDescent="0.25">
      <c r="A9" s="24" t="s">
        <v>2</v>
      </c>
      <c r="B9" s="2" t="s">
        <v>3</v>
      </c>
      <c r="C9" s="7" t="s">
        <v>4</v>
      </c>
      <c r="D9" s="7" t="s">
        <v>5</v>
      </c>
    </row>
    <row r="10" spans="1:4" x14ac:dyDescent="0.25">
      <c r="A10" s="8">
        <v>45834</v>
      </c>
      <c r="B10" s="9" t="s">
        <v>6</v>
      </c>
      <c r="C10" s="10">
        <v>8760</v>
      </c>
      <c r="D10" s="10">
        <f>C10</f>
        <v>8760</v>
      </c>
    </row>
    <row r="11" spans="1:4" x14ac:dyDescent="0.25">
      <c r="A11" s="8">
        <v>45838</v>
      </c>
      <c r="B11" s="9" t="s">
        <v>6</v>
      </c>
      <c r="C11" s="10">
        <v>5770</v>
      </c>
      <c r="D11" s="10">
        <f>D10+C11</f>
        <v>14530</v>
      </c>
    </row>
    <row r="12" spans="1:4" x14ac:dyDescent="0.25">
      <c r="A12" s="8">
        <v>45838</v>
      </c>
      <c r="B12" s="9" t="s">
        <v>7</v>
      </c>
      <c r="C12" s="10">
        <v>-6820</v>
      </c>
      <c r="D12" s="10">
        <f t="shared" ref="D12:D32" si="0">D11+C12</f>
        <v>7710</v>
      </c>
    </row>
    <row r="13" spans="1:4" x14ac:dyDescent="0.25">
      <c r="A13" s="8">
        <v>45841</v>
      </c>
      <c r="B13" s="9" t="s">
        <v>6</v>
      </c>
      <c r="C13" s="10">
        <v>314</v>
      </c>
      <c r="D13" s="10">
        <f t="shared" si="0"/>
        <v>8024</v>
      </c>
    </row>
    <row r="14" spans="1:4" x14ac:dyDescent="0.25">
      <c r="A14" s="8">
        <v>45841</v>
      </c>
      <c r="B14" s="9" t="s">
        <v>7</v>
      </c>
      <c r="C14" s="10">
        <v>-4000</v>
      </c>
      <c r="D14" s="10">
        <f t="shared" si="0"/>
        <v>4024</v>
      </c>
    </row>
    <row r="15" spans="1:4" x14ac:dyDescent="0.25">
      <c r="A15" s="8">
        <v>45841</v>
      </c>
      <c r="B15" s="9" t="s">
        <v>6</v>
      </c>
      <c r="C15" s="10">
        <v>760</v>
      </c>
      <c r="D15" s="11">
        <f t="shared" si="0"/>
        <v>4784</v>
      </c>
    </row>
    <row r="16" spans="1:4" x14ac:dyDescent="0.25">
      <c r="A16" s="8">
        <v>45845</v>
      </c>
      <c r="B16" s="9" t="s">
        <v>7</v>
      </c>
      <c r="C16" s="10">
        <v>-4784</v>
      </c>
      <c r="D16" s="11">
        <f t="shared" si="0"/>
        <v>0</v>
      </c>
    </row>
    <row r="17" spans="1:4" x14ac:dyDescent="0.25">
      <c r="A17" s="14">
        <v>45855</v>
      </c>
      <c r="B17" s="9" t="s">
        <v>6</v>
      </c>
      <c r="C17" s="10">
        <v>4530</v>
      </c>
      <c r="D17" s="11">
        <f t="shared" si="0"/>
        <v>4530</v>
      </c>
    </row>
    <row r="18" spans="1:4" x14ac:dyDescent="0.25">
      <c r="A18" s="8">
        <v>45855</v>
      </c>
      <c r="B18" s="9" t="s">
        <v>7</v>
      </c>
      <c r="C18" s="10">
        <v>-4530</v>
      </c>
      <c r="D18" s="11">
        <f t="shared" si="0"/>
        <v>0</v>
      </c>
    </row>
    <row r="19" spans="1:4" x14ac:dyDescent="0.25">
      <c r="A19" s="8">
        <v>45859</v>
      </c>
      <c r="B19" s="9" t="s">
        <v>6</v>
      </c>
      <c r="C19" s="10">
        <v>5170</v>
      </c>
      <c r="D19" s="10">
        <f t="shared" si="0"/>
        <v>5170</v>
      </c>
    </row>
    <row r="20" spans="1:4" x14ac:dyDescent="0.25">
      <c r="A20" s="8">
        <v>45862</v>
      </c>
      <c r="B20" s="9" t="s">
        <v>6</v>
      </c>
      <c r="C20" s="10">
        <v>3500</v>
      </c>
      <c r="D20" s="10">
        <f t="shared" si="0"/>
        <v>8670</v>
      </c>
    </row>
    <row r="21" spans="1:4" x14ac:dyDescent="0.25">
      <c r="A21" s="8">
        <v>45862</v>
      </c>
      <c r="B21" s="9" t="s">
        <v>55</v>
      </c>
      <c r="C21" s="10">
        <v>-8670</v>
      </c>
      <c r="D21" s="10">
        <f t="shared" si="0"/>
        <v>0</v>
      </c>
    </row>
    <row r="22" spans="1:4" x14ac:dyDescent="0.25">
      <c r="A22" s="8">
        <v>45866</v>
      </c>
      <c r="B22" s="9" t="s">
        <v>6</v>
      </c>
      <c r="C22" s="10">
        <v>4960</v>
      </c>
      <c r="D22" s="10">
        <f t="shared" si="0"/>
        <v>4960</v>
      </c>
    </row>
    <row r="23" spans="1:4" x14ac:dyDescent="0.25">
      <c r="A23" s="8">
        <v>45866</v>
      </c>
      <c r="B23" s="9" t="s">
        <v>7</v>
      </c>
      <c r="C23" s="10">
        <v>-4960</v>
      </c>
      <c r="D23" s="10">
        <f t="shared" si="0"/>
        <v>0</v>
      </c>
    </row>
    <row r="24" spans="1:4" x14ac:dyDescent="0.25">
      <c r="A24" s="8">
        <v>45869</v>
      </c>
      <c r="B24" s="9" t="s">
        <v>6</v>
      </c>
      <c r="C24" s="10">
        <v>4770</v>
      </c>
      <c r="D24" s="10">
        <f t="shared" si="0"/>
        <v>4770</v>
      </c>
    </row>
    <row r="25" spans="1:4" x14ac:dyDescent="0.25">
      <c r="A25" s="8">
        <v>45869</v>
      </c>
      <c r="B25" s="9" t="s">
        <v>55</v>
      </c>
      <c r="C25" s="10">
        <v>-4770</v>
      </c>
      <c r="D25" s="10">
        <f t="shared" si="0"/>
        <v>0</v>
      </c>
    </row>
    <row r="26" spans="1:4" x14ac:dyDescent="0.25">
      <c r="A26" s="8">
        <v>45873</v>
      </c>
      <c r="B26" s="9" t="s">
        <v>6</v>
      </c>
      <c r="C26" s="10">
        <v>6060</v>
      </c>
      <c r="D26" s="10">
        <f>D25+C26</f>
        <v>6060</v>
      </c>
    </row>
    <row r="27" spans="1:4" x14ac:dyDescent="0.25">
      <c r="A27" s="8">
        <v>45873</v>
      </c>
      <c r="B27" s="9" t="s">
        <v>55</v>
      </c>
      <c r="C27" s="10">
        <v>-6060</v>
      </c>
      <c r="D27" s="10">
        <f t="shared" si="0"/>
        <v>0</v>
      </c>
    </row>
    <row r="28" spans="1:4" x14ac:dyDescent="0.25">
      <c r="A28" s="8">
        <v>45880</v>
      </c>
      <c r="B28" s="9" t="s">
        <v>6</v>
      </c>
      <c r="C28" s="10">
        <v>4510</v>
      </c>
      <c r="D28" s="10">
        <f t="shared" si="0"/>
        <v>4510</v>
      </c>
    </row>
    <row r="29" spans="1:4" x14ac:dyDescent="0.25">
      <c r="A29" s="8">
        <v>45880</v>
      </c>
      <c r="B29" s="9" t="s">
        <v>7</v>
      </c>
      <c r="C29" s="10">
        <v>-4000</v>
      </c>
      <c r="D29" s="10">
        <f t="shared" si="0"/>
        <v>510</v>
      </c>
    </row>
    <row r="30" spans="1:4" x14ac:dyDescent="0.25">
      <c r="A30" s="8">
        <v>45883</v>
      </c>
      <c r="B30" s="9" t="s">
        <v>6</v>
      </c>
      <c r="C30" s="10">
        <v>2960</v>
      </c>
      <c r="D30" s="10">
        <f t="shared" si="0"/>
        <v>3470</v>
      </c>
    </row>
    <row r="31" spans="1:4" x14ac:dyDescent="0.25">
      <c r="A31" s="8">
        <v>45883</v>
      </c>
      <c r="B31" s="9" t="s">
        <v>55</v>
      </c>
      <c r="C31" s="10">
        <v>-2960</v>
      </c>
      <c r="D31" s="10">
        <f t="shared" si="0"/>
        <v>510</v>
      </c>
    </row>
    <row r="32" spans="1:4" x14ac:dyDescent="0.25">
      <c r="A32" s="8">
        <v>45909</v>
      </c>
      <c r="B32" s="9" t="s">
        <v>6</v>
      </c>
      <c r="C32" s="10">
        <v>3010</v>
      </c>
      <c r="D32" s="10">
        <f t="shared" si="0"/>
        <v>3520</v>
      </c>
    </row>
    <row r="33" spans="1:4" x14ac:dyDescent="0.25">
      <c r="A33" s="8">
        <v>45909</v>
      </c>
      <c r="B33" s="9" t="s">
        <v>55</v>
      </c>
      <c r="C33" s="10">
        <v>-3520</v>
      </c>
      <c r="D33" s="10">
        <f>D32+C33</f>
        <v>0</v>
      </c>
    </row>
    <row r="34" spans="1:4" x14ac:dyDescent="0.25">
      <c r="A34" s="8">
        <v>45911</v>
      </c>
      <c r="B34" s="9" t="s">
        <v>6</v>
      </c>
      <c r="C34" s="10">
        <v>1500</v>
      </c>
      <c r="D34" s="10">
        <f>D33+C34</f>
        <v>1500</v>
      </c>
    </row>
    <row r="35" spans="1:4" x14ac:dyDescent="0.25">
      <c r="A35" s="8">
        <v>45911</v>
      </c>
      <c r="B35" s="9" t="s">
        <v>55</v>
      </c>
      <c r="C35" s="10">
        <v>-1500</v>
      </c>
      <c r="D35" s="10">
        <f>D34+C35</f>
        <v>0</v>
      </c>
    </row>
    <row r="36" spans="1:4" x14ac:dyDescent="0.25">
      <c r="A36" s="8">
        <v>45915</v>
      </c>
      <c r="B36" s="9" t="s">
        <v>6</v>
      </c>
      <c r="C36" s="10">
        <v>6020</v>
      </c>
      <c r="D36" s="10">
        <f t="shared" ref="D36:D56" si="1">D35+C36</f>
        <v>6020</v>
      </c>
    </row>
    <row r="37" spans="1:4" x14ac:dyDescent="0.25">
      <c r="A37" s="8">
        <v>45915</v>
      </c>
      <c r="B37" s="9" t="s">
        <v>55</v>
      </c>
      <c r="C37" s="10">
        <v>-6020</v>
      </c>
      <c r="D37" s="10">
        <f t="shared" si="1"/>
        <v>0</v>
      </c>
    </row>
    <row r="38" spans="1:4" x14ac:dyDescent="0.25">
      <c r="A38" s="8">
        <v>45922</v>
      </c>
      <c r="B38" s="9" t="s">
        <v>6</v>
      </c>
      <c r="C38" s="10">
        <v>9820</v>
      </c>
      <c r="D38" s="10">
        <f t="shared" si="1"/>
        <v>9820</v>
      </c>
    </row>
    <row r="39" spans="1:4" x14ac:dyDescent="0.25">
      <c r="A39" s="8">
        <v>45922</v>
      </c>
      <c r="B39" s="9" t="s">
        <v>7</v>
      </c>
      <c r="C39" s="10">
        <v>-8800</v>
      </c>
      <c r="D39" s="10">
        <f t="shared" si="1"/>
        <v>1020</v>
      </c>
    </row>
    <row r="40" spans="1:4" x14ac:dyDescent="0.25">
      <c r="A40" s="8">
        <v>45925</v>
      </c>
      <c r="B40" s="9" t="s">
        <v>6</v>
      </c>
      <c r="C40" s="10">
        <v>1140</v>
      </c>
      <c r="D40" s="10">
        <f t="shared" si="1"/>
        <v>2160</v>
      </c>
    </row>
    <row r="41" spans="1:4" x14ac:dyDescent="0.25">
      <c r="A41" s="8">
        <v>45925</v>
      </c>
      <c r="B41" s="9" t="s">
        <v>92</v>
      </c>
      <c r="C41" s="10">
        <v>-2170</v>
      </c>
      <c r="D41" s="10">
        <f t="shared" si="1"/>
        <v>-10</v>
      </c>
    </row>
    <row r="42" spans="1:4" x14ac:dyDescent="0.25">
      <c r="A42" s="8">
        <v>45929</v>
      </c>
      <c r="B42" s="9" t="s">
        <v>3</v>
      </c>
      <c r="C42" s="10">
        <v>5210</v>
      </c>
      <c r="D42" s="10">
        <f t="shared" si="1"/>
        <v>5200</v>
      </c>
    </row>
    <row r="43" spans="1:4" x14ac:dyDescent="0.25">
      <c r="A43" s="8">
        <v>45929</v>
      </c>
      <c r="B43" s="9" t="s">
        <v>92</v>
      </c>
      <c r="C43" s="10">
        <v>-5210</v>
      </c>
      <c r="D43" s="10">
        <f t="shared" si="1"/>
        <v>-10</v>
      </c>
    </row>
    <row r="44" spans="1:4" x14ac:dyDescent="0.25">
      <c r="A44" s="8">
        <v>45936</v>
      </c>
      <c r="B44" s="9" t="s">
        <v>3</v>
      </c>
      <c r="C44" s="10">
        <v>7720</v>
      </c>
      <c r="D44" s="10">
        <f t="shared" si="1"/>
        <v>7710</v>
      </c>
    </row>
    <row r="45" spans="1:4" x14ac:dyDescent="0.25">
      <c r="A45" s="8">
        <v>45939</v>
      </c>
      <c r="B45" s="9" t="s">
        <v>3</v>
      </c>
      <c r="C45" s="10">
        <v>4420</v>
      </c>
      <c r="D45" s="10">
        <f t="shared" si="1"/>
        <v>12130</v>
      </c>
    </row>
    <row r="46" spans="1:4" x14ac:dyDescent="0.25">
      <c r="A46" s="8">
        <v>45943</v>
      </c>
      <c r="B46" s="9" t="s">
        <v>3</v>
      </c>
      <c r="C46" s="10">
        <v>3740</v>
      </c>
      <c r="D46" s="10">
        <f t="shared" si="1"/>
        <v>15870</v>
      </c>
    </row>
    <row r="47" spans="1:4" x14ac:dyDescent="0.25">
      <c r="A47" s="8">
        <v>45943</v>
      </c>
      <c r="B47" s="9" t="s">
        <v>178</v>
      </c>
      <c r="C47" s="10">
        <v>-12000</v>
      </c>
      <c r="D47" s="10">
        <f t="shared" si="1"/>
        <v>3870</v>
      </c>
    </row>
    <row r="48" spans="1:4" x14ac:dyDescent="0.25">
      <c r="A48" s="13" t="s">
        <v>188</v>
      </c>
      <c r="B48" s="9" t="s">
        <v>3</v>
      </c>
      <c r="C48" s="10">
        <v>1510</v>
      </c>
      <c r="D48" s="10">
        <f t="shared" si="1"/>
        <v>5380</v>
      </c>
    </row>
    <row r="49" spans="1:4" x14ac:dyDescent="0.25">
      <c r="A49" s="8">
        <v>45946</v>
      </c>
      <c r="B49" s="9" t="s">
        <v>178</v>
      </c>
      <c r="C49" s="10">
        <v>-3740</v>
      </c>
      <c r="D49" s="10">
        <f t="shared" si="1"/>
        <v>1640</v>
      </c>
    </row>
    <row r="50" spans="1:4" x14ac:dyDescent="0.25">
      <c r="A50" s="8">
        <v>45950</v>
      </c>
      <c r="B50" s="9" t="s">
        <v>3</v>
      </c>
      <c r="C50" s="10">
        <v>7170</v>
      </c>
      <c r="D50" s="10">
        <f t="shared" si="1"/>
        <v>8810</v>
      </c>
    </row>
    <row r="51" spans="1:4" x14ac:dyDescent="0.25">
      <c r="A51" s="8">
        <v>45950</v>
      </c>
      <c r="B51" s="9" t="s">
        <v>178</v>
      </c>
      <c r="C51" s="10">
        <v>-5870</v>
      </c>
      <c r="D51" s="10">
        <f t="shared" si="1"/>
        <v>2940</v>
      </c>
    </row>
    <row r="52" spans="1:4" x14ac:dyDescent="0.25">
      <c r="A52" s="8">
        <v>45960</v>
      </c>
      <c r="B52" s="9" t="s">
        <v>3</v>
      </c>
      <c r="C52" s="10">
        <v>880</v>
      </c>
      <c r="D52" s="10">
        <f t="shared" si="1"/>
        <v>3820</v>
      </c>
    </row>
    <row r="53" spans="1:4" x14ac:dyDescent="0.25">
      <c r="A53" s="8">
        <v>45960</v>
      </c>
      <c r="B53" s="9" t="s">
        <v>178</v>
      </c>
      <c r="C53" s="10">
        <v>-3000</v>
      </c>
      <c r="D53" s="10">
        <f t="shared" si="1"/>
        <v>820</v>
      </c>
    </row>
    <row r="54" spans="1:4" x14ac:dyDescent="0.25">
      <c r="A54" s="8">
        <v>45964</v>
      </c>
      <c r="B54" s="9" t="s">
        <v>3</v>
      </c>
      <c r="C54" s="10">
        <v>6280</v>
      </c>
      <c r="D54" s="10">
        <f t="shared" si="1"/>
        <v>7100</v>
      </c>
    </row>
    <row r="55" spans="1:4" x14ac:dyDescent="0.25">
      <c r="A55" s="8">
        <v>45964</v>
      </c>
      <c r="B55" s="9" t="s">
        <v>178</v>
      </c>
      <c r="C55" s="10">
        <v>-5000</v>
      </c>
      <c r="D55" s="10">
        <f t="shared" si="1"/>
        <v>2100</v>
      </c>
    </row>
    <row r="56" spans="1:4" x14ac:dyDescent="0.25">
      <c r="A56" s="8">
        <v>45971</v>
      </c>
      <c r="B56" s="9" t="s">
        <v>3</v>
      </c>
      <c r="C56" s="10">
        <v>4140</v>
      </c>
      <c r="D56" s="10">
        <f t="shared" si="1"/>
        <v>6240</v>
      </c>
    </row>
    <row r="57" spans="1:4" x14ac:dyDescent="0.25">
      <c r="A57" s="8">
        <v>45971</v>
      </c>
      <c r="B57" s="9" t="s">
        <v>178</v>
      </c>
      <c r="C57" s="10">
        <v>-5500</v>
      </c>
      <c r="D57" s="10">
        <f>D56+C57</f>
        <v>740</v>
      </c>
    </row>
    <row r="58" spans="1:4" x14ac:dyDescent="0.25">
      <c r="A58" s="8">
        <v>45974</v>
      </c>
      <c r="B58" s="9" t="s">
        <v>3</v>
      </c>
      <c r="C58" s="10">
        <v>2940</v>
      </c>
      <c r="D58" s="10">
        <f>D57+C58</f>
        <v>3680</v>
      </c>
    </row>
    <row r="59" spans="1:4" x14ac:dyDescent="0.25">
      <c r="A59" s="8">
        <v>45974</v>
      </c>
      <c r="B59" s="9" t="s">
        <v>92</v>
      </c>
      <c r="C59" s="10">
        <v>-7080</v>
      </c>
      <c r="D59" s="10">
        <f t="shared" ref="D59:D122" si="2">D58+C59</f>
        <v>-3400</v>
      </c>
    </row>
    <row r="60" spans="1:4" x14ac:dyDescent="0.25">
      <c r="A60" s="8">
        <v>45975</v>
      </c>
      <c r="B60" s="9" t="s">
        <v>3</v>
      </c>
      <c r="C60" s="10">
        <v>4800</v>
      </c>
      <c r="D60" s="10">
        <f t="shared" si="2"/>
        <v>1400</v>
      </c>
    </row>
    <row r="61" spans="1:4" x14ac:dyDescent="0.25">
      <c r="A61" s="8">
        <v>45978</v>
      </c>
      <c r="B61" s="9" t="s">
        <v>3</v>
      </c>
      <c r="C61" s="10">
        <v>8050</v>
      </c>
      <c r="D61" s="10">
        <f t="shared" si="2"/>
        <v>9450</v>
      </c>
    </row>
    <row r="62" spans="1:4" x14ac:dyDescent="0.25">
      <c r="A62" s="8">
        <v>45978</v>
      </c>
      <c r="B62" s="9" t="s">
        <v>92</v>
      </c>
      <c r="C62" s="10">
        <v>-8000</v>
      </c>
      <c r="D62" s="10">
        <f t="shared" si="2"/>
        <v>1450</v>
      </c>
    </row>
    <row r="63" spans="1:4" x14ac:dyDescent="0.25">
      <c r="A63" s="8">
        <v>45981</v>
      </c>
      <c r="B63" s="9" t="s">
        <v>3</v>
      </c>
      <c r="C63" s="10">
        <v>4750</v>
      </c>
      <c r="D63" s="10">
        <f t="shared" si="2"/>
        <v>6200</v>
      </c>
    </row>
    <row r="64" spans="1:4" x14ac:dyDescent="0.25">
      <c r="A64" s="8">
        <v>45981</v>
      </c>
      <c r="B64" s="9" t="s">
        <v>92</v>
      </c>
      <c r="C64" s="10">
        <v>-6200</v>
      </c>
      <c r="D64" s="10">
        <f t="shared" si="2"/>
        <v>0</v>
      </c>
    </row>
    <row r="65" spans="1:4" x14ac:dyDescent="0.25">
      <c r="A65" s="8">
        <v>45985</v>
      </c>
      <c r="B65" s="9" t="s">
        <v>3</v>
      </c>
      <c r="C65" s="10">
        <v>8560</v>
      </c>
      <c r="D65" s="10">
        <f t="shared" si="2"/>
        <v>8560</v>
      </c>
    </row>
    <row r="66" spans="1:4" x14ac:dyDescent="0.25">
      <c r="A66" s="8">
        <v>45985</v>
      </c>
      <c r="B66" s="9" t="s">
        <v>92</v>
      </c>
      <c r="C66" s="10">
        <v>-7000</v>
      </c>
      <c r="D66" s="10">
        <f t="shared" si="2"/>
        <v>1560</v>
      </c>
    </row>
    <row r="67" spans="1:4" x14ac:dyDescent="0.25">
      <c r="A67" s="8">
        <v>45988</v>
      </c>
      <c r="B67" s="9" t="s">
        <v>3</v>
      </c>
      <c r="C67" s="10">
        <v>8500</v>
      </c>
      <c r="D67" s="10">
        <f t="shared" si="2"/>
        <v>10060</v>
      </c>
    </row>
    <row r="68" spans="1:4" x14ac:dyDescent="0.25">
      <c r="A68" s="8">
        <v>45988</v>
      </c>
      <c r="B68" s="9" t="s">
        <v>92</v>
      </c>
      <c r="C68" s="10">
        <v>-8000</v>
      </c>
      <c r="D68" s="10">
        <f t="shared" si="2"/>
        <v>2060</v>
      </c>
    </row>
    <row r="69" spans="1:4" x14ac:dyDescent="0.25">
      <c r="A69" s="8">
        <v>45992</v>
      </c>
      <c r="B69" s="9" t="s">
        <v>3</v>
      </c>
      <c r="C69" s="10">
        <v>7500</v>
      </c>
      <c r="D69" s="10">
        <f t="shared" si="2"/>
        <v>9560</v>
      </c>
    </row>
    <row r="70" spans="1:4" x14ac:dyDescent="0.25">
      <c r="A70" s="8">
        <v>45992</v>
      </c>
      <c r="B70" s="9" t="s">
        <v>92</v>
      </c>
      <c r="C70" s="10">
        <v>-7000</v>
      </c>
      <c r="D70" s="10">
        <f t="shared" si="2"/>
        <v>2560</v>
      </c>
    </row>
    <row r="71" spans="1:4" x14ac:dyDescent="0.25">
      <c r="A71" s="8">
        <v>45995</v>
      </c>
      <c r="B71" s="9" t="s">
        <v>3</v>
      </c>
      <c r="C71" s="10">
        <v>6120</v>
      </c>
      <c r="D71" s="10">
        <f t="shared" si="2"/>
        <v>8680</v>
      </c>
    </row>
    <row r="72" spans="1:4" x14ac:dyDescent="0.25">
      <c r="A72" s="8">
        <v>45999</v>
      </c>
      <c r="B72" s="9" t="s">
        <v>3</v>
      </c>
      <c r="C72" s="10">
        <v>4890</v>
      </c>
      <c r="D72" s="10">
        <f t="shared" si="2"/>
        <v>13570</v>
      </c>
    </row>
    <row r="73" spans="1:4" x14ac:dyDescent="0.25">
      <c r="A73" s="8">
        <v>45999</v>
      </c>
      <c r="B73" s="9" t="s">
        <v>7</v>
      </c>
      <c r="C73" s="10">
        <v>-6000</v>
      </c>
      <c r="D73" s="10">
        <f t="shared" si="2"/>
        <v>7570</v>
      </c>
    </row>
    <row r="74" spans="1:4" x14ac:dyDescent="0.25">
      <c r="A74" s="8">
        <v>46002</v>
      </c>
      <c r="B74" s="9" t="s">
        <v>3</v>
      </c>
      <c r="C74" s="10">
        <v>4550</v>
      </c>
      <c r="D74" s="10">
        <f t="shared" si="2"/>
        <v>12120</v>
      </c>
    </row>
    <row r="75" spans="1:4" x14ac:dyDescent="0.25">
      <c r="A75" s="8">
        <v>46002</v>
      </c>
      <c r="B75" s="9" t="s">
        <v>7</v>
      </c>
      <c r="C75" s="10">
        <v>-4000</v>
      </c>
      <c r="D75" s="10">
        <f t="shared" si="2"/>
        <v>8120</v>
      </c>
    </row>
    <row r="76" spans="1:4" x14ac:dyDescent="0.25">
      <c r="A76" s="8">
        <v>46006</v>
      </c>
      <c r="B76" s="9" t="s">
        <v>3</v>
      </c>
      <c r="C76" s="10">
        <v>10190</v>
      </c>
      <c r="D76" s="10">
        <f t="shared" si="2"/>
        <v>18310</v>
      </c>
    </row>
    <row r="77" spans="1:4" x14ac:dyDescent="0.25">
      <c r="A77" s="8">
        <v>46006</v>
      </c>
      <c r="B77" s="9" t="s">
        <v>92</v>
      </c>
      <c r="C77" s="10">
        <v>-7000</v>
      </c>
      <c r="D77" s="10">
        <f t="shared" si="2"/>
        <v>11310</v>
      </c>
    </row>
    <row r="78" spans="1:4" x14ac:dyDescent="0.25">
      <c r="A78" s="27">
        <v>46009</v>
      </c>
      <c r="B78" s="9" t="s">
        <v>3</v>
      </c>
      <c r="C78" s="10">
        <v>5600</v>
      </c>
      <c r="D78" s="10">
        <f t="shared" si="2"/>
        <v>16910</v>
      </c>
    </row>
    <row r="79" spans="1:4" x14ac:dyDescent="0.25">
      <c r="A79" s="8">
        <v>46009</v>
      </c>
      <c r="B79" s="9" t="s">
        <v>92</v>
      </c>
      <c r="C79" s="10">
        <v>-7000</v>
      </c>
      <c r="D79" s="10">
        <f t="shared" si="2"/>
        <v>9910</v>
      </c>
    </row>
    <row r="80" spans="1:4" x14ac:dyDescent="0.25">
      <c r="A80" s="8">
        <v>46027</v>
      </c>
      <c r="B80" s="9" t="s">
        <v>97</v>
      </c>
      <c r="C80" s="10">
        <v>4920</v>
      </c>
      <c r="D80" s="10">
        <f t="shared" si="2"/>
        <v>14830</v>
      </c>
    </row>
    <row r="81" spans="1:4" x14ac:dyDescent="0.25">
      <c r="A81" s="9"/>
      <c r="B81" s="9" t="s">
        <v>92</v>
      </c>
      <c r="C81" s="10">
        <v>-6310</v>
      </c>
      <c r="D81" s="10">
        <f t="shared" si="2"/>
        <v>8520</v>
      </c>
    </row>
    <row r="82" spans="1:4" x14ac:dyDescent="0.25">
      <c r="A82" s="8">
        <v>46027</v>
      </c>
      <c r="B82" s="9" t="s">
        <v>92</v>
      </c>
      <c r="C82" s="10">
        <v>-9910</v>
      </c>
      <c r="D82" s="10">
        <f t="shared" si="2"/>
        <v>-1390</v>
      </c>
    </row>
    <row r="83" spans="1:4" x14ac:dyDescent="0.25">
      <c r="A83" s="8">
        <v>46150</v>
      </c>
      <c r="B83" s="9" t="s">
        <v>3</v>
      </c>
      <c r="C83" s="10">
        <v>3890</v>
      </c>
      <c r="D83" s="10">
        <f t="shared" si="2"/>
        <v>2500</v>
      </c>
    </row>
    <row r="84" spans="1:4" x14ac:dyDescent="0.25">
      <c r="A84" s="8">
        <v>46034</v>
      </c>
      <c r="B84" s="9" t="s">
        <v>256</v>
      </c>
      <c r="C84" s="10">
        <v>11890</v>
      </c>
      <c r="D84" s="10">
        <f t="shared" si="2"/>
        <v>14390</v>
      </c>
    </row>
    <row r="85" spans="1:4" x14ac:dyDescent="0.25">
      <c r="A85" s="8">
        <v>46034</v>
      </c>
      <c r="B85" s="9" t="s">
        <v>178</v>
      </c>
      <c r="C85" s="10">
        <v>-5000</v>
      </c>
      <c r="D85" s="10">
        <f t="shared" si="2"/>
        <v>9390</v>
      </c>
    </row>
    <row r="86" spans="1:4" x14ac:dyDescent="0.25">
      <c r="A86" s="8">
        <v>46037</v>
      </c>
      <c r="B86" s="9" t="s">
        <v>3</v>
      </c>
      <c r="C86" s="10">
        <v>1990</v>
      </c>
      <c r="D86" s="10">
        <f t="shared" si="2"/>
        <v>11380</v>
      </c>
    </row>
    <row r="87" spans="1:4" x14ac:dyDescent="0.25">
      <c r="A87" s="8">
        <v>46037</v>
      </c>
      <c r="B87" s="9" t="s">
        <v>178</v>
      </c>
      <c r="C87" s="10">
        <v>-8000</v>
      </c>
      <c r="D87" s="10">
        <f t="shared" si="2"/>
        <v>3380</v>
      </c>
    </row>
    <row r="88" spans="1:4" x14ac:dyDescent="0.25">
      <c r="A88" s="8">
        <v>46041</v>
      </c>
      <c r="B88" s="9" t="s">
        <v>3</v>
      </c>
      <c r="C88" s="10">
        <v>2780</v>
      </c>
      <c r="D88" s="10">
        <f t="shared" si="2"/>
        <v>6160</v>
      </c>
    </row>
    <row r="89" spans="1:4" x14ac:dyDescent="0.25">
      <c r="A89" s="8">
        <v>46044</v>
      </c>
      <c r="B89" s="9" t="s">
        <v>3</v>
      </c>
      <c r="C89" s="10">
        <v>3520</v>
      </c>
      <c r="D89" s="10">
        <f t="shared" si="2"/>
        <v>9680</v>
      </c>
    </row>
    <row r="90" spans="1:4" x14ac:dyDescent="0.25">
      <c r="A90" s="23" t="s">
        <v>304</v>
      </c>
      <c r="B90" s="9" t="s">
        <v>178</v>
      </c>
      <c r="C90" s="10">
        <v>-6000</v>
      </c>
      <c r="D90" s="10">
        <f t="shared" si="2"/>
        <v>3680</v>
      </c>
    </row>
    <row r="91" spans="1:4" x14ac:dyDescent="0.25">
      <c r="A91" s="8">
        <v>46048</v>
      </c>
      <c r="B91" s="9" t="s">
        <v>3</v>
      </c>
      <c r="C91" s="10">
        <v>8390</v>
      </c>
      <c r="D91" s="10">
        <f t="shared" si="2"/>
        <v>12070</v>
      </c>
    </row>
    <row r="92" spans="1:4" x14ac:dyDescent="0.25">
      <c r="A92" s="8">
        <v>46048</v>
      </c>
      <c r="B92" s="9" t="s">
        <v>178</v>
      </c>
      <c r="C92" s="10">
        <v>-7000</v>
      </c>
      <c r="D92" s="10">
        <f t="shared" si="2"/>
        <v>5070</v>
      </c>
    </row>
    <row r="93" spans="1:4" x14ac:dyDescent="0.25">
      <c r="A93" s="8">
        <v>46051</v>
      </c>
      <c r="B93" s="9" t="s">
        <v>3</v>
      </c>
      <c r="C93" s="10">
        <v>3380</v>
      </c>
      <c r="D93" s="10">
        <f t="shared" si="2"/>
        <v>8450</v>
      </c>
    </row>
    <row r="94" spans="1:4" x14ac:dyDescent="0.25">
      <c r="A94" s="8">
        <v>46051</v>
      </c>
      <c r="B94" s="9" t="s">
        <v>178</v>
      </c>
      <c r="C94" s="10">
        <v>-5300</v>
      </c>
      <c r="D94" s="10">
        <f t="shared" si="2"/>
        <v>3150</v>
      </c>
    </row>
    <row r="95" spans="1:4" x14ac:dyDescent="0.25">
      <c r="A95" s="8">
        <v>46024</v>
      </c>
      <c r="B95" s="9" t="s">
        <v>3</v>
      </c>
      <c r="C95" s="10">
        <v>5500</v>
      </c>
      <c r="D95" s="10">
        <f t="shared" si="2"/>
        <v>8650</v>
      </c>
    </row>
    <row r="96" spans="1:4" x14ac:dyDescent="0.25">
      <c r="A96" s="8">
        <v>46024</v>
      </c>
      <c r="B96" s="9" t="s">
        <v>178</v>
      </c>
      <c r="C96" s="10">
        <v>-3380</v>
      </c>
      <c r="D96" s="10">
        <f t="shared" si="2"/>
        <v>5270</v>
      </c>
    </row>
    <row r="97" spans="1:10" x14ac:dyDescent="0.25">
      <c r="A97" s="8">
        <v>46058</v>
      </c>
      <c r="B97" s="9" t="s">
        <v>3</v>
      </c>
      <c r="C97" s="10">
        <v>12250</v>
      </c>
      <c r="D97" s="10">
        <f t="shared" si="2"/>
        <v>17520</v>
      </c>
    </row>
    <row r="98" spans="1:10" x14ac:dyDescent="0.25">
      <c r="A98" s="8">
        <v>46058</v>
      </c>
      <c r="B98" s="9" t="s">
        <v>178</v>
      </c>
      <c r="C98" s="10">
        <v>-6000</v>
      </c>
      <c r="D98" s="10">
        <f t="shared" si="2"/>
        <v>11520</v>
      </c>
    </row>
    <row r="99" spans="1:10" x14ac:dyDescent="0.25">
      <c r="A99" s="8">
        <v>46069</v>
      </c>
      <c r="B99" s="9" t="s">
        <v>3</v>
      </c>
      <c r="C99" s="10">
        <v>2150</v>
      </c>
      <c r="D99" s="10">
        <f t="shared" si="2"/>
        <v>13670</v>
      </c>
    </row>
    <row r="100" spans="1:10" x14ac:dyDescent="0.25">
      <c r="A100" s="8">
        <v>46072</v>
      </c>
      <c r="B100" s="9" t="s">
        <v>3</v>
      </c>
      <c r="C100" s="10">
        <v>2750</v>
      </c>
      <c r="D100" s="10">
        <f t="shared" si="2"/>
        <v>16420</v>
      </c>
    </row>
    <row r="101" spans="1:10" x14ac:dyDescent="0.25">
      <c r="A101" s="8">
        <v>46072</v>
      </c>
      <c r="B101" s="9" t="s">
        <v>178</v>
      </c>
      <c r="C101" s="10">
        <v>-13670</v>
      </c>
      <c r="D101" s="10">
        <f t="shared" si="2"/>
        <v>2750</v>
      </c>
    </row>
    <row r="102" spans="1:10" x14ac:dyDescent="0.25">
      <c r="A102" s="8">
        <v>46079</v>
      </c>
      <c r="B102" s="9" t="s">
        <v>3</v>
      </c>
      <c r="C102" s="10">
        <v>3960</v>
      </c>
      <c r="D102" s="10">
        <f t="shared" si="2"/>
        <v>6710</v>
      </c>
    </row>
    <row r="103" spans="1:10" x14ac:dyDescent="0.25">
      <c r="A103" s="8">
        <v>46079</v>
      </c>
      <c r="B103" s="9" t="s">
        <v>178</v>
      </c>
      <c r="C103" s="10">
        <v>-5000</v>
      </c>
      <c r="D103" s="10">
        <f t="shared" si="2"/>
        <v>1710</v>
      </c>
    </row>
    <row r="104" spans="1:10" x14ac:dyDescent="0.25">
      <c r="A104" s="8">
        <v>46083</v>
      </c>
      <c r="B104" s="9" t="s">
        <v>3</v>
      </c>
      <c r="C104" s="10">
        <v>7280</v>
      </c>
      <c r="D104" s="10">
        <f t="shared" si="2"/>
        <v>8990</v>
      </c>
    </row>
    <row r="105" spans="1:10" x14ac:dyDescent="0.25">
      <c r="A105" s="8">
        <v>46086</v>
      </c>
      <c r="B105" s="9" t="s">
        <v>3</v>
      </c>
      <c r="C105" s="10">
        <v>700</v>
      </c>
      <c r="D105" s="10">
        <f t="shared" si="2"/>
        <v>9690</v>
      </c>
      <c r="J105" t="s">
        <v>433</v>
      </c>
    </row>
    <row r="106" spans="1:10" x14ac:dyDescent="0.25">
      <c r="A106" s="8">
        <v>46086</v>
      </c>
      <c r="B106" s="9" t="s">
        <v>178</v>
      </c>
      <c r="C106" s="10">
        <v>-7000</v>
      </c>
      <c r="D106" s="10">
        <f t="shared" si="2"/>
        <v>2690</v>
      </c>
    </row>
    <row r="107" spans="1:10" x14ac:dyDescent="0.25">
      <c r="A107" s="8">
        <v>46090</v>
      </c>
      <c r="B107" s="9" t="s">
        <v>3</v>
      </c>
      <c r="C107" s="10">
        <v>2950</v>
      </c>
      <c r="D107" s="10">
        <f t="shared" si="2"/>
        <v>5640</v>
      </c>
    </row>
    <row r="108" spans="1:10" x14ac:dyDescent="0.25">
      <c r="A108" s="8">
        <v>46090</v>
      </c>
      <c r="B108" s="9" t="s">
        <v>178</v>
      </c>
      <c r="C108" s="10">
        <v>-5640</v>
      </c>
      <c r="D108" s="10">
        <f t="shared" si="2"/>
        <v>0</v>
      </c>
    </row>
    <row r="109" spans="1:10" x14ac:dyDescent="0.25">
      <c r="A109" s="8">
        <v>46093</v>
      </c>
      <c r="B109" s="9" t="s">
        <v>3</v>
      </c>
      <c r="C109" s="10">
        <v>3010</v>
      </c>
      <c r="D109" s="10">
        <f t="shared" si="2"/>
        <v>3010</v>
      </c>
    </row>
    <row r="110" spans="1:10" x14ac:dyDescent="0.25">
      <c r="A110" s="8">
        <v>46097</v>
      </c>
      <c r="B110" s="9" t="s">
        <v>3</v>
      </c>
      <c r="C110" s="10">
        <v>3730</v>
      </c>
      <c r="D110" s="10">
        <f t="shared" si="2"/>
        <v>6740</v>
      </c>
    </row>
    <row r="111" spans="1:10" x14ac:dyDescent="0.25">
      <c r="A111" s="8">
        <v>46100</v>
      </c>
      <c r="B111" s="9" t="s">
        <v>3</v>
      </c>
      <c r="C111" s="10">
        <v>2250</v>
      </c>
      <c r="D111" s="10">
        <f t="shared" si="2"/>
        <v>8990</v>
      </c>
    </row>
    <row r="112" spans="1:10" x14ac:dyDescent="0.25">
      <c r="A112" s="8">
        <v>46100</v>
      </c>
      <c r="B112" s="9" t="s">
        <v>178</v>
      </c>
      <c r="C112" s="10">
        <v>-5000</v>
      </c>
      <c r="D112" s="10">
        <f t="shared" si="2"/>
        <v>3990</v>
      </c>
    </row>
    <row r="113" spans="1:4" x14ac:dyDescent="0.25">
      <c r="A113" s="8">
        <v>46104</v>
      </c>
      <c r="B113" s="9" t="s">
        <v>3</v>
      </c>
      <c r="C113" s="10">
        <v>4420</v>
      </c>
      <c r="D113" s="10">
        <f t="shared" si="2"/>
        <v>8410</v>
      </c>
    </row>
    <row r="114" spans="1:4" x14ac:dyDescent="0.25">
      <c r="A114" s="8">
        <v>46107</v>
      </c>
      <c r="B114" s="9" t="s">
        <v>92</v>
      </c>
      <c r="C114" s="10">
        <v>-7000</v>
      </c>
      <c r="D114" s="10">
        <f t="shared" si="2"/>
        <v>1410</v>
      </c>
    </row>
    <row r="115" spans="1:4" x14ac:dyDescent="0.25">
      <c r="A115" s="8">
        <v>46111</v>
      </c>
      <c r="B115" s="9" t="s">
        <v>3</v>
      </c>
      <c r="C115" s="10">
        <v>6090</v>
      </c>
      <c r="D115" s="10">
        <f t="shared" si="2"/>
        <v>7500</v>
      </c>
    </row>
    <row r="116" spans="1:4" x14ac:dyDescent="0.25">
      <c r="A116" s="8">
        <v>46118</v>
      </c>
      <c r="B116" s="9" t="s">
        <v>3</v>
      </c>
      <c r="C116" s="10">
        <v>11540</v>
      </c>
      <c r="D116" s="10">
        <f t="shared" si="2"/>
        <v>19040</v>
      </c>
    </row>
    <row r="117" spans="1:4" x14ac:dyDescent="0.25">
      <c r="A117" s="8">
        <v>46118</v>
      </c>
      <c r="B117" s="9" t="s">
        <v>178</v>
      </c>
      <c r="C117" s="10">
        <v>-6000</v>
      </c>
      <c r="D117" s="10">
        <f t="shared" si="2"/>
        <v>13040</v>
      </c>
    </row>
    <row r="118" spans="1:4" x14ac:dyDescent="0.25">
      <c r="A118" s="8">
        <v>46121</v>
      </c>
      <c r="B118" s="9" t="s">
        <v>3</v>
      </c>
      <c r="C118" s="10">
        <v>5100</v>
      </c>
      <c r="D118" s="10">
        <f t="shared" si="2"/>
        <v>18140</v>
      </c>
    </row>
    <row r="119" spans="1:4" x14ac:dyDescent="0.25">
      <c r="A119" s="8">
        <v>46121</v>
      </c>
      <c r="B119" s="9" t="s">
        <v>178</v>
      </c>
      <c r="C119" s="10">
        <v>-8000</v>
      </c>
      <c r="D119" s="10">
        <f t="shared" si="2"/>
        <v>10140</v>
      </c>
    </row>
    <row r="120" spans="1:4" x14ac:dyDescent="0.25">
      <c r="A120" s="8">
        <v>46125</v>
      </c>
      <c r="B120" s="9" t="s">
        <v>3</v>
      </c>
      <c r="C120" s="10">
        <v>6130</v>
      </c>
      <c r="D120" s="10">
        <f t="shared" si="2"/>
        <v>16270</v>
      </c>
    </row>
    <row r="121" spans="1:4" x14ac:dyDescent="0.25">
      <c r="A121" s="8">
        <v>46125</v>
      </c>
      <c r="B121" s="9" t="s">
        <v>178</v>
      </c>
      <c r="C121" s="10">
        <v>-3500</v>
      </c>
      <c r="D121" s="10">
        <f t="shared" si="2"/>
        <v>12770</v>
      </c>
    </row>
    <row r="122" spans="1:4" x14ac:dyDescent="0.25">
      <c r="A122" s="8">
        <v>46128</v>
      </c>
      <c r="B122" s="9" t="s">
        <v>3</v>
      </c>
      <c r="C122" s="10">
        <v>3660</v>
      </c>
      <c r="D122" s="10">
        <f t="shared" si="2"/>
        <v>16430</v>
      </c>
    </row>
    <row r="123" spans="1:4" x14ac:dyDescent="0.25">
      <c r="A123" s="8">
        <v>46128</v>
      </c>
      <c r="B123" s="9" t="s">
        <v>178</v>
      </c>
      <c r="C123" s="10">
        <v>-8000</v>
      </c>
      <c r="D123" s="10">
        <f t="shared" ref="D123:D186" si="3">D122+C123</f>
        <v>8430</v>
      </c>
    </row>
    <row r="124" spans="1:4" x14ac:dyDescent="0.25">
      <c r="A124" s="8">
        <v>46132</v>
      </c>
      <c r="B124" s="9" t="s">
        <v>3</v>
      </c>
      <c r="C124" s="10">
        <v>5260</v>
      </c>
      <c r="D124" s="10">
        <f t="shared" si="3"/>
        <v>13690</v>
      </c>
    </row>
    <row r="125" spans="1:4" x14ac:dyDescent="0.25">
      <c r="A125" s="8">
        <v>46132</v>
      </c>
      <c r="B125" s="9" t="s">
        <v>178</v>
      </c>
      <c r="C125" s="10">
        <v>-10000</v>
      </c>
      <c r="D125" s="10">
        <f t="shared" si="3"/>
        <v>3690</v>
      </c>
    </row>
    <row r="126" spans="1:4" x14ac:dyDescent="0.25">
      <c r="A126" s="8">
        <v>46135</v>
      </c>
      <c r="B126" s="9" t="s">
        <v>3</v>
      </c>
      <c r="C126" s="10">
        <v>3620</v>
      </c>
      <c r="D126" s="10">
        <f t="shared" si="3"/>
        <v>7310</v>
      </c>
    </row>
    <row r="127" spans="1:4" x14ac:dyDescent="0.25">
      <c r="A127" s="8">
        <v>46139</v>
      </c>
      <c r="B127" s="9" t="s">
        <v>3</v>
      </c>
      <c r="C127" s="10">
        <v>6830</v>
      </c>
      <c r="D127" s="10">
        <f t="shared" si="3"/>
        <v>14140</v>
      </c>
    </row>
    <row r="128" spans="1:4" x14ac:dyDescent="0.25">
      <c r="A128" s="8">
        <v>46139</v>
      </c>
      <c r="B128" s="9" t="s">
        <v>178</v>
      </c>
      <c r="C128" s="10">
        <v>-5000</v>
      </c>
      <c r="D128" s="10">
        <f t="shared" si="3"/>
        <v>9140</v>
      </c>
    </row>
    <row r="129" spans="1:4" x14ac:dyDescent="0.25">
      <c r="A129" s="8">
        <v>46156</v>
      </c>
      <c r="B129" s="9" t="s">
        <v>3</v>
      </c>
      <c r="C129" s="10">
        <v>4360</v>
      </c>
      <c r="D129" s="10">
        <f t="shared" si="3"/>
        <v>13500</v>
      </c>
    </row>
    <row r="130" spans="1:4" x14ac:dyDescent="0.25">
      <c r="A130" s="8">
        <v>46156</v>
      </c>
      <c r="B130" s="9" t="s">
        <v>178</v>
      </c>
      <c r="C130" s="10">
        <v>-10000</v>
      </c>
      <c r="D130" s="10">
        <f t="shared" si="3"/>
        <v>3500</v>
      </c>
    </row>
    <row r="131" spans="1:4" x14ac:dyDescent="0.25">
      <c r="A131" s="8">
        <v>46160</v>
      </c>
      <c r="B131" s="9" t="s">
        <v>3</v>
      </c>
      <c r="C131" s="10">
        <v>8750</v>
      </c>
      <c r="D131" s="10">
        <f t="shared" si="3"/>
        <v>12250</v>
      </c>
    </row>
    <row r="132" spans="1:4" x14ac:dyDescent="0.25">
      <c r="A132" s="8">
        <v>46163</v>
      </c>
      <c r="B132" s="9" t="s">
        <v>178</v>
      </c>
      <c r="C132" s="10">
        <v>-10000</v>
      </c>
      <c r="D132" s="10">
        <f t="shared" si="3"/>
        <v>2250</v>
      </c>
    </row>
    <row r="133" spans="1:4" x14ac:dyDescent="0.25">
      <c r="A133" s="8">
        <v>46167</v>
      </c>
      <c r="B133" s="9" t="s">
        <v>3</v>
      </c>
      <c r="C133" s="10">
        <v>6500</v>
      </c>
      <c r="D133" s="10">
        <f t="shared" si="3"/>
        <v>8750</v>
      </c>
    </row>
    <row r="134" spans="1:4" x14ac:dyDescent="0.25">
      <c r="A134" s="8">
        <v>46170</v>
      </c>
      <c r="B134" s="9" t="s">
        <v>3</v>
      </c>
      <c r="C134" s="10">
        <v>6560</v>
      </c>
      <c r="D134" s="10">
        <f t="shared" si="3"/>
        <v>15310</v>
      </c>
    </row>
    <row r="135" spans="1:4" x14ac:dyDescent="0.25">
      <c r="A135" s="8">
        <v>46170</v>
      </c>
      <c r="B135" s="9" t="s">
        <v>178</v>
      </c>
      <c r="C135" s="10">
        <v>-7000</v>
      </c>
      <c r="D135" s="10">
        <f t="shared" si="3"/>
        <v>8310</v>
      </c>
    </row>
    <row r="136" spans="1:4" x14ac:dyDescent="0.25">
      <c r="A136" s="8">
        <v>46174</v>
      </c>
      <c r="B136" s="9" t="s">
        <v>3</v>
      </c>
      <c r="C136" s="10">
        <v>4460</v>
      </c>
      <c r="D136" s="10">
        <f t="shared" si="3"/>
        <v>12770</v>
      </c>
    </row>
    <row r="137" spans="1:4" x14ac:dyDescent="0.25">
      <c r="A137" s="8">
        <v>46174</v>
      </c>
      <c r="B137" s="9" t="s">
        <v>178</v>
      </c>
      <c r="C137" s="10">
        <v>-5000</v>
      </c>
      <c r="D137" s="10">
        <f t="shared" si="3"/>
        <v>7770</v>
      </c>
    </row>
    <row r="138" spans="1:4" x14ac:dyDescent="0.25">
      <c r="A138" s="8">
        <v>46177</v>
      </c>
      <c r="B138" s="9" t="s">
        <v>3</v>
      </c>
      <c r="C138" s="10">
        <v>4510</v>
      </c>
      <c r="D138" s="10">
        <f t="shared" si="3"/>
        <v>12280</v>
      </c>
    </row>
    <row r="139" spans="1:4" x14ac:dyDescent="0.25">
      <c r="A139" s="8">
        <v>46181</v>
      </c>
      <c r="B139" s="9" t="s">
        <v>3</v>
      </c>
      <c r="C139" s="10">
        <v>5550</v>
      </c>
      <c r="D139" s="10">
        <f t="shared" si="3"/>
        <v>17830</v>
      </c>
    </row>
    <row r="140" spans="1:4" x14ac:dyDescent="0.25">
      <c r="A140" s="8">
        <v>46181</v>
      </c>
      <c r="B140" s="9" t="s">
        <v>178</v>
      </c>
      <c r="C140" s="10">
        <v>-5000</v>
      </c>
      <c r="D140" s="10">
        <f t="shared" si="3"/>
        <v>12830</v>
      </c>
    </row>
    <row r="141" spans="1:4" x14ac:dyDescent="0.25">
      <c r="A141" s="8">
        <v>46184</v>
      </c>
      <c r="B141" s="9" t="s">
        <v>178</v>
      </c>
      <c r="C141" s="10">
        <v>-7000</v>
      </c>
      <c r="D141" s="10">
        <f t="shared" si="3"/>
        <v>5830</v>
      </c>
    </row>
    <row r="142" spans="1:4" x14ac:dyDescent="0.25">
      <c r="A142" s="8">
        <v>46188</v>
      </c>
      <c r="B142" s="9" t="s">
        <v>3</v>
      </c>
      <c r="C142" s="10">
        <v>4280</v>
      </c>
      <c r="D142" s="10">
        <f t="shared" si="3"/>
        <v>10110</v>
      </c>
    </row>
    <row r="143" spans="1:4" x14ac:dyDescent="0.25">
      <c r="A143" s="8">
        <v>46188</v>
      </c>
      <c r="B143" s="9" t="s">
        <v>178</v>
      </c>
      <c r="C143" s="10">
        <v>-6000</v>
      </c>
      <c r="D143" s="10">
        <f t="shared" si="3"/>
        <v>4110</v>
      </c>
    </row>
    <row r="144" spans="1:4" x14ac:dyDescent="0.25">
      <c r="A144" s="8">
        <v>46195</v>
      </c>
      <c r="B144" s="9" t="s">
        <v>3</v>
      </c>
      <c r="C144" s="10">
        <v>9980</v>
      </c>
      <c r="D144" s="10">
        <f t="shared" si="3"/>
        <v>14090</v>
      </c>
    </row>
    <row r="145" spans="1:6" x14ac:dyDescent="0.25">
      <c r="A145" s="8">
        <v>46198</v>
      </c>
      <c r="B145" s="9" t="s">
        <v>471</v>
      </c>
      <c r="C145" s="10">
        <v>3310</v>
      </c>
      <c r="D145" s="10">
        <f t="shared" si="3"/>
        <v>17400</v>
      </c>
    </row>
    <row r="146" spans="1:6" x14ac:dyDescent="0.25">
      <c r="A146" s="8">
        <v>46199</v>
      </c>
      <c r="B146" s="9" t="s">
        <v>92</v>
      </c>
      <c r="C146" s="10">
        <v>-7000</v>
      </c>
      <c r="D146" s="10">
        <f t="shared" si="3"/>
        <v>10400</v>
      </c>
    </row>
    <row r="147" spans="1:6" x14ac:dyDescent="0.25">
      <c r="A147" s="8">
        <v>46202</v>
      </c>
      <c r="B147" s="9" t="s">
        <v>3</v>
      </c>
      <c r="C147" s="10">
        <f>1200+1800+700+600+540+640+250+500</f>
        <v>6230</v>
      </c>
      <c r="D147" s="10">
        <f t="shared" si="3"/>
        <v>16630</v>
      </c>
    </row>
    <row r="148" spans="1:6" x14ac:dyDescent="0.25">
      <c r="A148" s="8">
        <v>46205</v>
      </c>
      <c r="B148" s="9" t="s">
        <v>3</v>
      </c>
      <c r="C148" s="10">
        <f>350+900+480+800+540+300+350+250+150</f>
        <v>4120</v>
      </c>
      <c r="D148" s="10">
        <f t="shared" si="3"/>
        <v>20750</v>
      </c>
    </row>
    <row r="149" spans="1:6" x14ac:dyDescent="0.25">
      <c r="A149" s="8">
        <v>46205</v>
      </c>
      <c r="B149" s="9" t="s">
        <v>178</v>
      </c>
      <c r="C149" s="10">
        <v>-7000</v>
      </c>
      <c r="D149" s="10">
        <f t="shared" si="3"/>
        <v>13750</v>
      </c>
    </row>
    <row r="150" spans="1:6" x14ac:dyDescent="0.25">
      <c r="A150" s="8">
        <v>46209</v>
      </c>
      <c r="B150" s="9" t="s">
        <v>3</v>
      </c>
      <c r="C150" s="10">
        <v>1220</v>
      </c>
      <c r="D150" s="10">
        <f t="shared" si="3"/>
        <v>14970</v>
      </c>
    </row>
    <row r="151" spans="1:6" x14ac:dyDescent="0.25">
      <c r="A151" s="8">
        <v>46209</v>
      </c>
      <c r="B151" s="9" t="s">
        <v>178</v>
      </c>
      <c r="C151" s="10">
        <v>-8000</v>
      </c>
      <c r="D151" s="10">
        <f t="shared" si="3"/>
        <v>6970</v>
      </c>
    </row>
    <row r="152" spans="1:6" x14ac:dyDescent="0.25">
      <c r="A152" s="8">
        <v>46216</v>
      </c>
      <c r="B152" s="9" t="s">
        <v>3</v>
      </c>
      <c r="C152" s="10">
        <v>3630</v>
      </c>
      <c r="D152" s="10">
        <f t="shared" si="3"/>
        <v>10600</v>
      </c>
    </row>
    <row r="153" spans="1:6" x14ac:dyDescent="0.25">
      <c r="A153" s="8">
        <v>46219</v>
      </c>
      <c r="B153" s="9" t="s">
        <v>178</v>
      </c>
      <c r="C153" s="10">
        <v>-5000</v>
      </c>
      <c r="D153" s="10">
        <f t="shared" si="3"/>
        <v>5600</v>
      </c>
      <c r="F153" s="6"/>
    </row>
    <row r="154" spans="1:6" x14ac:dyDescent="0.25">
      <c r="A154" s="8">
        <v>46223</v>
      </c>
      <c r="B154" s="9" t="s">
        <v>3</v>
      </c>
      <c r="C154" s="10">
        <v>3310</v>
      </c>
      <c r="D154" s="10">
        <f t="shared" si="3"/>
        <v>8910</v>
      </c>
    </row>
    <row r="155" spans="1:6" x14ac:dyDescent="0.25">
      <c r="A155" s="8">
        <v>46230</v>
      </c>
      <c r="B155" s="9" t="s">
        <v>3</v>
      </c>
      <c r="C155" s="10">
        <v>7390</v>
      </c>
      <c r="D155" s="10">
        <f t="shared" si="3"/>
        <v>16300</v>
      </c>
    </row>
    <row r="156" spans="1:6" x14ac:dyDescent="0.25">
      <c r="A156" s="8">
        <v>46230</v>
      </c>
      <c r="B156" s="9" t="s">
        <v>178</v>
      </c>
      <c r="C156" s="10">
        <v>-5000</v>
      </c>
      <c r="D156" s="10">
        <f t="shared" si="3"/>
        <v>11300</v>
      </c>
    </row>
    <row r="157" spans="1:6" x14ac:dyDescent="0.25">
      <c r="A157" s="8">
        <v>46233</v>
      </c>
      <c r="B157" s="9" t="s">
        <v>3</v>
      </c>
      <c r="C157" s="10">
        <v>2950</v>
      </c>
      <c r="D157" s="10">
        <f t="shared" si="3"/>
        <v>14250</v>
      </c>
    </row>
    <row r="158" spans="1:6" x14ac:dyDescent="0.25">
      <c r="A158" s="8">
        <v>46237</v>
      </c>
      <c r="B158" s="9" t="s">
        <v>178</v>
      </c>
      <c r="C158" s="10">
        <v>-7000</v>
      </c>
      <c r="D158" s="10">
        <f t="shared" si="3"/>
        <v>7250</v>
      </c>
    </row>
    <row r="159" spans="1:6" x14ac:dyDescent="0.25">
      <c r="A159" s="8">
        <v>46245</v>
      </c>
      <c r="B159" s="9" t="s">
        <v>3</v>
      </c>
      <c r="C159" s="10">
        <v>4440</v>
      </c>
      <c r="D159" s="10">
        <f t="shared" si="3"/>
        <v>11690</v>
      </c>
    </row>
    <row r="160" spans="1:6" x14ac:dyDescent="0.25">
      <c r="A160" s="8">
        <v>46247</v>
      </c>
      <c r="B160" s="9" t="s">
        <v>3</v>
      </c>
      <c r="C160" s="10">
        <v>3700</v>
      </c>
      <c r="D160" s="10">
        <f t="shared" si="3"/>
        <v>15390</v>
      </c>
    </row>
    <row r="161" spans="1:7" x14ac:dyDescent="0.25">
      <c r="A161" s="8">
        <v>46247</v>
      </c>
      <c r="B161" s="9" t="s">
        <v>178</v>
      </c>
      <c r="C161" s="10">
        <v>-7000</v>
      </c>
      <c r="D161" s="10">
        <f t="shared" si="3"/>
        <v>8390</v>
      </c>
      <c r="F161" s="94"/>
    </row>
    <row r="162" spans="1:7" x14ac:dyDescent="0.25">
      <c r="A162" s="8">
        <v>46251</v>
      </c>
      <c r="B162" s="9" t="s">
        <v>3</v>
      </c>
      <c r="C162" s="10">
        <v>2100</v>
      </c>
      <c r="D162" s="10">
        <f t="shared" si="3"/>
        <v>10490</v>
      </c>
      <c r="F162" s="94"/>
    </row>
    <row r="163" spans="1:7" x14ac:dyDescent="0.25">
      <c r="A163" s="8">
        <v>46254</v>
      </c>
      <c r="B163" s="9" t="s">
        <v>3</v>
      </c>
      <c r="C163" s="10">
        <v>3380</v>
      </c>
      <c r="D163" s="10">
        <f t="shared" si="3"/>
        <v>13870</v>
      </c>
      <c r="F163" s="94"/>
    </row>
    <row r="164" spans="1:7" x14ac:dyDescent="0.25">
      <c r="A164" s="8">
        <v>46254</v>
      </c>
      <c r="B164" s="9" t="s">
        <v>178</v>
      </c>
      <c r="C164" s="10">
        <v>-5000</v>
      </c>
      <c r="D164" s="10">
        <f t="shared" si="3"/>
        <v>8870</v>
      </c>
      <c r="F164" s="94"/>
    </row>
    <row r="165" spans="1:7" x14ac:dyDescent="0.25">
      <c r="A165" s="8">
        <v>46258</v>
      </c>
      <c r="B165" s="9" t="s">
        <v>3</v>
      </c>
      <c r="C165" s="10">
        <v>1420</v>
      </c>
      <c r="D165" s="10">
        <f t="shared" si="3"/>
        <v>10290</v>
      </c>
      <c r="F165" s="95"/>
    </row>
    <row r="166" spans="1:7" x14ac:dyDescent="0.25">
      <c r="A166" s="8">
        <v>46258</v>
      </c>
      <c r="B166" s="9" t="s">
        <v>178</v>
      </c>
      <c r="C166" s="10">
        <v>-3000</v>
      </c>
      <c r="D166" s="10">
        <f t="shared" si="3"/>
        <v>7290</v>
      </c>
    </row>
    <row r="167" spans="1:7" ht="18.75" x14ac:dyDescent="0.3">
      <c r="A167" s="8">
        <v>46261</v>
      </c>
      <c r="B167" s="9" t="s">
        <v>3</v>
      </c>
      <c r="C167" s="10">
        <v>2580</v>
      </c>
      <c r="D167" s="10">
        <f t="shared" si="3"/>
        <v>9870</v>
      </c>
      <c r="G167" s="51"/>
    </row>
    <row r="168" spans="1:7" x14ac:dyDescent="0.25">
      <c r="A168" s="8">
        <v>46264</v>
      </c>
      <c r="B168" s="9" t="s">
        <v>3</v>
      </c>
      <c r="C168" s="10">
        <v>4220</v>
      </c>
      <c r="D168" s="10">
        <f t="shared" si="3"/>
        <v>14090</v>
      </c>
    </row>
    <row r="169" spans="1:7" x14ac:dyDescent="0.25">
      <c r="A169" s="8">
        <v>46268</v>
      </c>
      <c r="B169" s="9" t="s">
        <v>3</v>
      </c>
      <c r="C169" s="10">
        <v>3580</v>
      </c>
      <c r="D169" s="10">
        <f t="shared" si="3"/>
        <v>17670</v>
      </c>
    </row>
    <row r="170" spans="1:7" x14ac:dyDescent="0.25">
      <c r="A170" s="8">
        <v>46268</v>
      </c>
      <c r="B170" s="9" t="s">
        <v>178</v>
      </c>
      <c r="C170" s="10">
        <v>-5000</v>
      </c>
      <c r="D170" s="10">
        <f t="shared" si="3"/>
        <v>12670</v>
      </c>
    </row>
    <row r="171" spans="1:7" x14ac:dyDescent="0.25">
      <c r="A171" s="8">
        <v>46270</v>
      </c>
      <c r="B171" s="9" t="s">
        <v>412</v>
      </c>
      <c r="C171" s="10">
        <v>7150</v>
      </c>
      <c r="D171" s="10">
        <f t="shared" si="3"/>
        <v>19820</v>
      </c>
    </row>
    <row r="172" spans="1:7" x14ac:dyDescent="0.25">
      <c r="A172" s="8">
        <v>46272</v>
      </c>
      <c r="B172" s="9" t="s">
        <v>3</v>
      </c>
      <c r="C172" s="10">
        <v>600</v>
      </c>
      <c r="D172" s="10">
        <f t="shared" si="3"/>
        <v>20420</v>
      </c>
    </row>
    <row r="173" spans="1:7" x14ac:dyDescent="0.25">
      <c r="A173" s="8">
        <v>46272</v>
      </c>
      <c r="B173" s="9" t="s">
        <v>178</v>
      </c>
      <c r="C173" s="10">
        <v>-11150</v>
      </c>
      <c r="D173" s="10">
        <f t="shared" si="3"/>
        <v>9270</v>
      </c>
    </row>
    <row r="174" spans="1:7" x14ac:dyDescent="0.25">
      <c r="A174" s="8">
        <v>46279</v>
      </c>
      <c r="B174" s="9" t="s">
        <v>589</v>
      </c>
      <c r="C174" s="10">
        <v>9240</v>
      </c>
      <c r="D174" s="10">
        <f t="shared" si="3"/>
        <v>18510</v>
      </c>
    </row>
    <row r="175" spans="1:7" x14ac:dyDescent="0.25">
      <c r="A175" s="8">
        <v>46279</v>
      </c>
      <c r="B175" s="9" t="s">
        <v>7</v>
      </c>
      <c r="C175" s="10">
        <v>-15000</v>
      </c>
      <c r="D175" s="10">
        <f t="shared" si="3"/>
        <v>3510</v>
      </c>
    </row>
    <row r="176" spans="1:7" x14ac:dyDescent="0.25">
      <c r="A176" s="8">
        <v>46282</v>
      </c>
      <c r="B176" s="9" t="s">
        <v>3</v>
      </c>
      <c r="C176" s="10">
        <v>14200</v>
      </c>
      <c r="D176" s="10">
        <f t="shared" si="3"/>
        <v>17710</v>
      </c>
    </row>
    <row r="177" spans="1:4" x14ac:dyDescent="0.25">
      <c r="A177" s="8">
        <v>46282</v>
      </c>
      <c r="B177" s="9" t="s">
        <v>178</v>
      </c>
      <c r="C177" s="10">
        <v>-10000</v>
      </c>
      <c r="D177" s="10">
        <f t="shared" si="3"/>
        <v>7710</v>
      </c>
    </row>
    <row r="178" spans="1:4" x14ac:dyDescent="0.25">
      <c r="A178" s="8">
        <v>46286</v>
      </c>
      <c r="B178" s="9" t="s">
        <v>256</v>
      </c>
      <c r="C178" s="10">
        <v>5000</v>
      </c>
      <c r="D178" s="10">
        <f t="shared" si="3"/>
        <v>12710</v>
      </c>
    </row>
    <row r="179" spans="1:4" x14ac:dyDescent="0.25">
      <c r="A179" s="8">
        <v>46296</v>
      </c>
      <c r="B179" s="9" t="s">
        <v>589</v>
      </c>
      <c r="C179" s="10">
        <v>5610</v>
      </c>
      <c r="D179" s="10">
        <f t="shared" si="3"/>
        <v>18320</v>
      </c>
    </row>
    <row r="180" spans="1:4" x14ac:dyDescent="0.25">
      <c r="A180" s="8">
        <v>46296</v>
      </c>
      <c r="B180" s="9" t="s">
        <v>92</v>
      </c>
      <c r="C180" s="10">
        <v>-8000</v>
      </c>
      <c r="D180" s="10">
        <f t="shared" si="3"/>
        <v>10320</v>
      </c>
    </row>
    <row r="181" spans="1:4" x14ac:dyDescent="0.25">
      <c r="A181" s="9"/>
      <c r="B181" s="9"/>
      <c r="C181" s="10"/>
      <c r="D181" s="10">
        <f t="shared" si="3"/>
        <v>10320</v>
      </c>
    </row>
    <row r="182" spans="1:4" x14ac:dyDescent="0.25">
      <c r="A182" s="9"/>
      <c r="B182" s="9"/>
      <c r="C182" s="10"/>
      <c r="D182" s="10">
        <f t="shared" si="3"/>
        <v>10320</v>
      </c>
    </row>
    <row r="183" spans="1:4" x14ac:dyDescent="0.25">
      <c r="A183" s="9"/>
      <c r="B183" s="9"/>
      <c r="C183" s="10"/>
      <c r="D183" s="10">
        <f t="shared" si="3"/>
        <v>10320</v>
      </c>
    </row>
    <row r="184" spans="1:4" x14ac:dyDescent="0.25">
      <c r="A184" s="9"/>
      <c r="B184" s="9"/>
      <c r="C184" s="10"/>
      <c r="D184" s="10">
        <f t="shared" si="3"/>
        <v>10320</v>
      </c>
    </row>
    <row r="185" spans="1:4" x14ac:dyDescent="0.25">
      <c r="A185" s="9"/>
      <c r="B185" s="9"/>
      <c r="C185" s="10"/>
      <c r="D185" s="10">
        <f t="shared" si="3"/>
        <v>10320</v>
      </c>
    </row>
    <row r="186" spans="1:4" x14ac:dyDescent="0.25">
      <c r="A186" s="9"/>
      <c r="B186" s="9"/>
      <c r="C186" s="10"/>
      <c r="D186" s="10">
        <f t="shared" si="3"/>
        <v>10320</v>
      </c>
    </row>
    <row r="187" spans="1:4" x14ac:dyDescent="0.25">
      <c r="A187" s="9"/>
      <c r="B187" s="9"/>
      <c r="C187" s="10"/>
      <c r="D187" s="10">
        <f t="shared" ref="D187" si="4">D186+C187</f>
        <v>10320</v>
      </c>
    </row>
  </sheetData>
  <mergeCells count="2">
    <mergeCell ref="A4:D4"/>
    <mergeCell ref="B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04358-FCB7-481D-ADF7-FA10737BF3EF}">
  <sheetPr>
    <tabColor theme="8" tint="0.79998168889431442"/>
  </sheetPr>
  <dimension ref="C4:F113"/>
  <sheetViews>
    <sheetView topLeftCell="A80" workbookViewId="0">
      <selection activeCell="C98" sqref="C98"/>
    </sheetView>
  </sheetViews>
  <sheetFormatPr baseColWidth="10" defaultRowHeight="15" x14ac:dyDescent="0.25"/>
  <cols>
    <col min="3" max="3" width="21.5703125" customWidth="1"/>
    <col min="4" max="4" width="27" customWidth="1"/>
    <col min="5" max="5" width="13.28515625" customWidth="1"/>
    <col min="6" max="6" width="17.7109375" customWidth="1"/>
  </cols>
  <sheetData>
    <row r="4" spans="3:6" x14ac:dyDescent="0.25">
      <c r="C4" s="2" t="s">
        <v>1</v>
      </c>
      <c r="D4" s="99" t="s">
        <v>181</v>
      </c>
      <c r="E4" s="100"/>
      <c r="F4" s="100"/>
    </row>
    <row r="5" spans="3:6" x14ac:dyDescent="0.25">
      <c r="C5" s="3" t="s">
        <v>11</v>
      </c>
      <c r="D5" s="4" t="s">
        <v>27</v>
      </c>
      <c r="E5" s="4"/>
      <c r="F5" s="4"/>
    </row>
    <row r="6" spans="3:6" x14ac:dyDescent="0.25">
      <c r="D6" s="5"/>
      <c r="E6" s="6"/>
      <c r="F6" s="6"/>
    </row>
    <row r="7" spans="3:6" x14ac:dyDescent="0.25">
      <c r="C7" s="2" t="s">
        <v>2</v>
      </c>
      <c r="D7" s="2" t="s">
        <v>173</v>
      </c>
      <c r="E7" s="7" t="s">
        <v>4</v>
      </c>
      <c r="F7" s="7" t="s">
        <v>5</v>
      </c>
    </row>
    <row r="8" spans="3:6" x14ac:dyDescent="0.25">
      <c r="C8" s="8">
        <v>45936</v>
      </c>
      <c r="D8" s="9" t="s">
        <v>3</v>
      </c>
      <c r="E8" s="10">
        <v>460</v>
      </c>
      <c r="F8" s="10">
        <f>E8</f>
        <v>460</v>
      </c>
    </row>
    <row r="9" spans="3:6" x14ac:dyDescent="0.25">
      <c r="C9" s="8">
        <v>45936</v>
      </c>
      <c r="D9" s="9" t="s">
        <v>178</v>
      </c>
      <c r="E9" s="10">
        <v>-460</v>
      </c>
      <c r="F9" s="10">
        <f t="shared" ref="F9:F40" si="0">F8+E9</f>
        <v>0</v>
      </c>
    </row>
    <row r="10" spans="3:6" x14ac:dyDescent="0.25">
      <c r="C10" s="8">
        <v>45939</v>
      </c>
      <c r="D10" s="9" t="s">
        <v>3</v>
      </c>
      <c r="E10" s="10">
        <v>610</v>
      </c>
      <c r="F10" s="10">
        <f t="shared" si="0"/>
        <v>610</v>
      </c>
    </row>
    <row r="11" spans="3:6" x14ac:dyDescent="0.25">
      <c r="C11" s="8">
        <v>45939</v>
      </c>
      <c r="D11" s="9" t="s">
        <v>191</v>
      </c>
      <c r="E11" s="10">
        <v>-610</v>
      </c>
      <c r="F11" s="10">
        <f t="shared" si="0"/>
        <v>0</v>
      </c>
    </row>
    <row r="12" spans="3:6" x14ac:dyDescent="0.25">
      <c r="C12" s="8">
        <v>45946</v>
      </c>
      <c r="D12" s="9" t="s">
        <v>3</v>
      </c>
      <c r="E12" s="10">
        <v>1290</v>
      </c>
      <c r="F12" s="10">
        <f t="shared" si="0"/>
        <v>1290</v>
      </c>
    </row>
    <row r="13" spans="3:6" x14ac:dyDescent="0.25">
      <c r="C13" s="8">
        <v>45946</v>
      </c>
      <c r="D13" s="9" t="s">
        <v>178</v>
      </c>
      <c r="E13" s="10">
        <v>-1290</v>
      </c>
      <c r="F13" s="10">
        <f t="shared" si="0"/>
        <v>0</v>
      </c>
    </row>
    <row r="14" spans="3:6" x14ac:dyDescent="0.25">
      <c r="C14" s="8">
        <v>45950</v>
      </c>
      <c r="D14" s="9" t="s">
        <v>3</v>
      </c>
      <c r="E14" s="10">
        <v>480</v>
      </c>
      <c r="F14" s="10">
        <f t="shared" si="0"/>
        <v>480</v>
      </c>
    </row>
    <row r="15" spans="3:6" x14ac:dyDescent="0.25">
      <c r="C15" s="8">
        <v>45950</v>
      </c>
      <c r="D15" s="9" t="s">
        <v>178</v>
      </c>
      <c r="E15" s="10">
        <v>-480</v>
      </c>
      <c r="F15" s="10">
        <f t="shared" si="0"/>
        <v>0</v>
      </c>
    </row>
    <row r="16" spans="3:6" x14ac:dyDescent="0.25">
      <c r="C16" s="8">
        <v>45960</v>
      </c>
      <c r="D16" s="9" t="s">
        <v>3</v>
      </c>
      <c r="E16" s="10">
        <v>2020</v>
      </c>
      <c r="F16" s="10">
        <f t="shared" si="0"/>
        <v>2020</v>
      </c>
    </row>
    <row r="17" spans="3:6" x14ac:dyDescent="0.25">
      <c r="C17" s="8">
        <v>45960</v>
      </c>
      <c r="D17" s="9" t="s">
        <v>178</v>
      </c>
      <c r="E17" s="10">
        <v>-2020</v>
      </c>
      <c r="F17" s="10">
        <f t="shared" si="0"/>
        <v>0</v>
      </c>
    </row>
    <row r="18" spans="3:6" x14ac:dyDescent="0.25">
      <c r="C18" s="8">
        <v>45964</v>
      </c>
      <c r="D18" s="9" t="s">
        <v>3</v>
      </c>
      <c r="E18" s="10">
        <v>350</v>
      </c>
      <c r="F18" s="10">
        <f t="shared" si="0"/>
        <v>350</v>
      </c>
    </row>
    <row r="19" spans="3:6" x14ac:dyDescent="0.25">
      <c r="C19" s="8">
        <v>45964</v>
      </c>
      <c r="D19" s="9" t="s">
        <v>178</v>
      </c>
      <c r="E19" s="10">
        <v>-350</v>
      </c>
      <c r="F19" s="10">
        <f t="shared" si="0"/>
        <v>0</v>
      </c>
    </row>
    <row r="20" spans="3:6" x14ac:dyDescent="0.25">
      <c r="C20" s="8">
        <v>45967</v>
      </c>
      <c r="D20" s="9" t="s">
        <v>3</v>
      </c>
      <c r="E20" s="10">
        <v>1000</v>
      </c>
      <c r="F20" s="10">
        <f t="shared" si="0"/>
        <v>1000</v>
      </c>
    </row>
    <row r="21" spans="3:6" x14ac:dyDescent="0.25">
      <c r="C21" s="8">
        <v>45967</v>
      </c>
      <c r="D21" s="9" t="s">
        <v>178</v>
      </c>
      <c r="E21" s="10">
        <v>-1000</v>
      </c>
      <c r="F21" s="10">
        <f t="shared" si="0"/>
        <v>0</v>
      </c>
    </row>
    <row r="22" spans="3:6" x14ac:dyDescent="0.25">
      <c r="C22" s="8">
        <v>45974</v>
      </c>
      <c r="D22" s="9" t="s">
        <v>3</v>
      </c>
      <c r="E22" s="10">
        <v>480</v>
      </c>
      <c r="F22" s="10">
        <f t="shared" si="0"/>
        <v>480</v>
      </c>
    </row>
    <row r="23" spans="3:6" x14ac:dyDescent="0.25">
      <c r="C23" s="8">
        <v>45974</v>
      </c>
      <c r="D23" s="9" t="s">
        <v>92</v>
      </c>
      <c r="E23" s="10">
        <v>-480</v>
      </c>
      <c r="F23" s="10">
        <f t="shared" si="0"/>
        <v>0</v>
      </c>
    </row>
    <row r="24" spans="3:6" x14ac:dyDescent="0.25">
      <c r="C24" s="8">
        <v>45978</v>
      </c>
      <c r="D24" s="9" t="s">
        <v>3</v>
      </c>
      <c r="E24" s="10">
        <v>1220</v>
      </c>
      <c r="F24" s="10">
        <f t="shared" si="0"/>
        <v>1220</v>
      </c>
    </row>
    <row r="25" spans="3:6" x14ac:dyDescent="0.25">
      <c r="C25" s="8">
        <v>45978</v>
      </c>
      <c r="D25" s="9" t="s">
        <v>92</v>
      </c>
      <c r="E25" s="10">
        <v>-1220</v>
      </c>
      <c r="F25" s="10">
        <f t="shared" si="0"/>
        <v>0</v>
      </c>
    </row>
    <row r="26" spans="3:6" x14ac:dyDescent="0.25">
      <c r="C26" s="8">
        <v>45981</v>
      </c>
      <c r="D26" s="9" t="s">
        <v>3</v>
      </c>
      <c r="E26" s="10">
        <v>140</v>
      </c>
      <c r="F26" s="10">
        <f t="shared" si="0"/>
        <v>140</v>
      </c>
    </row>
    <row r="27" spans="3:6" x14ac:dyDescent="0.25">
      <c r="C27" s="8">
        <v>45985</v>
      </c>
      <c r="D27" s="9" t="s">
        <v>3</v>
      </c>
      <c r="E27" s="10">
        <v>610</v>
      </c>
      <c r="F27" s="10">
        <f t="shared" si="0"/>
        <v>750</v>
      </c>
    </row>
    <row r="28" spans="3:6" x14ac:dyDescent="0.25">
      <c r="C28" s="8">
        <v>45985</v>
      </c>
      <c r="D28" s="9" t="s">
        <v>92</v>
      </c>
      <c r="E28" s="10">
        <v>-610</v>
      </c>
      <c r="F28" s="10">
        <f t="shared" si="0"/>
        <v>140</v>
      </c>
    </row>
    <row r="29" spans="3:6" x14ac:dyDescent="0.25">
      <c r="C29" s="8">
        <v>45985</v>
      </c>
      <c r="D29" s="9" t="s">
        <v>92</v>
      </c>
      <c r="E29" s="10">
        <v>-140</v>
      </c>
      <c r="F29" s="10">
        <f t="shared" si="0"/>
        <v>0</v>
      </c>
    </row>
    <row r="30" spans="3:6" x14ac:dyDescent="0.25">
      <c r="C30" s="8">
        <v>45988</v>
      </c>
      <c r="D30" s="9" t="s">
        <v>3</v>
      </c>
      <c r="E30" s="10">
        <v>300</v>
      </c>
      <c r="F30" s="10">
        <f t="shared" si="0"/>
        <v>300</v>
      </c>
    </row>
    <row r="31" spans="3:6" x14ac:dyDescent="0.25">
      <c r="C31" s="8">
        <v>45992</v>
      </c>
      <c r="D31" s="9" t="s">
        <v>3</v>
      </c>
      <c r="E31" s="10">
        <v>450</v>
      </c>
      <c r="F31" s="10">
        <f t="shared" si="0"/>
        <v>750</v>
      </c>
    </row>
    <row r="32" spans="3:6" x14ac:dyDescent="0.25">
      <c r="C32" s="8">
        <v>45992</v>
      </c>
      <c r="D32" s="9" t="s">
        <v>92</v>
      </c>
      <c r="E32" s="10">
        <v>-450</v>
      </c>
      <c r="F32" s="10">
        <f t="shared" si="0"/>
        <v>300</v>
      </c>
    </row>
    <row r="33" spans="3:6" x14ac:dyDescent="0.25">
      <c r="C33" s="8">
        <v>46009</v>
      </c>
      <c r="D33" s="9" t="s">
        <v>3</v>
      </c>
      <c r="E33" s="10">
        <v>1980</v>
      </c>
      <c r="F33" s="10">
        <f t="shared" si="0"/>
        <v>2280</v>
      </c>
    </row>
    <row r="34" spans="3:6" x14ac:dyDescent="0.25">
      <c r="C34" s="8">
        <v>46009</v>
      </c>
      <c r="D34" s="9" t="s">
        <v>92</v>
      </c>
      <c r="E34" s="10">
        <v>-1980</v>
      </c>
      <c r="F34" s="10">
        <f t="shared" si="0"/>
        <v>300</v>
      </c>
    </row>
    <row r="35" spans="3:6" x14ac:dyDescent="0.25">
      <c r="C35" s="8">
        <v>45999</v>
      </c>
      <c r="D35" s="9" t="s">
        <v>92</v>
      </c>
      <c r="E35" s="10">
        <v>-300</v>
      </c>
      <c r="F35" s="10">
        <f t="shared" si="0"/>
        <v>0</v>
      </c>
    </row>
    <row r="36" spans="3:6" x14ac:dyDescent="0.25">
      <c r="C36" s="8">
        <v>46037</v>
      </c>
      <c r="D36" s="9" t="s">
        <v>3</v>
      </c>
      <c r="E36" s="10">
        <v>850</v>
      </c>
      <c r="F36" s="10">
        <f t="shared" si="0"/>
        <v>850</v>
      </c>
    </row>
    <row r="37" spans="3:6" x14ac:dyDescent="0.25">
      <c r="C37" s="8">
        <v>46037</v>
      </c>
      <c r="D37" s="9" t="s">
        <v>178</v>
      </c>
      <c r="E37" s="10">
        <v>-850</v>
      </c>
      <c r="F37" s="10">
        <f t="shared" si="0"/>
        <v>0</v>
      </c>
    </row>
    <row r="38" spans="3:6" x14ac:dyDescent="0.25">
      <c r="C38" s="8">
        <v>46044</v>
      </c>
      <c r="D38" s="9" t="s">
        <v>3</v>
      </c>
      <c r="E38" s="10">
        <v>710</v>
      </c>
      <c r="F38" s="10">
        <f t="shared" si="0"/>
        <v>710</v>
      </c>
    </row>
    <row r="39" spans="3:6" x14ac:dyDescent="0.25">
      <c r="C39" s="8">
        <v>46044</v>
      </c>
      <c r="D39" s="9" t="s">
        <v>178</v>
      </c>
      <c r="E39" s="10">
        <v>-710</v>
      </c>
      <c r="F39" s="10">
        <f t="shared" si="0"/>
        <v>0</v>
      </c>
    </row>
    <row r="40" spans="3:6" x14ac:dyDescent="0.25">
      <c r="C40" s="8">
        <v>46051</v>
      </c>
      <c r="D40" s="9" t="s">
        <v>3</v>
      </c>
      <c r="E40" s="10">
        <v>3030</v>
      </c>
      <c r="F40" s="10">
        <f t="shared" si="0"/>
        <v>3030</v>
      </c>
    </row>
    <row r="41" spans="3:6" x14ac:dyDescent="0.25">
      <c r="C41" s="8">
        <v>46051</v>
      </c>
      <c r="D41" s="9" t="s">
        <v>178</v>
      </c>
      <c r="E41" s="10">
        <v>-3030</v>
      </c>
      <c r="F41" s="10">
        <f t="shared" ref="F41:F72" si="1">F40+E41</f>
        <v>0</v>
      </c>
    </row>
    <row r="42" spans="3:6" x14ac:dyDescent="0.25">
      <c r="C42" s="8">
        <v>46066</v>
      </c>
      <c r="D42" s="9" t="s">
        <v>3</v>
      </c>
      <c r="E42" s="10">
        <v>3560</v>
      </c>
      <c r="F42" s="10">
        <f t="shared" si="1"/>
        <v>3560</v>
      </c>
    </row>
    <row r="43" spans="3:6" x14ac:dyDescent="0.25">
      <c r="C43" s="8">
        <v>46066</v>
      </c>
      <c r="D43" s="9" t="s">
        <v>178</v>
      </c>
      <c r="E43" s="10">
        <v>-3560</v>
      </c>
      <c r="F43" s="10">
        <f t="shared" si="1"/>
        <v>0</v>
      </c>
    </row>
    <row r="44" spans="3:6" x14ac:dyDescent="0.25">
      <c r="C44" s="8">
        <v>46069</v>
      </c>
      <c r="D44" s="9" t="s">
        <v>3</v>
      </c>
      <c r="E44" s="10">
        <v>850</v>
      </c>
      <c r="F44" s="10">
        <f t="shared" si="1"/>
        <v>850</v>
      </c>
    </row>
    <row r="45" spans="3:6" x14ac:dyDescent="0.25">
      <c r="C45" s="8">
        <v>46069</v>
      </c>
      <c r="D45" s="9" t="s">
        <v>178</v>
      </c>
      <c r="E45" s="9">
        <v>-850</v>
      </c>
      <c r="F45" s="10">
        <f t="shared" si="1"/>
        <v>0</v>
      </c>
    </row>
    <row r="46" spans="3:6" x14ac:dyDescent="0.25">
      <c r="C46" s="8">
        <v>46083</v>
      </c>
      <c r="D46" s="9" t="s">
        <v>3</v>
      </c>
      <c r="E46" s="9">
        <v>1900</v>
      </c>
      <c r="F46" s="10">
        <f t="shared" si="1"/>
        <v>1900</v>
      </c>
    </row>
    <row r="47" spans="3:6" x14ac:dyDescent="0.25">
      <c r="C47" s="8">
        <v>46083</v>
      </c>
      <c r="D47" s="9" t="s">
        <v>178</v>
      </c>
      <c r="E47" s="9">
        <v>-1900</v>
      </c>
      <c r="F47" s="10">
        <f t="shared" si="1"/>
        <v>0</v>
      </c>
    </row>
    <row r="48" spans="3:6" x14ac:dyDescent="0.25">
      <c r="C48" s="8">
        <v>46097</v>
      </c>
      <c r="D48" s="9" t="s">
        <v>3</v>
      </c>
      <c r="E48" s="9">
        <v>1550</v>
      </c>
      <c r="F48" s="10">
        <f t="shared" si="1"/>
        <v>1550</v>
      </c>
    </row>
    <row r="49" spans="3:6" x14ac:dyDescent="0.25">
      <c r="C49" s="8">
        <v>46097</v>
      </c>
      <c r="D49" s="9" t="s">
        <v>178</v>
      </c>
      <c r="E49" s="9">
        <v>-1550</v>
      </c>
      <c r="F49" s="10">
        <f t="shared" si="1"/>
        <v>0</v>
      </c>
    </row>
    <row r="50" spans="3:6" x14ac:dyDescent="0.25">
      <c r="C50" s="8">
        <v>46100</v>
      </c>
      <c r="D50" s="9" t="s">
        <v>3</v>
      </c>
      <c r="E50" s="9">
        <v>2270</v>
      </c>
      <c r="F50" s="10">
        <f t="shared" si="1"/>
        <v>2270</v>
      </c>
    </row>
    <row r="51" spans="3:6" x14ac:dyDescent="0.25">
      <c r="C51" s="8">
        <v>46100</v>
      </c>
      <c r="D51" s="9" t="s">
        <v>178</v>
      </c>
      <c r="E51" s="9">
        <v>-2270</v>
      </c>
      <c r="F51" s="10">
        <f t="shared" si="1"/>
        <v>0</v>
      </c>
    </row>
    <row r="52" spans="3:6" x14ac:dyDescent="0.25">
      <c r="C52" s="8">
        <v>46107</v>
      </c>
      <c r="D52" s="9" t="s">
        <v>3</v>
      </c>
      <c r="E52" s="9">
        <v>360</v>
      </c>
      <c r="F52" s="10">
        <f t="shared" si="1"/>
        <v>360</v>
      </c>
    </row>
    <row r="53" spans="3:6" x14ac:dyDescent="0.25">
      <c r="C53" s="8">
        <v>46107</v>
      </c>
      <c r="D53" s="9" t="s">
        <v>178</v>
      </c>
      <c r="E53" s="9">
        <v>-360</v>
      </c>
      <c r="F53" s="10">
        <f t="shared" si="1"/>
        <v>0</v>
      </c>
    </row>
    <row r="54" spans="3:6" x14ac:dyDescent="0.25">
      <c r="C54" s="8">
        <v>46121</v>
      </c>
      <c r="D54" s="9" t="s">
        <v>3</v>
      </c>
      <c r="E54" s="9">
        <v>570</v>
      </c>
      <c r="F54" s="10">
        <f t="shared" si="1"/>
        <v>570</v>
      </c>
    </row>
    <row r="55" spans="3:6" x14ac:dyDescent="0.25">
      <c r="C55" s="8">
        <v>46121</v>
      </c>
      <c r="D55" s="9" t="s">
        <v>178</v>
      </c>
      <c r="E55" s="9">
        <v>-570</v>
      </c>
      <c r="F55" s="10">
        <f t="shared" si="1"/>
        <v>0</v>
      </c>
    </row>
    <row r="56" spans="3:6" x14ac:dyDescent="0.25">
      <c r="C56" s="8">
        <v>46125</v>
      </c>
      <c r="D56" s="9" t="s">
        <v>3</v>
      </c>
      <c r="E56" s="9">
        <v>480</v>
      </c>
      <c r="F56" s="10">
        <f t="shared" si="1"/>
        <v>480</v>
      </c>
    </row>
    <row r="57" spans="3:6" x14ac:dyDescent="0.25">
      <c r="C57" s="8">
        <v>46125</v>
      </c>
      <c r="D57" s="9" t="s">
        <v>178</v>
      </c>
      <c r="E57" s="9">
        <v>-480</v>
      </c>
      <c r="F57" s="10">
        <f t="shared" si="1"/>
        <v>0</v>
      </c>
    </row>
    <row r="58" spans="3:6" x14ac:dyDescent="0.25">
      <c r="C58" s="8">
        <v>46135</v>
      </c>
      <c r="D58" s="9" t="s">
        <v>3</v>
      </c>
      <c r="E58" s="9">
        <v>530</v>
      </c>
      <c r="F58" s="10">
        <f t="shared" si="1"/>
        <v>530</v>
      </c>
    </row>
    <row r="59" spans="3:6" x14ac:dyDescent="0.25">
      <c r="C59" s="8">
        <v>46135</v>
      </c>
      <c r="D59" s="9" t="s">
        <v>178</v>
      </c>
      <c r="E59" s="9">
        <v>-530</v>
      </c>
      <c r="F59" s="10">
        <f t="shared" si="1"/>
        <v>0</v>
      </c>
    </row>
    <row r="60" spans="3:6" x14ac:dyDescent="0.25">
      <c r="C60" s="8">
        <v>46139</v>
      </c>
      <c r="D60" s="9" t="s">
        <v>3</v>
      </c>
      <c r="E60" s="9">
        <v>1130</v>
      </c>
      <c r="F60" s="10">
        <f t="shared" si="1"/>
        <v>1130</v>
      </c>
    </row>
    <row r="61" spans="3:6" x14ac:dyDescent="0.25">
      <c r="C61" s="8">
        <v>46139</v>
      </c>
      <c r="D61" s="9" t="s">
        <v>178</v>
      </c>
      <c r="E61" s="9">
        <v>-1130</v>
      </c>
      <c r="F61" s="10">
        <f t="shared" si="1"/>
        <v>0</v>
      </c>
    </row>
    <row r="62" spans="3:6" x14ac:dyDescent="0.25">
      <c r="C62" s="8">
        <v>46126</v>
      </c>
      <c r="D62" s="9" t="s">
        <v>3</v>
      </c>
      <c r="E62" s="9">
        <v>470</v>
      </c>
      <c r="F62" s="10">
        <f t="shared" si="1"/>
        <v>470</v>
      </c>
    </row>
    <row r="63" spans="3:6" x14ac:dyDescent="0.25">
      <c r="C63" s="8">
        <v>46126</v>
      </c>
      <c r="D63" s="9" t="s">
        <v>178</v>
      </c>
      <c r="E63" s="9">
        <v>-470</v>
      </c>
      <c r="F63" s="10">
        <f t="shared" si="1"/>
        <v>0</v>
      </c>
    </row>
    <row r="64" spans="3:6" x14ac:dyDescent="0.25">
      <c r="C64" s="8">
        <v>46160</v>
      </c>
      <c r="D64" s="9" t="s">
        <v>3</v>
      </c>
      <c r="E64" s="9">
        <v>590</v>
      </c>
      <c r="F64" s="10">
        <f t="shared" si="1"/>
        <v>590</v>
      </c>
    </row>
    <row r="65" spans="3:6" x14ac:dyDescent="0.25">
      <c r="C65" s="8">
        <v>46160</v>
      </c>
      <c r="D65" s="9" t="s">
        <v>178</v>
      </c>
      <c r="E65" s="9">
        <v>-590</v>
      </c>
      <c r="F65" s="10">
        <f t="shared" si="1"/>
        <v>0</v>
      </c>
    </row>
    <row r="66" spans="3:6" x14ac:dyDescent="0.25">
      <c r="C66" s="8">
        <v>46163</v>
      </c>
      <c r="D66" s="9" t="s">
        <v>3</v>
      </c>
      <c r="E66" s="9">
        <v>420</v>
      </c>
      <c r="F66" s="10">
        <f t="shared" si="1"/>
        <v>420</v>
      </c>
    </row>
    <row r="67" spans="3:6" x14ac:dyDescent="0.25">
      <c r="C67" s="8">
        <v>46163</v>
      </c>
      <c r="D67" s="9" t="s">
        <v>178</v>
      </c>
      <c r="E67" s="9">
        <v>-420</v>
      </c>
      <c r="F67" s="10">
        <f t="shared" si="1"/>
        <v>0</v>
      </c>
    </row>
    <row r="68" spans="3:6" x14ac:dyDescent="0.25">
      <c r="C68" s="8">
        <v>46170</v>
      </c>
      <c r="D68" s="9" t="s">
        <v>3</v>
      </c>
      <c r="E68" s="9">
        <v>470</v>
      </c>
      <c r="F68" s="10">
        <f t="shared" si="1"/>
        <v>470</v>
      </c>
    </row>
    <row r="69" spans="3:6" x14ac:dyDescent="0.25">
      <c r="C69" s="8">
        <v>46170</v>
      </c>
      <c r="D69" s="9" t="s">
        <v>178</v>
      </c>
      <c r="E69" s="9">
        <v>-470</v>
      </c>
      <c r="F69" s="10">
        <f t="shared" si="1"/>
        <v>0</v>
      </c>
    </row>
    <row r="70" spans="3:6" x14ac:dyDescent="0.25">
      <c r="C70" s="8">
        <v>46177</v>
      </c>
      <c r="D70" s="9" t="s">
        <v>3</v>
      </c>
      <c r="E70" s="9">
        <v>1000</v>
      </c>
      <c r="F70" s="10">
        <f t="shared" si="1"/>
        <v>1000</v>
      </c>
    </row>
    <row r="71" spans="3:6" x14ac:dyDescent="0.25">
      <c r="C71" s="8">
        <v>46177</v>
      </c>
      <c r="D71" s="9" t="s">
        <v>178</v>
      </c>
      <c r="E71" s="9">
        <v>-1000</v>
      </c>
      <c r="F71" s="10">
        <f t="shared" si="1"/>
        <v>0</v>
      </c>
    </row>
    <row r="72" spans="3:6" x14ac:dyDescent="0.25">
      <c r="C72" s="8">
        <v>46181</v>
      </c>
      <c r="D72" s="9" t="s">
        <v>3</v>
      </c>
      <c r="E72" s="9">
        <v>890</v>
      </c>
      <c r="F72" s="10">
        <f t="shared" si="1"/>
        <v>890</v>
      </c>
    </row>
    <row r="73" spans="3:6" x14ac:dyDescent="0.25">
      <c r="C73" s="8">
        <v>46181</v>
      </c>
      <c r="D73" s="9" t="s">
        <v>178</v>
      </c>
      <c r="E73" s="9">
        <v>-890</v>
      </c>
      <c r="F73" s="10">
        <f t="shared" ref="F73:F97" si="2">F72+E73</f>
        <v>0</v>
      </c>
    </row>
    <row r="74" spans="3:6" x14ac:dyDescent="0.25">
      <c r="C74" s="8">
        <v>46184</v>
      </c>
      <c r="D74" s="9" t="s">
        <v>3</v>
      </c>
      <c r="E74" s="9">
        <v>200</v>
      </c>
      <c r="F74" s="10">
        <f t="shared" si="2"/>
        <v>200</v>
      </c>
    </row>
    <row r="75" spans="3:6" x14ac:dyDescent="0.25">
      <c r="C75" s="8">
        <v>46184</v>
      </c>
      <c r="D75" s="9" t="s">
        <v>178</v>
      </c>
      <c r="E75" s="9">
        <v>-200</v>
      </c>
      <c r="F75" s="10">
        <f t="shared" si="2"/>
        <v>0</v>
      </c>
    </row>
    <row r="76" spans="3:6" x14ac:dyDescent="0.25">
      <c r="C76" s="8">
        <v>46188</v>
      </c>
      <c r="D76" s="9" t="s">
        <v>3</v>
      </c>
      <c r="E76" s="9">
        <v>720</v>
      </c>
      <c r="F76" s="10">
        <f t="shared" si="2"/>
        <v>720</v>
      </c>
    </row>
    <row r="77" spans="3:6" x14ac:dyDescent="0.25">
      <c r="C77" s="8">
        <v>46188</v>
      </c>
      <c r="D77" s="9" t="s">
        <v>178</v>
      </c>
      <c r="E77" s="9">
        <v>-720</v>
      </c>
      <c r="F77" s="10">
        <f t="shared" si="2"/>
        <v>0</v>
      </c>
    </row>
    <row r="78" spans="3:6" x14ac:dyDescent="0.25">
      <c r="C78" s="8">
        <v>46191</v>
      </c>
      <c r="D78" s="9" t="s">
        <v>97</v>
      </c>
      <c r="E78" s="9">
        <v>440</v>
      </c>
      <c r="F78" s="10">
        <f t="shared" si="2"/>
        <v>440</v>
      </c>
    </row>
    <row r="79" spans="3:6" x14ac:dyDescent="0.25">
      <c r="C79" s="8">
        <v>46191</v>
      </c>
      <c r="D79" s="9" t="s">
        <v>178</v>
      </c>
      <c r="E79" s="9">
        <v>-440</v>
      </c>
      <c r="F79" s="10">
        <f t="shared" si="2"/>
        <v>0</v>
      </c>
    </row>
    <row r="80" spans="3:6" x14ac:dyDescent="0.25">
      <c r="C80" s="8">
        <v>46195</v>
      </c>
      <c r="D80" s="9" t="s">
        <v>3</v>
      </c>
      <c r="E80" s="9">
        <v>660</v>
      </c>
      <c r="F80" s="10">
        <f t="shared" si="2"/>
        <v>660</v>
      </c>
    </row>
    <row r="81" spans="3:6" x14ac:dyDescent="0.25">
      <c r="C81" s="8">
        <v>46195</v>
      </c>
      <c r="D81" s="9" t="s">
        <v>178</v>
      </c>
      <c r="E81" s="9">
        <v>-660</v>
      </c>
      <c r="F81" s="10">
        <f t="shared" si="2"/>
        <v>0</v>
      </c>
    </row>
    <row r="82" spans="3:6" x14ac:dyDescent="0.25">
      <c r="C82" s="8">
        <v>46198</v>
      </c>
      <c r="D82" s="9" t="s">
        <v>3</v>
      </c>
      <c r="E82" s="9">
        <v>140</v>
      </c>
      <c r="F82" s="10">
        <f t="shared" si="2"/>
        <v>140</v>
      </c>
    </row>
    <row r="83" spans="3:6" x14ac:dyDescent="0.25">
      <c r="C83" s="8">
        <v>46198</v>
      </c>
      <c r="D83" s="9" t="s">
        <v>178</v>
      </c>
      <c r="E83" s="9">
        <v>-140</v>
      </c>
      <c r="F83" s="10">
        <f t="shared" si="2"/>
        <v>0</v>
      </c>
    </row>
    <row r="84" spans="3:6" x14ac:dyDescent="0.25">
      <c r="C84" s="8">
        <v>46205</v>
      </c>
      <c r="D84" s="9" t="s">
        <v>3</v>
      </c>
      <c r="E84" s="9">
        <v>1120</v>
      </c>
      <c r="F84" s="10">
        <f t="shared" si="2"/>
        <v>1120</v>
      </c>
    </row>
    <row r="85" spans="3:6" x14ac:dyDescent="0.25">
      <c r="C85" s="8">
        <v>46205</v>
      </c>
      <c r="D85" s="9" t="s">
        <v>178</v>
      </c>
      <c r="E85" s="9">
        <v>-1120</v>
      </c>
      <c r="F85" s="10">
        <f t="shared" si="2"/>
        <v>0</v>
      </c>
    </row>
    <row r="86" spans="3:6" x14ac:dyDescent="0.25">
      <c r="C86" s="8">
        <v>46230</v>
      </c>
      <c r="D86" s="9" t="s">
        <v>3</v>
      </c>
      <c r="E86" s="9">
        <v>500</v>
      </c>
      <c r="F86" s="10">
        <f t="shared" si="2"/>
        <v>500</v>
      </c>
    </row>
    <row r="87" spans="3:6" x14ac:dyDescent="0.25">
      <c r="C87" s="8">
        <v>46230</v>
      </c>
      <c r="D87" s="9" t="s">
        <v>178</v>
      </c>
      <c r="E87" s="9">
        <v>-500</v>
      </c>
      <c r="F87" s="10">
        <f t="shared" si="2"/>
        <v>0</v>
      </c>
    </row>
    <row r="88" spans="3:6" x14ac:dyDescent="0.25">
      <c r="C88" s="8">
        <v>46089</v>
      </c>
      <c r="D88" s="9" t="s">
        <v>3</v>
      </c>
      <c r="E88" s="9">
        <v>590</v>
      </c>
      <c r="F88" s="10">
        <f t="shared" si="2"/>
        <v>590</v>
      </c>
    </row>
    <row r="89" spans="3:6" x14ac:dyDescent="0.25">
      <c r="C89" s="8">
        <v>46089</v>
      </c>
      <c r="D89" s="9" t="s">
        <v>178</v>
      </c>
      <c r="E89" s="9">
        <v>-590</v>
      </c>
      <c r="F89" s="10">
        <f t="shared" si="2"/>
        <v>0</v>
      </c>
    </row>
    <row r="90" spans="3:6" x14ac:dyDescent="0.25">
      <c r="C90" s="8">
        <v>46240</v>
      </c>
      <c r="D90" s="9" t="s">
        <v>3</v>
      </c>
      <c r="E90" s="9">
        <v>600</v>
      </c>
      <c r="F90" s="10">
        <f t="shared" si="2"/>
        <v>600</v>
      </c>
    </row>
    <row r="91" spans="3:6" x14ac:dyDescent="0.25">
      <c r="C91" s="8">
        <v>46240</v>
      </c>
      <c r="D91" s="9" t="s">
        <v>178</v>
      </c>
      <c r="E91" s="9">
        <v>-600</v>
      </c>
      <c r="F91" s="10">
        <f t="shared" si="2"/>
        <v>0</v>
      </c>
    </row>
    <row r="92" spans="3:6" x14ac:dyDescent="0.25">
      <c r="C92" s="8">
        <v>46254</v>
      </c>
      <c r="D92" s="9" t="s">
        <v>3</v>
      </c>
      <c r="E92" s="9">
        <v>890</v>
      </c>
      <c r="F92" s="10">
        <f t="shared" si="2"/>
        <v>890</v>
      </c>
    </row>
    <row r="93" spans="3:6" x14ac:dyDescent="0.25">
      <c r="C93" s="8">
        <v>46254</v>
      </c>
      <c r="D93" s="9" t="s">
        <v>178</v>
      </c>
      <c r="E93" s="9">
        <v>-890</v>
      </c>
      <c r="F93" s="10">
        <f t="shared" si="2"/>
        <v>0</v>
      </c>
    </row>
    <row r="94" spans="3:6" x14ac:dyDescent="0.25">
      <c r="C94" s="8">
        <v>46265</v>
      </c>
      <c r="D94" s="9" t="s">
        <v>3</v>
      </c>
      <c r="E94" s="9">
        <v>890</v>
      </c>
      <c r="F94" s="10">
        <f t="shared" si="2"/>
        <v>890</v>
      </c>
    </row>
    <row r="95" spans="3:6" x14ac:dyDescent="0.25">
      <c r="C95" s="8">
        <v>46265</v>
      </c>
      <c r="D95" s="9" t="s">
        <v>178</v>
      </c>
      <c r="E95" s="9">
        <v>-890</v>
      </c>
      <c r="F95" s="10">
        <f t="shared" si="2"/>
        <v>0</v>
      </c>
    </row>
    <row r="96" spans="3:6" x14ac:dyDescent="0.25">
      <c r="C96" s="8">
        <v>46272</v>
      </c>
      <c r="D96" s="9" t="s">
        <v>3</v>
      </c>
      <c r="E96" s="9">
        <v>520</v>
      </c>
      <c r="F96" s="10">
        <f t="shared" si="2"/>
        <v>520</v>
      </c>
    </row>
    <row r="97" spans="3:6" x14ac:dyDescent="0.25">
      <c r="C97" s="8">
        <v>46272</v>
      </c>
      <c r="D97" s="9" t="s">
        <v>178</v>
      </c>
      <c r="E97" s="9">
        <v>-520</v>
      </c>
      <c r="F97" s="10">
        <f t="shared" si="2"/>
        <v>0</v>
      </c>
    </row>
    <row r="98" spans="3:6" x14ac:dyDescent="0.25">
      <c r="C98" s="9"/>
      <c r="D98" s="9"/>
      <c r="E98" s="9"/>
      <c r="F98" s="10">
        <f>F97+'CINTIA PEÑA'!D11</f>
        <v>1300</v>
      </c>
    </row>
    <row r="99" spans="3:6" x14ac:dyDescent="0.25">
      <c r="C99" s="9"/>
      <c r="D99" s="9"/>
      <c r="E99" s="9"/>
      <c r="F99" s="10">
        <f>F98+'CINTIA PEÑA'!D12</f>
        <v>0</v>
      </c>
    </row>
    <row r="100" spans="3:6" ht="14.25" customHeight="1" x14ac:dyDescent="0.25">
      <c r="C100" s="8"/>
      <c r="D100" s="9"/>
      <c r="E100" s="9"/>
      <c r="F100" s="10">
        <f t="shared" ref="F100:F113" si="3">F99+E100</f>
        <v>0</v>
      </c>
    </row>
    <row r="101" spans="3:6" ht="14.25" customHeight="1" x14ac:dyDescent="0.25">
      <c r="C101" s="8"/>
      <c r="D101" s="9"/>
      <c r="E101" s="9"/>
      <c r="F101" s="10">
        <f t="shared" si="3"/>
        <v>0</v>
      </c>
    </row>
    <row r="102" spans="3:6" ht="14.25" customHeight="1" x14ac:dyDescent="0.25">
      <c r="C102" s="8"/>
      <c r="D102" s="9"/>
      <c r="E102" s="9"/>
      <c r="F102" s="10">
        <f t="shared" si="3"/>
        <v>0</v>
      </c>
    </row>
    <row r="103" spans="3:6" ht="14.25" customHeight="1" x14ac:dyDescent="0.25">
      <c r="C103" s="8"/>
      <c r="D103" s="9"/>
      <c r="E103" s="9"/>
      <c r="F103" s="10">
        <f t="shared" si="3"/>
        <v>0</v>
      </c>
    </row>
    <row r="104" spans="3:6" ht="14.25" customHeight="1" x14ac:dyDescent="0.25">
      <c r="C104" s="8"/>
      <c r="D104" s="9"/>
      <c r="E104" s="9"/>
      <c r="F104" s="10">
        <f t="shared" si="3"/>
        <v>0</v>
      </c>
    </row>
    <row r="105" spans="3:6" ht="14.25" customHeight="1" x14ac:dyDescent="0.25">
      <c r="C105" s="8"/>
      <c r="D105" s="9"/>
      <c r="E105" s="9"/>
      <c r="F105" s="10">
        <f t="shared" si="3"/>
        <v>0</v>
      </c>
    </row>
    <row r="106" spans="3:6" ht="14.25" customHeight="1" x14ac:dyDescent="0.25">
      <c r="C106" s="8"/>
      <c r="D106" s="9"/>
      <c r="E106" s="9"/>
      <c r="F106" s="10">
        <f t="shared" si="3"/>
        <v>0</v>
      </c>
    </row>
    <row r="107" spans="3:6" x14ac:dyDescent="0.25">
      <c r="C107" s="8"/>
      <c r="D107" s="9"/>
      <c r="E107" s="9"/>
      <c r="F107" s="10">
        <f t="shared" si="3"/>
        <v>0</v>
      </c>
    </row>
    <row r="108" spans="3:6" x14ac:dyDescent="0.25">
      <c r="C108" s="8"/>
      <c r="D108" s="9"/>
      <c r="E108" s="9"/>
      <c r="F108" s="10">
        <f t="shared" si="3"/>
        <v>0</v>
      </c>
    </row>
    <row r="109" spans="3:6" x14ac:dyDescent="0.25">
      <c r="C109" s="8"/>
      <c r="D109" s="9"/>
      <c r="E109" s="9"/>
      <c r="F109" s="10">
        <f t="shared" si="3"/>
        <v>0</v>
      </c>
    </row>
    <row r="110" spans="3:6" x14ac:dyDescent="0.25">
      <c r="C110" s="8"/>
      <c r="D110" s="9"/>
      <c r="E110" s="9"/>
      <c r="F110" s="10">
        <f t="shared" si="3"/>
        <v>0</v>
      </c>
    </row>
    <row r="111" spans="3:6" x14ac:dyDescent="0.25">
      <c r="C111" s="8"/>
      <c r="D111" s="9"/>
      <c r="E111" s="9"/>
      <c r="F111" s="10">
        <f t="shared" si="3"/>
        <v>0</v>
      </c>
    </row>
    <row r="112" spans="3:6" x14ac:dyDescent="0.25">
      <c r="C112" s="9"/>
      <c r="D112" s="9"/>
      <c r="E112" s="9"/>
      <c r="F112" s="10">
        <f t="shared" si="3"/>
        <v>0</v>
      </c>
    </row>
    <row r="113" spans="3:6" x14ac:dyDescent="0.25">
      <c r="C113" s="9"/>
      <c r="D113" s="9"/>
      <c r="E113" s="9"/>
      <c r="F113" s="10">
        <f t="shared" si="3"/>
        <v>0</v>
      </c>
    </row>
  </sheetData>
  <mergeCells count="1">
    <mergeCell ref="D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05D9B-0D53-4D22-8B03-0220A5C26078}">
  <dimension ref="G3:J32"/>
  <sheetViews>
    <sheetView topLeftCell="A3" workbookViewId="0">
      <selection activeCell="J14" sqref="J14"/>
    </sheetView>
  </sheetViews>
  <sheetFormatPr baseColWidth="10" defaultRowHeight="15" x14ac:dyDescent="0.25"/>
  <cols>
    <col min="7" max="7" width="17.7109375" customWidth="1"/>
    <col min="8" max="8" width="28.42578125" customWidth="1"/>
    <col min="9" max="9" width="18.28515625" customWidth="1"/>
    <col min="10" max="10" width="18.5703125" customWidth="1"/>
  </cols>
  <sheetData>
    <row r="3" spans="7:10" ht="18.75" x14ac:dyDescent="0.3">
      <c r="G3" s="49" t="s">
        <v>1</v>
      </c>
      <c r="H3" s="101" t="s">
        <v>602</v>
      </c>
      <c r="I3" s="102"/>
      <c r="J3" s="102"/>
    </row>
    <row r="4" spans="7:10" ht="18.75" x14ac:dyDescent="0.3">
      <c r="G4" s="50" t="s">
        <v>11</v>
      </c>
      <c r="H4" s="48" t="s">
        <v>601</v>
      </c>
      <c r="I4" s="48"/>
      <c r="J4" s="48"/>
    </row>
    <row r="5" spans="7:10" ht="18.75" x14ac:dyDescent="0.3">
      <c r="G5" s="51"/>
      <c r="H5" s="1"/>
      <c r="I5" s="52"/>
      <c r="J5" s="52"/>
    </row>
    <row r="6" spans="7:10" ht="18.75" x14ac:dyDescent="0.3">
      <c r="G6" s="49" t="s">
        <v>2</v>
      </c>
      <c r="H6" s="49" t="s">
        <v>173</v>
      </c>
      <c r="I6" s="53" t="s">
        <v>4</v>
      </c>
      <c r="J6" s="53" t="s">
        <v>5</v>
      </c>
    </row>
    <row r="7" spans="7:10" ht="18.75" x14ac:dyDescent="0.3">
      <c r="G7" s="54">
        <v>46282</v>
      </c>
      <c r="H7" s="55" t="s">
        <v>3</v>
      </c>
      <c r="I7" s="56">
        <v>1200</v>
      </c>
      <c r="J7" s="56">
        <f>I7</f>
        <v>1200</v>
      </c>
    </row>
    <row r="8" spans="7:10" ht="18.75" x14ac:dyDescent="0.3">
      <c r="G8" s="54">
        <v>46282</v>
      </c>
      <c r="H8" s="55" t="s">
        <v>178</v>
      </c>
      <c r="I8" s="56">
        <v>-1200</v>
      </c>
      <c r="J8" s="56">
        <f>J7+I8</f>
        <v>0</v>
      </c>
    </row>
    <row r="9" spans="7:10" ht="18.75" x14ac:dyDescent="0.3">
      <c r="G9" s="54">
        <v>46286</v>
      </c>
      <c r="H9" s="55" t="s">
        <v>3</v>
      </c>
      <c r="I9" s="56">
        <v>2410</v>
      </c>
      <c r="J9" s="56">
        <f t="shared" ref="J9:J32" si="0">J8+I9</f>
        <v>2410</v>
      </c>
    </row>
    <row r="10" spans="7:10" ht="18.75" x14ac:dyDescent="0.3">
      <c r="G10" s="54">
        <v>46286</v>
      </c>
      <c r="H10" s="55" t="s">
        <v>178</v>
      </c>
      <c r="I10" s="56">
        <v>-2410</v>
      </c>
      <c r="J10" s="56">
        <f t="shared" si="0"/>
        <v>0</v>
      </c>
    </row>
    <row r="11" spans="7:10" ht="18.75" x14ac:dyDescent="0.3">
      <c r="G11" s="54">
        <v>46289</v>
      </c>
      <c r="H11" s="55" t="s">
        <v>3</v>
      </c>
      <c r="I11" s="56">
        <v>340</v>
      </c>
      <c r="J11" s="56">
        <f t="shared" si="0"/>
        <v>340</v>
      </c>
    </row>
    <row r="12" spans="7:10" ht="18.75" x14ac:dyDescent="0.3">
      <c r="G12" s="54">
        <v>46289</v>
      </c>
      <c r="H12" s="55" t="s">
        <v>178</v>
      </c>
      <c r="I12" s="56">
        <v>-340</v>
      </c>
      <c r="J12" s="56">
        <f t="shared" si="0"/>
        <v>0</v>
      </c>
    </row>
    <row r="13" spans="7:10" ht="18.75" x14ac:dyDescent="0.3">
      <c r="G13" s="54">
        <v>46296</v>
      </c>
      <c r="H13" s="55" t="s">
        <v>3</v>
      </c>
      <c r="I13" s="56">
        <v>1280</v>
      </c>
      <c r="J13" s="56">
        <f t="shared" si="0"/>
        <v>1280</v>
      </c>
    </row>
    <row r="14" spans="7:10" ht="18.75" x14ac:dyDescent="0.3">
      <c r="G14" s="54">
        <v>46296</v>
      </c>
      <c r="H14" s="55" t="s">
        <v>178</v>
      </c>
      <c r="I14" s="56">
        <v>-1280</v>
      </c>
      <c r="J14" s="56">
        <f t="shared" si="0"/>
        <v>0</v>
      </c>
    </row>
    <row r="15" spans="7:10" ht="18.75" x14ac:dyDescent="0.3">
      <c r="G15" s="54"/>
      <c r="H15" s="55"/>
      <c r="I15" s="56"/>
      <c r="J15" s="56">
        <f t="shared" si="0"/>
        <v>0</v>
      </c>
    </row>
    <row r="16" spans="7:10" ht="18.75" x14ac:dyDescent="0.3">
      <c r="G16" s="54"/>
      <c r="H16" s="55"/>
      <c r="I16" s="56"/>
      <c r="J16" s="56">
        <f t="shared" si="0"/>
        <v>0</v>
      </c>
    </row>
    <row r="17" spans="7:10" ht="18.75" x14ac:dyDescent="0.3">
      <c r="G17" s="54"/>
      <c r="H17" s="55"/>
      <c r="I17" s="56"/>
      <c r="J17" s="56">
        <f t="shared" si="0"/>
        <v>0</v>
      </c>
    </row>
    <row r="18" spans="7:10" ht="18.75" x14ac:dyDescent="0.3">
      <c r="G18" s="54"/>
      <c r="H18" s="55"/>
      <c r="I18" s="56"/>
      <c r="J18" s="56">
        <f t="shared" si="0"/>
        <v>0</v>
      </c>
    </row>
    <row r="19" spans="7:10" ht="18.75" x14ac:dyDescent="0.3">
      <c r="G19" s="54"/>
      <c r="H19" s="55"/>
      <c r="I19" s="56"/>
      <c r="J19" s="56">
        <f t="shared" si="0"/>
        <v>0</v>
      </c>
    </row>
    <row r="20" spans="7:10" ht="18.75" x14ac:dyDescent="0.3">
      <c r="G20" s="54"/>
      <c r="H20" s="55"/>
      <c r="I20" s="56"/>
      <c r="J20" s="56">
        <f t="shared" si="0"/>
        <v>0</v>
      </c>
    </row>
    <row r="21" spans="7:10" ht="18.75" x14ac:dyDescent="0.3">
      <c r="G21" s="54"/>
      <c r="H21" s="55"/>
      <c r="I21" s="56"/>
      <c r="J21" s="56">
        <f t="shared" si="0"/>
        <v>0</v>
      </c>
    </row>
    <row r="22" spans="7:10" ht="18.75" x14ac:dyDescent="0.3">
      <c r="G22" s="54"/>
      <c r="H22" s="55"/>
      <c r="I22" s="56"/>
      <c r="J22" s="56">
        <f t="shared" si="0"/>
        <v>0</v>
      </c>
    </row>
    <row r="23" spans="7:10" ht="18.75" x14ac:dyDescent="0.3">
      <c r="G23" s="54"/>
      <c r="H23" s="55"/>
      <c r="I23" s="56"/>
      <c r="J23" s="56">
        <f t="shared" si="0"/>
        <v>0</v>
      </c>
    </row>
    <row r="24" spans="7:10" ht="18.75" x14ac:dyDescent="0.3">
      <c r="G24" s="54"/>
      <c r="H24" s="55"/>
      <c r="I24" s="56"/>
      <c r="J24" s="56">
        <f t="shared" si="0"/>
        <v>0</v>
      </c>
    </row>
    <row r="25" spans="7:10" ht="18.75" x14ac:dyDescent="0.3">
      <c r="G25" s="54"/>
      <c r="H25" s="55"/>
      <c r="I25" s="56"/>
      <c r="J25" s="56">
        <f t="shared" si="0"/>
        <v>0</v>
      </c>
    </row>
    <row r="26" spans="7:10" ht="18.75" x14ac:dyDescent="0.3">
      <c r="G26" s="54"/>
      <c r="H26" s="55"/>
      <c r="I26" s="56"/>
      <c r="J26" s="56">
        <f t="shared" si="0"/>
        <v>0</v>
      </c>
    </row>
    <row r="27" spans="7:10" ht="18.75" x14ac:dyDescent="0.3">
      <c r="G27" s="54"/>
      <c r="H27" s="55"/>
      <c r="I27" s="56"/>
      <c r="J27" s="56">
        <f t="shared" si="0"/>
        <v>0</v>
      </c>
    </row>
    <row r="28" spans="7:10" ht="18.75" x14ac:dyDescent="0.3">
      <c r="G28" s="54"/>
      <c r="H28" s="55"/>
      <c r="I28" s="56"/>
      <c r="J28" s="56">
        <f t="shared" si="0"/>
        <v>0</v>
      </c>
    </row>
    <row r="29" spans="7:10" ht="18.75" x14ac:dyDescent="0.3">
      <c r="G29" s="54"/>
      <c r="H29" s="55"/>
      <c r="I29" s="56"/>
      <c r="J29" s="56">
        <f t="shared" si="0"/>
        <v>0</v>
      </c>
    </row>
    <row r="30" spans="7:10" ht="18.75" x14ac:dyDescent="0.3">
      <c r="G30" s="54"/>
      <c r="H30" s="55"/>
      <c r="I30" s="56"/>
      <c r="J30" s="56">
        <f t="shared" si="0"/>
        <v>0</v>
      </c>
    </row>
    <row r="31" spans="7:10" ht="18.75" x14ac:dyDescent="0.3">
      <c r="G31" s="54"/>
      <c r="H31" s="55"/>
      <c r="I31" s="56"/>
      <c r="J31" s="56">
        <f t="shared" si="0"/>
        <v>0</v>
      </c>
    </row>
    <row r="32" spans="7:10" ht="18.75" x14ac:dyDescent="0.3">
      <c r="G32" s="54"/>
      <c r="H32" s="55"/>
      <c r="I32" s="56"/>
      <c r="J32" s="56">
        <f t="shared" si="0"/>
        <v>0</v>
      </c>
    </row>
  </sheetData>
  <mergeCells count="1">
    <mergeCell ref="H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C9AF6-CE3E-459B-BE1C-45EBE9A0D219}">
  <sheetPr>
    <tabColor theme="2" tint="-0.249977111117893"/>
  </sheetPr>
  <dimension ref="A4:G188"/>
  <sheetViews>
    <sheetView topLeftCell="A45" workbookViewId="0">
      <selection activeCell="A70" sqref="A70"/>
    </sheetView>
  </sheetViews>
  <sheetFormatPr baseColWidth="10" defaultRowHeight="15" x14ac:dyDescent="0.25"/>
  <cols>
    <col min="1" max="1" width="28.28515625" customWidth="1"/>
    <col min="2" max="2" width="27.140625" customWidth="1"/>
    <col min="3" max="3" width="23.42578125" style="6" customWidth="1"/>
    <col min="4" max="4" width="21.85546875" style="6" customWidth="1"/>
  </cols>
  <sheetData>
    <row r="4" spans="1:7" ht="18" x14ac:dyDescent="0.25">
      <c r="A4" s="98" t="s">
        <v>0</v>
      </c>
      <c r="B4" s="98"/>
      <c r="C4" s="98"/>
      <c r="D4" s="98"/>
      <c r="E4" s="1"/>
      <c r="F4" s="1"/>
      <c r="G4" s="1"/>
    </row>
    <row r="6" spans="1:7" x14ac:dyDescent="0.25">
      <c r="A6" s="2" t="s">
        <v>1</v>
      </c>
      <c r="B6" s="96" t="s">
        <v>107</v>
      </c>
      <c r="C6" s="97"/>
      <c r="D6" s="97"/>
    </row>
    <row r="7" spans="1:7" x14ac:dyDescent="0.25">
      <c r="A7" s="3"/>
      <c r="B7" s="4"/>
      <c r="C7" s="4"/>
      <c r="D7" s="4"/>
    </row>
    <row r="8" spans="1:7" x14ac:dyDescent="0.25">
      <c r="B8" s="5"/>
    </row>
    <row r="9" spans="1:7" x14ac:dyDescent="0.25">
      <c r="A9" s="2" t="s">
        <v>2</v>
      </c>
      <c r="B9" s="2" t="s">
        <v>3</v>
      </c>
      <c r="C9" s="7" t="s">
        <v>4</v>
      </c>
      <c r="D9" s="7" t="s">
        <v>5</v>
      </c>
    </row>
    <row r="10" spans="1:7" x14ac:dyDescent="0.25">
      <c r="A10" s="8">
        <v>45859</v>
      </c>
      <c r="B10" s="9" t="s">
        <v>3</v>
      </c>
      <c r="C10" s="10">
        <v>610</v>
      </c>
      <c r="D10" s="10">
        <f>C10</f>
        <v>610</v>
      </c>
    </row>
    <row r="11" spans="1:7" x14ac:dyDescent="0.25">
      <c r="A11" s="8">
        <v>45862</v>
      </c>
      <c r="B11" s="9" t="s">
        <v>3</v>
      </c>
      <c r="C11" s="10">
        <v>700</v>
      </c>
      <c r="D11" s="10">
        <f>D10+C11</f>
        <v>1310</v>
      </c>
    </row>
    <row r="12" spans="1:7" x14ac:dyDescent="0.25">
      <c r="A12" s="8">
        <v>45862</v>
      </c>
      <c r="B12" s="9" t="s">
        <v>74</v>
      </c>
      <c r="C12" s="10">
        <v>-1000</v>
      </c>
      <c r="D12" s="10">
        <f t="shared" ref="D12:D71" si="0">D11+C12</f>
        <v>310</v>
      </c>
    </row>
    <row r="13" spans="1:7" x14ac:dyDescent="0.25">
      <c r="A13" s="8">
        <v>45866</v>
      </c>
      <c r="B13" s="9" t="s">
        <v>3</v>
      </c>
      <c r="C13" s="10">
        <v>810</v>
      </c>
      <c r="D13" s="10">
        <f t="shared" si="0"/>
        <v>1120</v>
      </c>
    </row>
    <row r="14" spans="1:7" x14ac:dyDescent="0.25">
      <c r="A14" s="8">
        <v>45866</v>
      </c>
      <c r="B14" s="9" t="s">
        <v>74</v>
      </c>
      <c r="C14" s="10">
        <v>-1120</v>
      </c>
      <c r="D14" s="10">
        <f t="shared" si="0"/>
        <v>0</v>
      </c>
    </row>
    <row r="15" spans="1:7" x14ac:dyDescent="0.25">
      <c r="A15" s="8">
        <v>45869</v>
      </c>
      <c r="B15" s="9" t="s">
        <v>3</v>
      </c>
      <c r="C15" s="10">
        <v>830</v>
      </c>
      <c r="D15" s="10">
        <f t="shared" si="0"/>
        <v>830</v>
      </c>
    </row>
    <row r="16" spans="1:7" x14ac:dyDescent="0.25">
      <c r="A16" s="8">
        <v>45873</v>
      </c>
      <c r="B16" s="9" t="s">
        <v>3</v>
      </c>
      <c r="C16" s="10">
        <v>640</v>
      </c>
      <c r="D16" s="10">
        <f t="shared" si="0"/>
        <v>1470</v>
      </c>
    </row>
    <row r="17" spans="1:4" x14ac:dyDescent="0.25">
      <c r="A17" s="14">
        <v>45876</v>
      </c>
      <c r="B17" s="9" t="s">
        <v>3</v>
      </c>
      <c r="C17" s="10">
        <v>1310</v>
      </c>
      <c r="D17" s="10">
        <f t="shared" si="0"/>
        <v>2780</v>
      </c>
    </row>
    <row r="18" spans="1:4" x14ac:dyDescent="0.25">
      <c r="A18" s="8">
        <v>45876</v>
      </c>
      <c r="B18" s="9" t="s">
        <v>74</v>
      </c>
      <c r="C18" s="10">
        <v>-2130</v>
      </c>
      <c r="D18" s="10">
        <f t="shared" si="0"/>
        <v>650</v>
      </c>
    </row>
    <row r="19" spans="1:4" x14ac:dyDescent="0.25">
      <c r="A19" s="8">
        <v>45880</v>
      </c>
      <c r="B19" s="9" t="s">
        <v>3</v>
      </c>
      <c r="C19" s="10">
        <v>1520</v>
      </c>
      <c r="D19" s="10">
        <f t="shared" si="0"/>
        <v>2170</v>
      </c>
    </row>
    <row r="20" spans="1:4" x14ac:dyDescent="0.25">
      <c r="A20" s="8">
        <v>45880</v>
      </c>
      <c r="B20" s="9" t="s">
        <v>74</v>
      </c>
      <c r="C20" s="10">
        <v>-1520</v>
      </c>
      <c r="D20" s="10">
        <f>D19+C20</f>
        <v>650</v>
      </c>
    </row>
    <row r="21" spans="1:4" x14ac:dyDescent="0.25">
      <c r="A21" s="8">
        <v>45890</v>
      </c>
      <c r="B21" s="9" t="s">
        <v>3</v>
      </c>
      <c r="C21" s="10">
        <v>500</v>
      </c>
      <c r="D21" s="10">
        <f t="shared" si="0"/>
        <v>1150</v>
      </c>
    </row>
    <row r="22" spans="1:4" x14ac:dyDescent="0.25">
      <c r="A22" s="8">
        <v>45901</v>
      </c>
      <c r="B22" s="9" t="s">
        <v>3</v>
      </c>
      <c r="C22" s="10">
        <v>400</v>
      </c>
      <c r="D22" s="10">
        <f t="shared" si="0"/>
        <v>1550</v>
      </c>
    </row>
    <row r="23" spans="1:4" x14ac:dyDescent="0.25">
      <c r="A23" s="8">
        <v>45901</v>
      </c>
      <c r="B23" s="9" t="s">
        <v>55</v>
      </c>
      <c r="C23" s="10">
        <v>-510</v>
      </c>
      <c r="D23" s="10">
        <f t="shared" si="0"/>
        <v>1040</v>
      </c>
    </row>
    <row r="24" spans="1:4" x14ac:dyDescent="0.25">
      <c r="A24" s="8">
        <v>45904</v>
      </c>
      <c r="B24" s="9" t="s">
        <v>3</v>
      </c>
      <c r="C24" s="10">
        <v>380</v>
      </c>
      <c r="D24" s="10">
        <f t="shared" si="0"/>
        <v>1420</v>
      </c>
    </row>
    <row r="25" spans="1:4" x14ac:dyDescent="0.25">
      <c r="A25" s="8"/>
      <c r="B25" s="9" t="s">
        <v>74</v>
      </c>
      <c r="C25" s="10">
        <v>-640</v>
      </c>
      <c r="D25" s="10">
        <f t="shared" si="0"/>
        <v>780</v>
      </c>
    </row>
    <row r="26" spans="1:4" x14ac:dyDescent="0.25">
      <c r="A26" s="8">
        <v>45905</v>
      </c>
      <c r="B26" s="9" t="s">
        <v>3</v>
      </c>
      <c r="C26" s="10">
        <v>730</v>
      </c>
      <c r="D26" s="10">
        <f>D25+C26</f>
        <v>1510</v>
      </c>
    </row>
    <row r="27" spans="1:4" x14ac:dyDescent="0.25">
      <c r="A27" s="8">
        <v>45905</v>
      </c>
      <c r="B27" s="9" t="s">
        <v>55</v>
      </c>
      <c r="C27" s="10">
        <v>-1510</v>
      </c>
      <c r="D27" s="10">
        <f t="shared" si="0"/>
        <v>0</v>
      </c>
    </row>
    <row r="28" spans="1:4" x14ac:dyDescent="0.25">
      <c r="A28" s="8">
        <v>45908</v>
      </c>
      <c r="B28" s="9" t="s">
        <v>3</v>
      </c>
      <c r="C28" s="10">
        <v>830</v>
      </c>
      <c r="D28" s="10">
        <f t="shared" si="0"/>
        <v>830</v>
      </c>
    </row>
    <row r="29" spans="1:4" x14ac:dyDescent="0.25">
      <c r="A29" s="8">
        <v>45908</v>
      </c>
      <c r="B29" s="9" t="s">
        <v>7</v>
      </c>
      <c r="C29" s="10">
        <v>-500</v>
      </c>
      <c r="D29" s="10">
        <f t="shared" si="0"/>
        <v>330</v>
      </c>
    </row>
    <row r="30" spans="1:4" x14ac:dyDescent="0.25">
      <c r="A30" s="8">
        <v>45911</v>
      </c>
      <c r="B30" s="9" t="s">
        <v>3</v>
      </c>
      <c r="C30" s="10">
        <v>950</v>
      </c>
      <c r="D30" s="10">
        <f t="shared" si="0"/>
        <v>1280</v>
      </c>
    </row>
    <row r="31" spans="1:4" x14ac:dyDescent="0.25">
      <c r="A31" s="8">
        <v>45911</v>
      </c>
      <c r="B31" s="9" t="s">
        <v>74</v>
      </c>
      <c r="C31" s="10">
        <v>-1280</v>
      </c>
      <c r="D31" s="10">
        <f t="shared" si="0"/>
        <v>0</v>
      </c>
    </row>
    <row r="32" spans="1:4" x14ac:dyDescent="0.25">
      <c r="A32" s="8">
        <v>45943</v>
      </c>
      <c r="B32" s="9" t="s">
        <v>3</v>
      </c>
      <c r="C32" s="10">
        <v>280</v>
      </c>
      <c r="D32" s="10">
        <f t="shared" si="0"/>
        <v>280</v>
      </c>
    </row>
    <row r="33" spans="1:6" x14ac:dyDescent="0.25">
      <c r="A33" s="8">
        <v>45943</v>
      </c>
      <c r="B33" s="9" t="s">
        <v>37</v>
      </c>
      <c r="C33" s="10">
        <v>-280</v>
      </c>
      <c r="D33" s="10">
        <f t="shared" si="0"/>
        <v>0</v>
      </c>
      <c r="F33" s="9"/>
    </row>
    <row r="34" spans="1:6" x14ac:dyDescent="0.25">
      <c r="A34" s="8">
        <v>45971</v>
      </c>
      <c r="B34" s="9" t="s">
        <v>3</v>
      </c>
      <c r="C34" s="10">
        <v>980</v>
      </c>
      <c r="D34" s="10">
        <f t="shared" si="0"/>
        <v>980</v>
      </c>
    </row>
    <row r="35" spans="1:6" x14ac:dyDescent="0.25">
      <c r="A35" s="8">
        <v>45971</v>
      </c>
      <c r="B35" s="9" t="s">
        <v>178</v>
      </c>
      <c r="C35" s="10">
        <v>-980</v>
      </c>
      <c r="D35" s="10">
        <f t="shared" si="0"/>
        <v>0</v>
      </c>
    </row>
    <row r="36" spans="1:6" x14ac:dyDescent="0.25">
      <c r="A36" s="8">
        <v>46030</v>
      </c>
      <c r="B36" s="9" t="s">
        <v>3</v>
      </c>
      <c r="C36" s="10">
        <v>910</v>
      </c>
      <c r="D36" s="10">
        <f t="shared" si="0"/>
        <v>910</v>
      </c>
    </row>
    <row r="37" spans="1:6" x14ac:dyDescent="0.25">
      <c r="A37" s="8">
        <v>46030</v>
      </c>
      <c r="B37" s="9" t="s">
        <v>178</v>
      </c>
      <c r="C37" s="10">
        <v>-910</v>
      </c>
      <c r="D37" s="10">
        <f t="shared" si="0"/>
        <v>0</v>
      </c>
    </row>
    <row r="38" spans="1:6" x14ac:dyDescent="0.25">
      <c r="A38" s="8">
        <v>46086</v>
      </c>
      <c r="B38" s="9" t="s">
        <v>3</v>
      </c>
      <c r="C38" s="10">
        <v>3090</v>
      </c>
      <c r="D38" s="10">
        <f t="shared" si="0"/>
        <v>3090</v>
      </c>
    </row>
    <row r="39" spans="1:6" x14ac:dyDescent="0.25">
      <c r="A39" s="8">
        <v>46086</v>
      </c>
      <c r="B39" s="9" t="s">
        <v>178</v>
      </c>
      <c r="C39" s="10">
        <v>-3090</v>
      </c>
      <c r="D39" s="10">
        <f t="shared" si="0"/>
        <v>0</v>
      </c>
    </row>
    <row r="40" spans="1:6" x14ac:dyDescent="0.25">
      <c r="A40" s="8">
        <v>46090</v>
      </c>
      <c r="B40" s="9" t="s">
        <v>3</v>
      </c>
      <c r="C40" s="10">
        <v>870</v>
      </c>
      <c r="D40" s="10">
        <f t="shared" si="0"/>
        <v>870</v>
      </c>
    </row>
    <row r="41" spans="1:6" x14ac:dyDescent="0.25">
      <c r="A41" s="8">
        <v>46090</v>
      </c>
      <c r="B41" s="9" t="s">
        <v>178</v>
      </c>
      <c r="C41" s="10">
        <v>-870</v>
      </c>
      <c r="D41" s="10">
        <f t="shared" si="0"/>
        <v>0</v>
      </c>
    </row>
    <row r="42" spans="1:6" x14ac:dyDescent="0.25">
      <c r="A42" s="8">
        <v>46101</v>
      </c>
      <c r="B42" s="9" t="s">
        <v>129</v>
      </c>
      <c r="C42" s="10">
        <v>1760</v>
      </c>
      <c r="D42" s="10">
        <f t="shared" si="0"/>
        <v>1760</v>
      </c>
    </row>
    <row r="43" spans="1:6" x14ac:dyDescent="0.25">
      <c r="A43" s="8">
        <v>46104</v>
      </c>
      <c r="B43" s="9" t="s">
        <v>178</v>
      </c>
      <c r="C43" s="10">
        <v>-1760</v>
      </c>
      <c r="D43" s="10">
        <f t="shared" si="0"/>
        <v>0</v>
      </c>
    </row>
    <row r="44" spans="1:6" x14ac:dyDescent="0.25">
      <c r="A44" s="8">
        <v>46128</v>
      </c>
      <c r="B44" s="9" t="s">
        <v>3</v>
      </c>
      <c r="C44" s="10">
        <v>1020</v>
      </c>
      <c r="D44" s="10">
        <f t="shared" si="0"/>
        <v>1020</v>
      </c>
    </row>
    <row r="45" spans="1:6" x14ac:dyDescent="0.25">
      <c r="A45" s="8">
        <v>46128</v>
      </c>
      <c r="B45" s="9" t="s">
        <v>178</v>
      </c>
      <c r="C45" s="10">
        <v>-1020</v>
      </c>
      <c r="D45" s="10">
        <f t="shared" si="0"/>
        <v>0</v>
      </c>
    </row>
    <row r="46" spans="1:6" x14ac:dyDescent="0.25">
      <c r="A46" s="8">
        <v>46156</v>
      </c>
      <c r="B46" s="9" t="s">
        <v>3</v>
      </c>
      <c r="C46" s="10">
        <v>680</v>
      </c>
      <c r="D46" s="10">
        <f t="shared" si="0"/>
        <v>680</v>
      </c>
    </row>
    <row r="47" spans="1:6" x14ac:dyDescent="0.25">
      <c r="A47" s="8">
        <v>46156</v>
      </c>
      <c r="B47" s="9" t="s">
        <v>178</v>
      </c>
      <c r="C47" s="10">
        <v>-680</v>
      </c>
      <c r="D47" s="10">
        <f t="shared" si="0"/>
        <v>0</v>
      </c>
    </row>
    <row r="48" spans="1:6" x14ac:dyDescent="0.25">
      <c r="A48" s="8">
        <v>46170</v>
      </c>
      <c r="B48" s="9" t="s">
        <v>3</v>
      </c>
      <c r="C48" s="10">
        <v>400</v>
      </c>
      <c r="D48" s="10">
        <f t="shared" si="0"/>
        <v>400</v>
      </c>
    </row>
    <row r="49" spans="1:4" x14ac:dyDescent="0.25">
      <c r="A49" s="8">
        <v>46170</v>
      </c>
      <c r="B49" s="9" t="s">
        <v>178</v>
      </c>
      <c r="C49" s="10">
        <v>-400</v>
      </c>
      <c r="D49" s="10">
        <f t="shared" si="0"/>
        <v>0</v>
      </c>
    </row>
    <row r="50" spans="1:4" x14ac:dyDescent="0.25">
      <c r="A50" s="8">
        <v>46177</v>
      </c>
      <c r="B50" s="9" t="s">
        <v>3</v>
      </c>
      <c r="C50" s="10">
        <v>500</v>
      </c>
      <c r="D50" s="10">
        <f t="shared" si="0"/>
        <v>500</v>
      </c>
    </row>
    <row r="51" spans="1:4" x14ac:dyDescent="0.25">
      <c r="A51" s="8">
        <v>46177</v>
      </c>
      <c r="B51" s="9" t="s">
        <v>178</v>
      </c>
      <c r="C51" s="10">
        <v>-500</v>
      </c>
      <c r="D51" s="10">
        <f t="shared" si="0"/>
        <v>0</v>
      </c>
    </row>
    <row r="52" spans="1:4" x14ac:dyDescent="0.25">
      <c r="A52" s="8">
        <v>46198</v>
      </c>
      <c r="B52" s="9" t="s">
        <v>3</v>
      </c>
      <c r="C52" s="10">
        <v>650</v>
      </c>
      <c r="D52" s="10">
        <f t="shared" si="0"/>
        <v>650</v>
      </c>
    </row>
    <row r="53" spans="1:4" x14ac:dyDescent="0.25">
      <c r="A53" s="8">
        <v>46198</v>
      </c>
      <c r="B53" s="9" t="s">
        <v>37</v>
      </c>
      <c r="C53" s="10">
        <v>-650</v>
      </c>
      <c r="D53" s="10">
        <f t="shared" si="0"/>
        <v>0</v>
      </c>
    </row>
    <row r="54" spans="1:4" x14ac:dyDescent="0.25">
      <c r="A54" s="8">
        <v>46226</v>
      </c>
      <c r="B54" s="9" t="s">
        <v>3</v>
      </c>
      <c r="C54" s="10">
        <f>600+900+350+280</f>
        <v>2130</v>
      </c>
      <c r="D54" s="10">
        <f t="shared" si="0"/>
        <v>2130</v>
      </c>
    </row>
    <row r="55" spans="1:4" x14ac:dyDescent="0.25">
      <c r="A55" s="8">
        <v>46226</v>
      </c>
      <c r="B55" s="9" t="s">
        <v>178</v>
      </c>
      <c r="C55" s="10">
        <v>-2310</v>
      </c>
      <c r="D55" s="10">
        <f t="shared" si="0"/>
        <v>-180</v>
      </c>
    </row>
    <row r="56" spans="1:4" x14ac:dyDescent="0.25">
      <c r="A56" s="8">
        <v>46230</v>
      </c>
      <c r="B56" s="9" t="s">
        <v>3</v>
      </c>
      <c r="C56" s="9">
        <v>1930</v>
      </c>
      <c r="D56" s="10">
        <f t="shared" si="0"/>
        <v>1750</v>
      </c>
    </row>
    <row r="57" spans="1:4" x14ac:dyDescent="0.25">
      <c r="A57" s="8">
        <v>46230</v>
      </c>
      <c r="B57" s="9" t="s">
        <v>178</v>
      </c>
      <c r="C57" s="9">
        <v>-1930</v>
      </c>
      <c r="D57" s="10">
        <f t="shared" si="0"/>
        <v>-180</v>
      </c>
    </row>
    <row r="58" spans="1:4" x14ac:dyDescent="0.25">
      <c r="A58" s="8">
        <v>46233</v>
      </c>
      <c r="B58" s="9" t="s">
        <v>3</v>
      </c>
      <c r="C58" s="10">
        <v>540</v>
      </c>
      <c r="D58" s="10">
        <f t="shared" si="0"/>
        <v>360</v>
      </c>
    </row>
    <row r="59" spans="1:4" x14ac:dyDescent="0.25">
      <c r="A59" s="8">
        <v>46233</v>
      </c>
      <c r="B59" s="9" t="s">
        <v>178</v>
      </c>
      <c r="C59" s="10">
        <v>-540</v>
      </c>
      <c r="D59" s="10">
        <f t="shared" si="0"/>
        <v>-180</v>
      </c>
    </row>
    <row r="60" spans="1:4" x14ac:dyDescent="0.25">
      <c r="A60" s="8">
        <v>46244</v>
      </c>
      <c r="B60" s="9" t="s">
        <v>3</v>
      </c>
      <c r="C60" s="10">
        <v>1970</v>
      </c>
      <c r="D60" s="10">
        <f t="shared" si="0"/>
        <v>1790</v>
      </c>
    </row>
    <row r="61" spans="1:4" x14ac:dyDescent="0.25">
      <c r="A61" s="8">
        <v>46244</v>
      </c>
      <c r="B61" s="9" t="s">
        <v>178</v>
      </c>
      <c r="C61" s="10">
        <v>-1970</v>
      </c>
      <c r="D61" s="10">
        <f t="shared" si="0"/>
        <v>-180</v>
      </c>
    </row>
    <row r="62" spans="1:4" x14ac:dyDescent="0.25">
      <c r="A62" s="8">
        <v>46251</v>
      </c>
      <c r="B62" s="9" t="s">
        <v>3</v>
      </c>
      <c r="C62" s="10">
        <v>1890</v>
      </c>
      <c r="D62" s="10">
        <f t="shared" si="0"/>
        <v>1710</v>
      </c>
    </row>
    <row r="63" spans="1:4" x14ac:dyDescent="0.25">
      <c r="A63" s="8">
        <v>46251</v>
      </c>
      <c r="B63" s="9" t="s">
        <v>178</v>
      </c>
      <c r="C63" s="10">
        <v>-1890</v>
      </c>
      <c r="D63" s="10">
        <f t="shared" si="0"/>
        <v>-180</v>
      </c>
    </row>
    <row r="64" spans="1:4" x14ac:dyDescent="0.25">
      <c r="A64" s="8">
        <v>46261</v>
      </c>
      <c r="B64" s="9" t="s">
        <v>3</v>
      </c>
      <c r="C64" s="10">
        <v>470</v>
      </c>
      <c r="D64" s="10">
        <f t="shared" si="0"/>
        <v>290</v>
      </c>
    </row>
    <row r="65" spans="1:4" x14ac:dyDescent="0.25">
      <c r="A65" s="8">
        <v>46263</v>
      </c>
      <c r="B65" s="9" t="s">
        <v>129</v>
      </c>
      <c r="C65" s="10">
        <v>1280</v>
      </c>
      <c r="D65" s="10">
        <f t="shared" si="0"/>
        <v>1570</v>
      </c>
    </row>
    <row r="66" spans="1:4" x14ac:dyDescent="0.25">
      <c r="A66" s="8">
        <v>46265</v>
      </c>
      <c r="B66" s="9" t="s">
        <v>178</v>
      </c>
      <c r="C66" s="10">
        <v>-1570</v>
      </c>
      <c r="D66" s="10">
        <f t="shared" si="0"/>
        <v>0</v>
      </c>
    </row>
    <row r="67" spans="1:4" x14ac:dyDescent="0.25">
      <c r="A67" s="8">
        <v>46274</v>
      </c>
      <c r="B67" s="9" t="s">
        <v>129</v>
      </c>
      <c r="C67" s="10">
        <v>1780</v>
      </c>
      <c r="D67" s="10">
        <f t="shared" si="0"/>
        <v>1780</v>
      </c>
    </row>
    <row r="68" spans="1:4" x14ac:dyDescent="0.25">
      <c r="A68" s="8">
        <v>46275</v>
      </c>
      <c r="B68" s="9" t="s">
        <v>3</v>
      </c>
      <c r="C68" s="10">
        <v>670</v>
      </c>
      <c r="D68" s="10">
        <f t="shared" si="0"/>
        <v>2450</v>
      </c>
    </row>
    <row r="69" spans="1:4" x14ac:dyDescent="0.25">
      <c r="A69" s="8">
        <v>46275</v>
      </c>
      <c r="B69" s="9" t="s">
        <v>178</v>
      </c>
      <c r="C69" s="10">
        <v>-2450</v>
      </c>
      <c r="D69" s="10">
        <f t="shared" si="0"/>
        <v>0</v>
      </c>
    </row>
    <row r="70" spans="1:4" x14ac:dyDescent="0.25">
      <c r="A70" s="8"/>
      <c r="B70" s="9"/>
      <c r="C70" s="10"/>
      <c r="D70" s="10">
        <f t="shared" si="0"/>
        <v>0</v>
      </c>
    </row>
    <row r="71" spans="1:4" x14ac:dyDescent="0.25">
      <c r="A71" s="8"/>
      <c r="B71" s="9"/>
      <c r="C71" s="10"/>
      <c r="D71" s="10">
        <f t="shared" si="0"/>
        <v>0</v>
      </c>
    </row>
    <row r="72" spans="1:4" x14ac:dyDescent="0.25">
      <c r="A72" s="8"/>
      <c r="B72" s="9"/>
      <c r="C72" s="10"/>
      <c r="D72" s="10"/>
    </row>
    <row r="73" spans="1:4" x14ac:dyDescent="0.25">
      <c r="A73" s="8"/>
      <c r="B73" s="9"/>
      <c r="C73" s="10"/>
      <c r="D73" s="10"/>
    </row>
    <row r="74" spans="1:4" x14ac:dyDescent="0.25">
      <c r="A74" s="8"/>
      <c r="B74" s="9"/>
      <c r="C74" s="10"/>
      <c r="D74" s="10"/>
    </row>
    <row r="75" spans="1:4" x14ac:dyDescent="0.25">
      <c r="A75" s="9"/>
      <c r="B75" s="9"/>
      <c r="C75" s="10"/>
      <c r="D75" s="10"/>
    </row>
    <row r="76" spans="1:4" x14ac:dyDescent="0.25">
      <c r="A76" s="9"/>
      <c r="B76" s="9"/>
      <c r="C76" s="10"/>
      <c r="D76" s="10"/>
    </row>
    <row r="77" spans="1:4" x14ac:dyDescent="0.25">
      <c r="A77" s="9"/>
      <c r="B77" s="9"/>
      <c r="C77" s="10"/>
      <c r="D77" s="10"/>
    </row>
    <row r="78" spans="1:4" x14ac:dyDescent="0.25">
      <c r="A78" s="9"/>
      <c r="B78" s="9"/>
      <c r="C78" s="10"/>
      <c r="D78" s="10"/>
    </row>
    <row r="79" spans="1:4" x14ac:dyDescent="0.25">
      <c r="A79" s="9"/>
      <c r="B79" s="9"/>
      <c r="C79" s="10"/>
      <c r="D79" s="10"/>
    </row>
    <row r="80" spans="1:4" x14ac:dyDescent="0.25">
      <c r="A80" s="9"/>
      <c r="B80" s="9"/>
      <c r="C80" s="10"/>
      <c r="D80" s="10"/>
    </row>
    <row r="81" spans="1:4" x14ac:dyDescent="0.25">
      <c r="A81" s="9"/>
      <c r="B81" s="9"/>
      <c r="C81" s="10"/>
      <c r="D81" s="10"/>
    </row>
    <row r="82" spans="1:4" x14ac:dyDescent="0.25">
      <c r="A82" s="9"/>
      <c r="B82" s="9"/>
      <c r="C82" s="10"/>
      <c r="D82" s="10"/>
    </row>
    <row r="83" spans="1:4" x14ac:dyDescent="0.25">
      <c r="A83" s="9"/>
      <c r="B83" s="9"/>
      <c r="C83" s="10"/>
      <c r="D83" s="10"/>
    </row>
    <row r="84" spans="1:4" x14ac:dyDescent="0.25">
      <c r="A84" s="9"/>
      <c r="B84" s="9"/>
      <c r="C84" s="10"/>
      <c r="D84" s="10"/>
    </row>
    <row r="85" spans="1:4" x14ac:dyDescent="0.25">
      <c r="A85" s="9"/>
      <c r="B85" s="9"/>
      <c r="C85" s="10"/>
      <c r="D85" s="10"/>
    </row>
    <row r="86" spans="1:4" x14ac:dyDescent="0.25">
      <c r="A86" s="9"/>
      <c r="B86" s="9"/>
      <c r="C86" s="10"/>
      <c r="D86" s="10"/>
    </row>
    <row r="87" spans="1:4" x14ac:dyDescent="0.25">
      <c r="A87" s="9"/>
      <c r="B87" s="9"/>
      <c r="C87" s="10"/>
      <c r="D87" s="10"/>
    </row>
    <row r="88" spans="1:4" x14ac:dyDescent="0.25">
      <c r="A88" s="9"/>
      <c r="B88" s="9"/>
      <c r="C88" s="10"/>
      <c r="D88" s="10"/>
    </row>
    <row r="89" spans="1:4" x14ac:dyDescent="0.25">
      <c r="A89" s="9"/>
      <c r="B89" s="9"/>
      <c r="C89" s="10"/>
      <c r="D89" s="10"/>
    </row>
    <row r="90" spans="1:4" x14ac:dyDescent="0.25">
      <c r="A90" s="9"/>
      <c r="B90" s="9"/>
      <c r="C90" s="10"/>
      <c r="D90" s="10"/>
    </row>
    <row r="91" spans="1:4" x14ac:dyDescent="0.25">
      <c r="A91" s="9"/>
      <c r="B91" s="9"/>
      <c r="C91" s="10"/>
      <c r="D91" s="10"/>
    </row>
    <row r="92" spans="1:4" x14ac:dyDescent="0.25">
      <c r="A92" s="9"/>
      <c r="B92" s="9"/>
      <c r="C92" s="10"/>
      <c r="D92" s="10"/>
    </row>
    <row r="93" spans="1:4" x14ac:dyDescent="0.25">
      <c r="A93" s="9"/>
      <c r="B93" s="9"/>
      <c r="C93" s="10"/>
      <c r="D93" s="10"/>
    </row>
    <row r="94" spans="1:4" x14ac:dyDescent="0.25">
      <c r="A94" s="9"/>
      <c r="B94" s="9"/>
      <c r="C94" s="10"/>
      <c r="D94" s="10"/>
    </row>
    <row r="95" spans="1:4" x14ac:dyDescent="0.25">
      <c r="A95" s="9"/>
      <c r="B95" s="9"/>
      <c r="C95" s="10"/>
      <c r="D95" s="10"/>
    </row>
    <row r="96" spans="1:4" x14ac:dyDescent="0.25">
      <c r="A96" s="9"/>
      <c r="B96" s="9"/>
      <c r="C96" s="10"/>
      <c r="D96" s="10"/>
    </row>
    <row r="97" spans="1:4" x14ac:dyDescent="0.25">
      <c r="A97" s="9"/>
      <c r="B97" s="9"/>
      <c r="C97" s="10"/>
      <c r="D97" s="10"/>
    </row>
    <row r="98" spans="1:4" x14ac:dyDescent="0.25">
      <c r="A98" s="9"/>
      <c r="B98" s="9"/>
      <c r="C98" s="10"/>
      <c r="D98" s="10"/>
    </row>
    <row r="99" spans="1:4" x14ac:dyDescent="0.25">
      <c r="A99" s="9"/>
      <c r="B99" s="9"/>
      <c r="C99" s="10"/>
      <c r="D99" s="10"/>
    </row>
    <row r="100" spans="1:4" x14ac:dyDescent="0.25">
      <c r="A100" s="9"/>
      <c r="B100" s="9"/>
      <c r="C100" s="10"/>
      <c r="D100" s="10"/>
    </row>
    <row r="101" spans="1:4" x14ac:dyDescent="0.25">
      <c r="A101" s="9"/>
      <c r="B101" s="9"/>
      <c r="C101" s="10"/>
      <c r="D101" s="10"/>
    </row>
    <row r="102" spans="1:4" x14ac:dyDescent="0.25">
      <c r="A102" s="9"/>
      <c r="B102" s="9"/>
      <c r="C102" s="10"/>
      <c r="D102" s="10"/>
    </row>
    <row r="103" spans="1:4" x14ac:dyDescent="0.25">
      <c r="A103" s="9"/>
      <c r="B103" s="9"/>
      <c r="C103" s="10"/>
      <c r="D103" s="10"/>
    </row>
    <row r="104" spans="1:4" x14ac:dyDescent="0.25">
      <c r="A104" s="9"/>
      <c r="B104" s="9"/>
      <c r="C104" s="10"/>
      <c r="D104" s="10"/>
    </row>
    <row r="105" spans="1:4" x14ac:dyDescent="0.25">
      <c r="A105" s="9"/>
      <c r="B105" s="9"/>
      <c r="C105" s="10"/>
      <c r="D105" s="10"/>
    </row>
    <row r="106" spans="1:4" x14ac:dyDescent="0.25">
      <c r="A106" s="9"/>
      <c r="B106" s="9"/>
      <c r="C106" s="10"/>
      <c r="D106" s="10"/>
    </row>
    <row r="107" spans="1:4" x14ac:dyDescent="0.25">
      <c r="A107" s="9"/>
      <c r="B107" s="9"/>
      <c r="C107" s="10"/>
      <c r="D107" s="10"/>
    </row>
    <row r="108" spans="1:4" x14ac:dyDescent="0.25">
      <c r="A108" s="9"/>
      <c r="B108" s="9"/>
      <c r="C108" s="10"/>
      <c r="D108" s="10"/>
    </row>
    <row r="109" spans="1:4" x14ac:dyDescent="0.25">
      <c r="A109" s="9"/>
      <c r="B109" s="9"/>
      <c r="C109" s="10"/>
      <c r="D109" s="10"/>
    </row>
    <row r="110" spans="1:4" x14ac:dyDescent="0.25">
      <c r="A110" s="9"/>
      <c r="B110" s="9"/>
      <c r="C110" s="10"/>
      <c r="D110" s="10"/>
    </row>
    <row r="111" spans="1:4" x14ac:dyDescent="0.25">
      <c r="A111" s="9"/>
      <c r="B111" s="9"/>
      <c r="C111" s="10"/>
      <c r="D111" s="10"/>
    </row>
    <row r="112" spans="1:4" x14ac:dyDescent="0.25">
      <c r="A112" s="9"/>
      <c r="B112" s="9"/>
      <c r="C112" s="10"/>
      <c r="D112" s="10"/>
    </row>
    <row r="113" spans="1:4" x14ac:dyDescent="0.25">
      <c r="A113" s="9"/>
      <c r="B113" s="9"/>
      <c r="C113" s="10"/>
      <c r="D113" s="10"/>
    </row>
    <row r="114" spans="1:4" x14ac:dyDescent="0.25">
      <c r="A114" s="9"/>
      <c r="B114" s="9"/>
      <c r="C114" s="10"/>
      <c r="D114" s="10"/>
    </row>
    <row r="115" spans="1:4" x14ac:dyDescent="0.25">
      <c r="A115" s="9"/>
      <c r="B115" s="9"/>
      <c r="C115" s="10"/>
      <c r="D115" s="10"/>
    </row>
    <row r="116" spans="1:4" x14ac:dyDescent="0.25">
      <c r="A116" s="9"/>
      <c r="B116" s="9"/>
      <c r="C116" s="10"/>
      <c r="D116" s="10"/>
    </row>
    <row r="117" spans="1:4" x14ac:dyDescent="0.25">
      <c r="A117" s="9"/>
      <c r="B117" s="9"/>
      <c r="C117" s="10"/>
      <c r="D117" s="10"/>
    </row>
    <row r="118" spans="1:4" x14ac:dyDescent="0.25">
      <c r="A118" s="9"/>
      <c r="B118" s="9"/>
      <c r="C118" s="10"/>
      <c r="D118" s="10"/>
    </row>
    <row r="119" spans="1:4" x14ac:dyDescent="0.25">
      <c r="A119" s="9"/>
      <c r="B119" s="9"/>
      <c r="C119" s="10"/>
      <c r="D119" s="10"/>
    </row>
    <row r="120" spans="1:4" x14ac:dyDescent="0.25">
      <c r="A120" s="9"/>
      <c r="B120" s="9"/>
      <c r="C120" s="10"/>
      <c r="D120" s="10"/>
    </row>
    <row r="121" spans="1:4" x14ac:dyDescent="0.25">
      <c r="A121" s="9"/>
      <c r="B121" s="9"/>
      <c r="C121" s="10"/>
      <c r="D121" s="10"/>
    </row>
    <row r="122" spans="1:4" x14ac:dyDescent="0.25">
      <c r="A122" s="9"/>
      <c r="B122" s="9"/>
      <c r="C122" s="10"/>
      <c r="D122" s="10"/>
    </row>
    <row r="123" spans="1:4" x14ac:dyDescent="0.25">
      <c r="A123" s="9"/>
      <c r="B123" s="9"/>
      <c r="C123" s="10"/>
      <c r="D123" s="10"/>
    </row>
    <row r="124" spans="1:4" x14ac:dyDescent="0.25">
      <c r="A124" s="9"/>
      <c r="B124" s="9"/>
      <c r="C124" s="10"/>
      <c r="D124" s="10"/>
    </row>
    <row r="125" spans="1:4" x14ac:dyDescent="0.25">
      <c r="A125" s="9"/>
      <c r="B125" s="9"/>
      <c r="C125" s="10"/>
      <c r="D125" s="10"/>
    </row>
    <row r="126" spans="1:4" x14ac:dyDescent="0.25">
      <c r="A126" s="9"/>
      <c r="B126" s="9"/>
      <c r="C126" s="10"/>
      <c r="D126" s="10"/>
    </row>
    <row r="127" spans="1:4" x14ac:dyDescent="0.25">
      <c r="A127" s="9"/>
      <c r="B127" s="9"/>
      <c r="C127" s="10"/>
      <c r="D127" s="10"/>
    </row>
    <row r="128" spans="1:4" x14ac:dyDescent="0.25">
      <c r="A128" s="9"/>
      <c r="B128" s="9"/>
      <c r="C128" s="10"/>
      <c r="D128" s="10"/>
    </row>
    <row r="129" spans="1:4" x14ac:dyDescent="0.25">
      <c r="A129" s="9"/>
      <c r="B129" s="9"/>
      <c r="C129" s="10"/>
      <c r="D129" s="10"/>
    </row>
    <row r="130" spans="1:4" x14ac:dyDescent="0.25">
      <c r="A130" s="9"/>
      <c r="B130" s="9"/>
      <c r="C130" s="10"/>
      <c r="D130" s="10"/>
    </row>
    <row r="131" spans="1:4" x14ac:dyDescent="0.25">
      <c r="A131" s="9"/>
      <c r="B131" s="9"/>
      <c r="C131" s="10"/>
      <c r="D131" s="10"/>
    </row>
    <row r="132" spans="1:4" x14ac:dyDescent="0.25">
      <c r="A132" s="9"/>
      <c r="B132" s="9"/>
      <c r="C132" s="10"/>
      <c r="D132" s="10"/>
    </row>
    <row r="133" spans="1:4" x14ac:dyDescent="0.25">
      <c r="A133" s="9"/>
      <c r="B133" s="9"/>
      <c r="C133" s="10"/>
      <c r="D133" s="10"/>
    </row>
    <row r="134" spans="1:4" x14ac:dyDescent="0.25">
      <c r="A134" s="9"/>
      <c r="B134" s="9"/>
      <c r="C134" s="10"/>
      <c r="D134" s="10"/>
    </row>
    <row r="135" spans="1:4" x14ac:dyDescent="0.25">
      <c r="A135" s="9"/>
      <c r="B135" s="9"/>
      <c r="C135" s="10"/>
      <c r="D135" s="10"/>
    </row>
    <row r="136" spans="1:4" x14ac:dyDescent="0.25">
      <c r="A136" s="9"/>
      <c r="B136" s="9"/>
      <c r="C136" s="10"/>
      <c r="D136" s="10"/>
    </row>
    <row r="137" spans="1:4" x14ac:dyDescent="0.25">
      <c r="A137" s="9"/>
      <c r="B137" s="9"/>
      <c r="C137" s="10"/>
      <c r="D137" s="10"/>
    </row>
    <row r="138" spans="1:4" x14ac:dyDescent="0.25">
      <c r="A138" s="9"/>
      <c r="B138" s="9"/>
      <c r="C138" s="10"/>
      <c r="D138" s="10"/>
    </row>
    <row r="139" spans="1:4" x14ac:dyDescent="0.25">
      <c r="A139" s="9"/>
      <c r="B139" s="9"/>
      <c r="C139" s="10"/>
      <c r="D139" s="10"/>
    </row>
    <row r="140" spans="1:4" x14ac:dyDescent="0.25">
      <c r="A140" s="9"/>
      <c r="B140" s="9"/>
      <c r="C140" s="10"/>
      <c r="D140" s="10"/>
    </row>
    <row r="141" spans="1:4" x14ac:dyDescent="0.25">
      <c r="A141" s="9"/>
      <c r="B141" s="9"/>
      <c r="C141" s="10"/>
      <c r="D141" s="10"/>
    </row>
    <row r="142" spans="1:4" x14ac:dyDescent="0.25">
      <c r="A142" s="9"/>
      <c r="B142" s="9"/>
      <c r="C142" s="10"/>
      <c r="D142" s="10"/>
    </row>
    <row r="143" spans="1:4" x14ac:dyDescent="0.25">
      <c r="A143" s="9"/>
      <c r="B143" s="9"/>
      <c r="C143" s="10"/>
      <c r="D143" s="10"/>
    </row>
    <row r="144" spans="1:4" x14ac:dyDescent="0.25">
      <c r="A144" s="9"/>
      <c r="B144" s="9"/>
      <c r="C144" s="10"/>
      <c r="D144" s="10"/>
    </row>
    <row r="145" spans="1:4" x14ac:dyDescent="0.25">
      <c r="A145" s="9"/>
      <c r="B145" s="9"/>
      <c r="C145" s="10"/>
      <c r="D145" s="10"/>
    </row>
    <row r="146" spans="1:4" x14ac:dyDescent="0.25">
      <c r="A146" s="9"/>
      <c r="B146" s="9"/>
      <c r="C146" s="10"/>
      <c r="D146" s="10"/>
    </row>
    <row r="147" spans="1:4" x14ac:dyDescent="0.25">
      <c r="A147" s="9"/>
      <c r="B147" s="9"/>
      <c r="C147" s="10"/>
      <c r="D147" s="10"/>
    </row>
    <row r="148" spans="1:4" x14ac:dyDescent="0.25">
      <c r="A148" s="9"/>
      <c r="B148" s="9"/>
      <c r="C148" s="10"/>
      <c r="D148" s="10"/>
    </row>
    <row r="149" spans="1:4" x14ac:dyDescent="0.25">
      <c r="A149" s="9"/>
      <c r="B149" s="9"/>
      <c r="C149" s="10"/>
      <c r="D149" s="10"/>
    </row>
    <row r="150" spans="1:4" x14ac:dyDescent="0.25">
      <c r="A150" s="9"/>
      <c r="B150" s="9"/>
      <c r="C150" s="10"/>
      <c r="D150" s="10"/>
    </row>
    <row r="151" spans="1:4" x14ac:dyDescent="0.25">
      <c r="A151" s="9"/>
      <c r="B151" s="9"/>
      <c r="C151" s="10"/>
      <c r="D151" s="10"/>
    </row>
    <row r="152" spans="1:4" x14ac:dyDescent="0.25">
      <c r="A152" s="9"/>
      <c r="B152" s="9"/>
      <c r="C152" s="10"/>
      <c r="D152" s="10"/>
    </row>
    <row r="153" spans="1:4" x14ac:dyDescent="0.25">
      <c r="A153" s="9"/>
      <c r="B153" s="9"/>
      <c r="C153" s="10"/>
      <c r="D153" s="10"/>
    </row>
    <row r="154" spans="1:4" x14ac:dyDescent="0.25">
      <c r="A154" s="9"/>
      <c r="B154" s="9"/>
      <c r="C154" s="10"/>
      <c r="D154" s="10"/>
    </row>
    <row r="155" spans="1:4" x14ac:dyDescent="0.25">
      <c r="A155" s="9"/>
      <c r="B155" s="9"/>
      <c r="C155" s="10"/>
      <c r="D155" s="10"/>
    </row>
    <row r="156" spans="1:4" x14ac:dyDescent="0.25">
      <c r="A156" s="9"/>
      <c r="B156" s="9"/>
      <c r="C156" s="10"/>
      <c r="D156" s="10"/>
    </row>
    <row r="157" spans="1:4" x14ac:dyDescent="0.25">
      <c r="A157" s="9"/>
      <c r="B157" s="9"/>
      <c r="C157" s="10"/>
      <c r="D157" s="10"/>
    </row>
    <row r="158" spans="1:4" x14ac:dyDescent="0.25">
      <c r="A158" s="9"/>
      <c r="B158" s="9"/>
      <c r="C158" s="10"/>
      <c r="D158" s="10"/>
    </row>
    <row r="159" spans="1:4" x14ac:dyDescent="0.25">
      <c r="A159" s="9"/>
      <c r="B159" s="9"/>
      <c r="C159" s="10"/>
      <c r="D159" s="10"/>
    </row>
    <row r="160" spans="1:4" x14ac:dyDescent="0.25">
      <c r="A160" s="9"/>
      <c r="B160" s="9"/>
      <c r="C160" s="10"/>
      <c r="D160" s="10"/>
    </row>
    <row r="161" spans="1:4" x14ac:dyDescent="0.25">
      <c r="A161" s="9"/>
      <c r="B161" s="9"/>
      <c r="C161" s="10"/>
      <c r="D161" s="10"/>
    </row>
    <row r="162" spans="1:4" x14ac:dyDescent="0.25">
      <c r="A162" s="9"/>
      <c r="B162" s="9"/>
      <c r="C162" s="10"/>
      <c r="D162" s="10"/>
    </row>
    <row r="163" spans="1:4" x14ac:dyDescent="0.25">
      <c r="A163" s="9"/>
      <c r="B163" s="9"/>
      <c r="C163" s="10"/>
      <c r="D163" s="10"/>
    </row>
    <row r="164" spans="1:4" x14ac:dyDescent="0.25">
      <c r="A164" s="9"/>
      <c r="B164" s="9"/>
      <c r="C164" s="10"/>
      <c r="D164" s="10"/>
    </row>
    <row r="165" spans="1:4" x14ac:dyDescent="0.25">
      <c r="A165" s="9"/>
      <c r="B165" s="9"/>
      <c r="C165" s="10"/>
      <c r="D165" s="10"/>
    </row>
    <row r="166" spans="1:4" x14ac:dyDescent="0.25">
      <c r="A166" s="9"/>
      <c r="B166" s="9"/>
      <c r="C166" s="10"/>
      <c r="D166" s="10"/>
    </row>
    <row r="167" spans="1:4" x14ac:dyDescent="0.25">
      <c r="A167" s="9"/>
      <c r="B167" s="9"/>
      <c r="C167" s="10"/>
      <c r="D167" s="10"/>
    </row>
    <row r="168" spans="1:4" x14ac:dyDescent="0.25">
      <c r="A168" s="9"/>
      <c r="B168" s="9"/>
      <c r="C168" s="10"/>
      <c r="D168" s="10"/>
    </row>
    <row r="169" spans="1:4" x14ac:dyDescent="0.25">
      <c r="A169" s="9"/>
      <c r="B169" s="9"/>
      <c r="C169" s="10"/>
      <c r="D169" s="10"/>
    </row>
    <row r="170" spans="1:4" x14ac:dyDescent="0.25">
      <c r="A170" s="9"/>
      <c r="B170" s="9"/>
      <c r="C170" s="10"/>
      <c r="D170" s="10"/>
    </row>
    <row r="171" spans="1:4" x14ac:dyDescent="0.25">
      <c r="A171" s="9"/>
      <c r="B171" s="9"/>
      <c r="C171" s="10"/>
      <c r="D171" s="10"/>
    </row>
    <row r="172" spans="1:4" x14ac:dyDescent="0.25">
      <c r="A172" s="9"/>
      <c r="B172" s="9"/>
      <c r="C172" s="10"/>
      <c r="D172" s="10"/>
    </row>
    <row r="173" spans="1:4" x14ac:dyDescent="0.25">
      <c r="A173" s="9"/>
      <c r="B173" s="9"/>
      <c r="C173" s="10"/>
      <c r="D173" s="10"/>
    </row>
    <row r="174" spans="1:4" x14ac:dyDescent="0.25">
      <c r="A174" s="9"/>
      <c r="B174" s="9"/>
      <c r="C174" s="10"/>
      <c r="D174" s="10"/>
    </row>
    <row r="175" spans="1:4" x14ac:dyDescent="0.25">
      <c r="A175" s="9"/>
      <c r="B175" s="9"/>
      <c r="C175" s="10"/>
      <c r="D175" s="10"/>
    </row>
    <row r="176" spans="1:4" x14ac:dyDescent="0.25">
      <c r="A176" s="9"/>
      <c r="B176" s="9"/>
      <c r="C176" s="10"/>
      <c r="D176" s="10"/>
    </row>
    <row r="177" spans="1:4" x14ac:dyDescent="0.25">
      <c r="A177" s="9"/>
      <c r="B177" s="9"/>
      <c r="C177" s="10"/>
      <c r="D177" s="10"/>
    </row>
    <row r="178" spans="1:4" x14ac:dyDescent="0.25">
      <c r="A178" s="9"/>
      <c r="B178" s="9"/>
      <c r="C178" s="10"/>
      <c r="D178" s="10"/>
    </row>
    <row r="179" spans="1:4" x14ac:dyDescent="0.25">
      <c r="A179" s="9"/>
      <c r="B179" s="9"/>
      <c r="C179" s="10"/>
      <c r="D179" s="10"/>
    </row>
    <row r="180" spans="1:4" x14ac:dyDescent="0.25">
      <c r="A180" s="9"/>
      <c r="B180" s="9"/>
      <c r="C180" s="10"/>
      <c r="D180" s="10"/>
    </row>
    <row r="181" spans="1:4" x14ac:dyDescent="0.25">
      <c r="A181" s="9"/>
      <c r="B181" s="9"/>
      <c r="C181" s="10"/>
      <c r="D181" s="10"/>
    </row>
    <row r="182" spans="1:4" x14ac:dyDescent="0.25">
      <c r="A182" s="9"/>
      <c r="B182" s="9"/>
      <c r="C182" s="10"/>
      <c r="D182" s="10"/>
    </row>
    <row r="183" spans="1:4" x14ac:dyDescent="0.25">
      <c r="A183" s="9"/>
      <c r="B183" s="9"/>
      <c r="C183" s="10"/>
      <c r="D183" s="10"/>
    </row>
    <row r="184" spans="1:4" x14ac:dyDescent="0.25">
      <c r="A184" s="9"/>
      <c r="B184" s="9"/>
      <c r="C184" s="10"/>
      <c r="D184" s="10"/>
    </row>
    <row r="185" spans="1:4" x14ac:dyDescent="0.25">
      <c r="A185" s="9"/>
      <c r="B185" s="9"/>
      <c r="C185" s="10"/>
      <c r="D185" s="10"/>
    </row>
    <row r="186" spans="1:4" x14ac:dyDescent="0.25">
      <c r="A186" s="9"/>
      <c r="B186" s="9"/>
      <c r="C186" s="10"/>
      <c r="D186" s="10"/>
    </row>
    <row r="187" spans="1:4" x14ac:dyDescent="0.25">
      <c r="A187" s="9"/>
      <c r="B187" s="9"/>
      <c r="C187" s="10"/>
      <c r="D187" s="10"/>
    </row>
    <row r="188" spans="1:4" x14ac:dyDescent="0.25">
      <c r="A188" s="9"/>
      <c r="B188" s="9"/>
      <c r="C188" s="10"/>
      <c r="D188" s="10"/>
    </row>
  </sheetData>
  <mergeCells count="2">
    <mergeCell ref="A4:D4"/>
    <mergeCell ref="B6:D6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0FB02-CA3A-423B-A5DF-10805B1BC554}">
  <dimension ref="E2:H68"/>
  <sheetViews>
    <sheetView topLeftCell="A33" workbookViewId="0">
      <selection activeCell="K57" sqref="K57"/>
    </sheetView>
  </sheetViews>
  <sheetFormatPr baseColWidth="10" defaultRowHeight="15" x14ac:dyDescent="0.25"/>
  <cols>
    <col min="5" max="5" width="31.28515625" customWidth="1"/>
    <col min="6" max="6" width="24" customWidth="1"/>
    <col min="7" max="7" width="17.7109375" customWidth="1"/>
    <col min="8" max="8" width="17.42578125" customWidth="1"/>
  </cols>
  <sheetData>
    <row r="2" spans="5:8" x14ac:dyDescent="0.25">
      <c r="E2" s="2" t="s">
        <v>1</v>
      </c>
      <c r="F2" s="96" t="s">
        <v>164</v>
      </c>
      <c r="G2" s="97"/>
      <c r="H2" s="97"/>
    </row>
    <row r="3" spans="5:8" x14ac:dyDescent="0.25">
      <c r="E3" s="3"/>
      <c r="F3" s="4" t="s">
        <v>160</v>
      </c>
      <c r="G3" s="4"/>
      <c r="H3" s="4"/>
    </row>
    <row r="4" spans="5:8" x14ac:dyDescent="0.25">
      <c r="F4" s="5"/>
      <c r="G4" s="6"/>
      <c r="H4" s="6"/>
    </row>
    <row r="5" spans="5:8" x14ac:dyDescent="0.25">
      <c r="E5" s="2" t="s">
        <v>2</v>
      </c>
      <c r="F5" s="2" t="s">
        <v>3</v>
      </c>
      <c r="G5" s="7" t="s">
        <v>4</v>
      </c>
      <c r="H5" s="7" t="s">
        <v>5</v>
      </c>
    </row>
    <row r="6" spans="5:8" x14ac:dyDescent="0.25">
      <c r="E6" s="8">
        <v>45925</v>
      </c>
      <c r="F6" s="9" t="s">
        <v>3</v>
      </c>
      <c r="G6" s="10">
        <v>4850</v>
      </c>
      <c r="H6" s="10">
        <f>G6</f>
        <v>4850</v>
      </c>
    </row>
    <row r="7" spans="5:8" x14ac:dyDescent="0.25">
      <c r="E7" s="8">
        <v>45925</v>
      </c>
      <c r="F7" s="9" t="s">
        <v>69</v>
      </c>
      <c r="G7" s="10">
        <v>-5300</v>
      </c>
      <c r="H7" s="10">
        <f t="shared" ref="H7:H38" si="0">H6+G7</f>
        <v>-450</v>
      </c>
    </row>
    <row r="8" spans="5:8" x14ac:dyDescent="0.25">
      <c r="E8" s="8">
        <v>45902</v>
      </c>
      <c r="F8" s="9" t="s">
        <v>3</v>
      </c>
      <c r="G8" s="10">
        <v>1990</v>
      </c>
      <c r="H8" s="10">
        <f t="shared" si="0"/>
        <v>1540</v>
      </c>
    </row>
    <row r="9" spans="5:8" x14ac:dyDescent="0.25">
      <c r="E9" s="8">
        <v>45932</v>
      </c>
      <c r="F9" s="9" t="s">
        <v>37</v>
      </c>
      <c r="G9" s="10">
        <v>-1990</v>
      </c>
      <c r="H9" s="10">
        <f t="shared" si="0"/>
        <v>-450</v>
      </c>
    </row>
    <row r="10" spans="5:8" x14ac:dyDescent="0.25">
      <c r="E10" s="8">
        <v>45946</v>
      </c>
      <c r="F10" s="9" t="s">
        <v>3</v>
      </c>
      <c r="G10" s="10">
        <v>5000</v>
      </c>
      <c r="H10" s="10">
        <f t="shared" si="0"/>
        <v>4550</v>
      </c>
    </row>
    <row r="11" spans="5:8" x14ac:dyDescent="0.25">
      <c r="E11" s="8">
        <v>45950</v>
      </c>
      <c r="F11" s="9" t="s">
        <v>3</v>
      </c>
      <c r="G11" s="10">
        <v>2580</v>
      </c>
      <c r="H11" s="10">
        <f t="shared" si="0"/>
        <v>7130</v>
      </c>
    </row>
    <row r="12" spans="5:8" x14ac:dyDescent="0.25">
      <c r="E12" s="8">
        <v>45950</v>
      </c>
      <c r="F12" s="9" t="s">
        <v>178</v>
      </c>
      <c r="G12" s="10">
        <v>-5000</v>
      </c>
      <c r="H12" s="10">
        <f t="shared" si="0"/>
        <v>2130</v>
      </c>
    </row>
    <row r="13" spans="5:8" x14ac:dyDescent="0.25">
      <c r="E13" s="8">
        <v>45960</v>
      </c>
      <c r="F13" s="9" t="s">
        <v>3</v>
      </c>
      <c r="G13" s="10">
        <v>2570</v>
      </c>
      <c r="H13" s="10">
        <f t="shared" si="0"/>
        <v>4700</v>
      </c>
    </row>
    <row r="14" spans="5:8" x14ac:dyDescent="0.25">
      <c r="E14" s="14">
        <v>45960</v>
      </c>
      <c r="F14" s="9" t="s">
        <v>178</v>
      </c>
      <c r="G14" s="10">
        <v>-2580</v>
      </c>
      <c r="H14" s="10">
        <f t="shared" si="0"/>
        <v>2120</v>
      </c>
    </row>
    <row r="15" spans="5:8" x14ac:dyDescent="0.25">
      <c r="E15" s="14">
        <v>45974</v>
      </c>
      <c r="F15" s="9" t="s">
        <v>3</v>
      </c>
      <c r="G15" s="10">
        <v>1610</v>
      </c>
      <c r="H15" s="10">
        <f t="shared" si="0"/>
        <v>3730</v>
      </c>
    </row>
    <row r="16" spans="5:8" x14ac:dyDescent="0.25">
      <c r="E16" s="14">
        <v>45974</v>
      </c>
      <c r="F16" s="9" t="s">
        <v>92</v>
      </c>
      <c r="G16" s="10">
        <v>-2570</v>
      </c>
      <c r="H16" s="10">
        <f t="shared" si="0"/>
        <v>1160</v>
      </c>
    </row>
    <row r="17" spans="5:8" x14ac:dyDescent="0.25">
      <c r="E17" s="14">
        <v>45985</v>
      </c>
      <c r="F17" s="9" t="s">
        <v>3</v>
      </c>
      <c r="G17" s="10">
        <v>2830</v>
      </c>
      <c r="H17" s="10">
        <f t="shared" si="0"/>
        <v>3990</v>
      </c>
    </row>
    <row r="18" spans="5:8" x14ac:dyDescent="0.25">
      <c r="E18" s="14">
        <v>45985</v>
      </c>
      <c r="F18" s="9" t="s">
        <v>7</v>
      </c>
      <c r="G18" s="10">
        <v>-2000</v>
      </c>
      <c r="H18" s="10">
        <f t="shared" si="0"/>
        <v>1990</v>
      </c>
    </row>
    <row r="19" spans="5:8" x14ac:dyDescent="0.25">
      <c r="E19" s="8">
        <v>46006</v>
      </c>
      <c r="F19" s="9" t="s">
        <v>3</v>
      </c>
      <c r="G19" s="10">
        <v>4510</v>
      </c>
      <c r="H19" s="10">
        <f t="shared" si="0"/>
        <v>6500</v>
      </c>
    </row>
    <row r="20" spans="5:8" x14ac:dyDescent="0.25">
      <c r="E20" s="8">
        <v>46006</v>
      </c>
      <c r="F20" s="9" t="s">
        <v>92</v>
      </c>
      <c r="G20" s="10">
        <v>-4800</v>
      </c>
      <c r="H20" s="10">
        <f t="shared" si="0"/>
        <v>1700</v>
      </c>
    </row>
    <row r="21" spans="5:8" x14ac:dyDescent="0.25">
      <c r="E21" s="8">
        <v>46027</v>
      </c>
      <c r="F21" s="9" t="s">
        <v>3</v>
      </c>
      <c r="G21" s="9">
        <v>2290</v>
      </c>
      <c r="H21" s="10">
        <f t="shared" si="0"/>
        <v>3990</v>
      </c>
    </row>
    <row r="22" spans="5:8" x14ac:dyDescent="0.25">
      <c r="E22" s="8">
        <v>46027</v>
      </c>
      <c r="F22" s="9" t="s">
        <v>178</v>
      </c>
      <c r="G22" s="9">
        <v>-3990</v>
      </c>
      <c r="H22" s="10">
        <f t="shared" si="0"/>
        <v>0</v>
      </c>
    </row>
    <row r="23" spans="5:8" x14ac:dyDescent="0.25">
      <c r="E23" s="8">
        <v>46030</v>
      </c>
      <c r="F23" s="9" t="s">
        <v>3</v>
      </c>
      <c r="G23" s="9">
        <v>1330</v>
      </c>
      <c r="H23" s="10">
        <f t="shared" si="0"/>
        <v>1330</v>
      </c>
    </row>
    <row r="24" spans="5:8" x14ac:dyDescent="0.25">
      <c r="E24" s="8">
        <v>46030</v>
      </c>
      <c r="F24" s="9" t="s">
        <v>178</v>
      </c>
      <c r="G24" s="9">
        <v>-1330</v>
      </c>
      <c r="H24" s="10">
        <f t="shared" si="0"/>
        <v>0</v>
      </c>
    </row>
    <row r="25" spans="5:8" x14ac:dyDescent="0.25">
      <c r="E25" s="8">
        <v>46051</v>
      </c>
      <c r="F25" s="9" t="s">
        <v>3</v>
      </c>
      <c r="G25" s="9">
        <v>3540</v>
      </c>
      <c r="H25" s="10">
        <f t="shared" si="0"/>
        <v>3540</v>
      </c>
    </row>
    <row r="26" spans="5:8" x14ac:dyDescent="0.25">
      <c r="E26" s="8">
        <v>46051</v>
      </c>
      <c r="F26" s="9" t="s">
        <v>178</v>
      </c>
      <c r="G26" s="9">
        <v>-3540</v>
      </c>
      <c r="H26" s="10">
        <f t="shared" si="0"/>
        <v>0</v>
      </c>
    </row>
    <row r="27" spans="5:8" x14ac:dyDescent="0.25">
      <c r="E27" s="8">
        <v>46024</v>
      </c>
      <c r="F27" s="9" t="s">
        <v>3</v>
      </c>
      <c r="G27" s="9">
        <v>1470</v>
      </c>
      <c r="H27" s="10">
        <f t="shared" si="0"/>
        <v>1470</v>
      </c>
    </row>
    <row r="28" spans="5:8" x14ac:dyDescent="0.25">
      <c r="E28" s="8">
        <v>46024</v>
      </c>
      <c r="F28" s="9" t="s">
        <v>178</v>
      </c>
      <c r="G28" s="9">
        <v>-1470</v>
      </c>
      <c r="H28" s="10">
        <f t="shared" si="0"/>
        <v>0</v>
      </c>
    </row>
    <row r="29" spans="5:8" x14ac:dyDescent="0.25">
      <c r="E29" s="8">
        <v>46065</v>
      </c>
      <c r="F29" s="9" t="s">
        <v>3</v>
      </c>
      <c r="G29" s="9">
        <v>19005</v>
      </c>
      <c r="H29" s="10">
        <f t="shared" si="0"/>
        <v>19005</v>
      </c>
    </row>
    <row r="30" spans="5:8" x14ac:dyDescent="0.25">
      <c r="E30" s="8">
        <v>46093</v>
      </c>
      <c r="F30" s="9" t="s">
        <v>178</v>
      </c>
      <c r="G30" s="9">
        <v>-19005</v>
      </c>
      <c r="H30" s="10">
        <f t="shared" si="0"/>
        <v>0</v>
      </c>
    </row>
    <row r="31" spans="5:8" x14ac:dyDescent="0.25">
      <c r="E31" s="8">
        <v>46069</v>
      </c>
      <c r="F31" s="9" t="s">
        <v>3</v>
      </c>
      <c r="G31" s="9">
        <v>2400</v>
      </c>
      <c r="H31" s="10">
        <f t="shared" si="0"/>
        <v>2400</v>
      </c>
    </row>
    <row r="32" spans="5:8" x14ac:dyDescent="0.25">
      <c r="E32" s="8">
        <v>46069</v>
      </c>
      <c r="F32" s="9" t="s">
        <v>3</v>
      </c>
      <c r="G32" s="9">
        <v>-2400</v>
      </c>
      <c r="H32" s="10">
        <f t="shared" si="0"/>
        <v>0</v>
      </c>
    </row>
    <row r="33" spans="5:8" x14ac:dyDescent="0.25">
      <c r="E33" s="8">
        <v>46083</v>
      </c>
      <c r="F33" s="9" t="s">
        <v>3</v>
      </c>
      <c r="G33" s="9">
        <v>1710</v>
      </c>
      <c r="H33" s="10">
        <f t="shared" si="0"/>
        <v>1710</v>
      </c>
    </row>
    <row r="34" spans="5:8" x14ac:dyDescent="0.25">
      <c r="E34" s="8">
        <v>46083</v>
      </c>
      <c r="F34" s="9" t="s">
        <v>178</v>
      </c>
      <c r="G34" s="9">
        <v>-1710</v>
      </c>
      <c r="H34" s="10">
        <f t="shared" si="0"/>
        <v>0</v>
      </c>
    </row>
    <row r="35" spans="5:8" x14ac:dyDescent="0.25">
      <c r="E35" s="8">
        <v>46086</v>
      </c>
      <c r="F35" s="9" t="s">
        <v>3</v>
      </c>
      <c r="G35" s="9">
        <v>1450</v>
      </c>
      <c r="H35" s="10">
        <f t="shared" si="0"/>
        <v>1450</v>
      </c>
    </row>
    <row r="36" spans="5:8" x14ac:dyDescent="0.25">
      <c r="E36" s="8">
        <v>46086</v>
      </c>
      <c r="F36" s="9" t="s">
        <v>178</v>
      </c>
      <c r="G36" s="9">
        <v>-1450</v>
      </c>
      <c r="H36" s="10">
        <f t="shared" si="0"/>
        <v>0</v>
      </c>
    </row>
    <row r="37" spans="5:8" x14ac:dyDescent="0.25">
      <c r="E37" s="8">
        <v>46093</v>
      </c>
      <c r="F37" s="9" t="s">
        <v>3</v>
      </c>
      <c r="G37" s="9">
        <v>1190</v>
      </c>
      <c r="H37" s="10">
        <f t="shared" si="0"/>
        <v>1190</v>
      </c>
    </row>
    <row r="38" spans="5:8" x14ac:dyDescent="0.25">
      <c r="E38" s="8">
        <v>46093</v>
      </c>
      <c r="F38" s="9" t="s">
        <v>178</v>
      </c>
      <c r="G38" s="9">
        <v>-1190</v>
      </c>
      <c r="H38" s="10">
        <f t="shared" si="0"/>
        <v>0</v>
      </c>
    </row>
    <row r="39" spans="5:8" x14ac:dyDescent="0.25">
      <c r="E39" s="8">
        <v>46100</v>
      </c>
      <c r="F39" s="9" t="s">
        <v>3</v>
      </c>
      <c r="G39" s="9">
        <v>2320</v>
      </c>
      <c r="H39" s="10">
        <f t="shared" ref="H39:H68" si="1">H38+G39</f>
        <v>2320</v>
      </c>
    </row>
    <row r="40" spans="5:8" x14ac:dyDescent="0.25">
      <c r="E40" s="8">
        <v>46097</v>
      </c>
      <c r="F40" s="9" t="s">
        <v>178</v>
      </c>
      <c r="G40" s="9">
        <v>-2320</v>
      </c>
      <c r="H40" s="10">
        <f t="shared" si="1"/>
        <v>0</v>
      </c>
    </row>
    <row r="41" spans="5:8" x14ac:dyDescent="0.25">
      <c r="E41" s="8">
        <v>46104</v>
      </c>
      <c r="F41" s="9" t="s">
        <v>3</v>
      </c>
      <c r="G41" s="9">
        <v>2560</v>
      </c>
      <c r="H41" s="10">
        <f t="shared" si="1"/>
        <v>2560</v>
      </c>
    </row>
    <row r="42" spans="5:8" x14ac:dyDescent="0.25">
      <c r="E42" s="8">
        <v>46104</v>
      </c>
      <c r="F42" s="9" t="s">
        <v>178</v>
      </c>
      <c r="G42" s="9">
        <v>-2560</v>
      </c>
      <c r="H42" s="10">
        <f t="shared" si="1"/>
        <v>0</v>
      </c>
    </row>
    <row r="43" spans="5:8" x14ac:dyDescent="0.25">
      <c r="E43" s="8">
        <v>46107</v>
      </c>
      <c r="F43" s="9" t="s">
        <v>3</v>
      </c>
      <c r="G43" s="9">
        <v>1830</v>
      </c>
      <c r="H43" s="10">
        <f t="shared" si="1"/>
        <v>1830</v>
      </c>
    </row>
    <row r="44" spans="5:8" x14ac:dyDescent="0.25">
      <c r="E44" s="8">
        <v>46107</v>
      </c>
      <c r="F44" s="9" t="s">
        <v>178</v>
      </c>
      <c r="G44" s="9">
        <v>-1830</v>
      </c>
      <c r="H44" s="10">
        <f t="shared" si="1"/>
        <v>0</v>
      </c>
    </row>
    <row r="45" spans="5:8" x14ac:dyDescent="0.25">
      <c r="E45" s="8">
        <v>46118</v>
      </c>
      <c r="F45" s="9" t="s">
        <v>3</v>
      </c>
      <c r="G45" s="9">
        <v>1350</v>
      </c>
      <c r="H45" s="10">
        <f t="shared" si="1"/>
        <v>1350</v>
      </c>
    </row>
    <row r="46" spans="5:8" x14ac:dyDescent="0.25">
      <c r="E46" s="8">
        <v>46212</v>
      </c>
      <c r="F46" s="9" t="s">
        <v>3</v>
      </c>
      <c r="G46" s="9">
        <v>1670</v>
      </c>
      <c r="H46" s="10">
        <f t="shared" si="1"/>
        <v>3020</v>
      </c>
    </row>
    <row r="47" spans="5:8" x14ac:dyDescent="0.25">
      <c r="E47" s="8">
        <v>46212</v>
      </c>
      <c r="F47" s="9" t="s">
        <v>178</v>
      </c>
      <c r="G47" s="9">
        <v>-3020</v>
      </c>
      <c r="H47" s="10">
        <f t="shared" si="1"/>
        <v>0</v>
      </c>
    </row>
    <row r="48" spans="5:8" x14ac:dyDescent="0.25">
      <c r="E48" s="8">
        <v>46132</v>
      </c>
      <c r="F48" s="9" t="s">
        <v>3</v>
      </c>
      <c r="G48" s="9">
        <v>780</v>
      </c>
      <c r="H48" s="10">
        <f t="shared" si="1"/>
        <v>780</v>
      </c>
    </row>
    <row r="49" spans="5:8" x14ac:dyDescent="0.25">
      <c r="E49" s="8">
        <v>46132</v>
      </c>
      <c r="F49" s="9" t="s">
        <v>178</v>
      </c>
      <c r="G49" s="9">
        <v>-780</v>
      </c>
      <c r="H49" s="10">
        <f t="shared" si="1"/>
        <v>0</v>
      </c>
    </row>
    <row r="50" spans="5:8" x14ac:dyDescent="0.25">
      <c r="E50" s="8">
        <v>46139</v>
      </c>
      <c r="F50" s="9" t="s">
        <v>3</v>
      </c>
      <c r="G50" s="9">
        <v>1110</v>
      </c>
      <c r="H50" s="10">
        <f t="shared" si="1"/>
        <v>1110</v>
      </c>
    </row>
    <row r="51" spans="5:8" x14ac:dyDescent="0.25">
      <c r="E51" s="8">
        <v>46139</v>
      </c>
      <c r="F51" s="9" t="s">
        <v>178</v>
      </c>
      <c r="G51" s="9">
        <v>-1110</v>
      </c>
      <c r="H51" s="10">
        <f t="shared" si="1"/>
        <v>0</v>
      </c>
    </row>
    <row r="52" spans="5:8" x14ac:dyDescent="0.25">
      <c r="E52" s="8">
        <v>46251</v>
      </c>
      <c r="F52" s="9" t="s">
        <v>3</v>
      </c>
      <c r="G52" s="9">
        <v>1720</v>
      </c>
      <c r="H52" s="10">
        <f t="shared" si="1"/>
        <v>1720</v>
      </c>
    </row>
    <row r="53" spans="5:8" x14ac:dyDescent="0.25">
      <c r="E53" s="8">
        <v>46251</v>
      </c>
      <c r="F53" s="9" t="s">
        <v>178</v>
      </c>
      <c r="G53" s="9">
        <v>-1720</v>
      </c>
      <c r="H53" s="10">
        <f t="shared" si="1"/>
        <v>0</v>
      </c>
    </row>
    <row r="54" spans="5:8" x14ac:dyDescent="0.25">
      <c r="E54" s="8">
        <v>46268</v>
      </c>
      <c r="F54" s="9" t="s">
        <v>3</v>
      </c>
      <c r="G54" s="9">
        <v>1230</v>
      </c>
      <c r="H54" s="10">
        <f t="shared" si="1"/>
        <v>1230</v>
      </c>
    </row>
    <row r="55" spans="5:8" x14ac:dyDescent="0.25">
      <c r="E55" s="8">
        <v>46268</v>
      </c>
      <c r="F55" s="9" t="s">
        <v>178</v>
      </c>
      <c r="G55" s="9">
        <v>-1230</v>
      </c>
      <c r="H55" s="10">
        <f t="shared" si="1"/>
        <v>0</v>
      </c>
    </row>
    <row r="56" spans="5:8" x14ac:dyDescent="0.25">
      <c r="E56" s="8">
        <v>46279</v>
      </c>
      <c r="F56" s="9" t="s">
        <v>3</v>
      </c>
      <c r="G56" s="9">
        <v>1540</v>
      </c>
      <c r="H56" s="10">
        <f t="shared" si="1"/>
        <v>1540</v>
      </c>
    </row>
    <row r="57" spans="5:8" x14ac:dyDescent="0.25">
      <c r="E57" s="8">
        <v>46279</v>
      </c>
      <c r="F57" s="9" t="s">
        <v>178</v>
      </c>
      <c r="G57" s="9">
        <v>-1540</v>
      </c>
      <c r="H57" s="10">
        <f t="shared" si="1"/>
        <v>0</v>
      </c>
    </row>
    <row r="58" spans="5:8" x14ac:dyDescent="0.25">
      <c r="E58" s="8">
        <v>46286</v>
      </c>
      <c r="F58" s="9" t="s">
        <v>3</v>
      </c>
      <c r="G58" s="9">
        <v>3390</v>
      </c>
      <c r="H58" s="10">
        <f t="shared" si="1"/>
        <v>3390</v>
      </c>
    </row>
    <row r="59" spans="5:8" x14ac:dyDescent="0.25">
      <c r="E59" s="8">
        <v>46286</v>
      </c>
      <c r="F59" s="9" t="s">
        <v>178</v>
      </c>
      <c r="G59" s="9">
        <v>-3390</v>
      </c>
      <c r="H59" s="10">
        <f t="shared" si="1"/>
        <v>0</v>
      </c>
    </row>
    <row r="60" spans="5:8" x14ac:dyDescent="0.25">
      <c r="E60" s="8">
        <v>46296</v>
      </c>
      <c r="F60" s="9" t="s">
        <v>3</v>
      </c>
      <c r="G60" s="9">
        <v>1690</v>
      </c>
      <c r="H60" s="10">
        <f t="shared" si="1"/>
        <v>1690</v>
      </c>
    </row>
    <row r="61" spans="5:8" x14ac:dyDescent="0.25">
      <c r="E61" s="8">
        <v>46296</v>
      </c>
      <c r="F61" s="9" t="s">
        <v>178</v>
      </c>
      <c r="G61" s="9">
        <v>-1690</v>
      </c>
      <c r="H61" s="10">
        <f t="shared" si="1"/>
        <v>0</v>
      </c>
    </row>
    <row r="62" spans="5:8" x14ac:dyDescent="0.25">
      <c r="E62" s="8"/>
      <c r="F62" s="9"/>
      <c r="G62" s="9"/>
      <c r="H62" s="10">
        <f t="shared" si="1"/>
        <v>0</v>
      </c>
    </row>
    <row r="63" spans="5:8" x14ac:dyDescent="0.25">
      <c r="E63" s="8"/>
      <c r="F63" s="9"/>
      <c r="G63" s="9"/>
      <c r="H63" s="10">
        <f t="shared" si="1"/>
        <v>0</v>
      </c>
    </row>
    <row r="64" spans="5:8" x14ac:dyDescent="0.25">
      <c r="E64" s="8"/>
      <c r="F64" s="9"/>
      <c r="G64" s="9"/>
      <c r="H64" s="10">
        <f t="shared" si="1"/>
        <v>0</v>
      </c>
    </row>
    <row r="65" spans="5:8" x14ac:dyDescent="0.25">
      <c r="E65" s="8"/>
      <c r="F65" s="9"/>
      <c r="G65" s="9"/>
      <c r="H65" s="10">
        <f t="shared" si="1"/>
        <v>0</v>
      </c>
    </row>
    <row r="66" spans="5:8" x14ac:dyDescent="0.25">
      <c r="E66" s="8"/>
      <c r="F66" s="9"/>
      <c r="G66" s="9"/>
      <c r="H66" s="10">
        <f t="shared" si="1"/>
        <v>0</v>
      </c>
    </row>
    <row r="67" spans="5:8" x14ac:dyDescent="0.25">
      <c r="E67" s="8"/>
      <c r="F67" s="9"/>
      <c r="G67" s="9"/>
      <c r="H67" s="10">
        <f t="shared" si="1"/>
        <v>0</v>
      </c>
    </row>
    <row r="68" spans="5:8" x14ac:dyDescent="0.25">
      <c r="E68" s="9"/>
      <c r="F68" s="9"/>
      <c r="G68" s="9"/>
      <c r="H68" s="10">
        <f t="shared" si="1"/>
        <v>0</v>
      </c>
    </row>
  </sheetData>
  <mergeCells count="1">
    <mergeCell ref="F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B92A5-871D-4746-9430-B9004A2B12D2}">
  <sheetPr>
    <tabColor rgb="FFFFC000"/>
  </sheetPr>
  <dimension ref="A4:G276"/>
  <sheetViews>
    <sheetView topLeftCell="A248" workbookViewId="0">
      <selection activeCell="E263" sqref="E263"/>
    </sheetView>
  </sheetViews>
  <sheetFormatPr baseColWidth="10" defaultRowHeight="15" x14ac:dyDescent="0.25"/>
  <cols>
    <col min="1" max="1" width="28.28515625" customWidth="1"/>
    <col min="2" max="2" width="27.140625" customWidth="1"/>
    <col min="3" max="3" width="23.42578125" style="6" customWidth="1"/>
    <col min="4" max="4" width="21.85546875" style="6" customWidth="1"/>
  </cols>
  <sheetData>
    <row r="4" spans="1:7" ht="18" x14ac:dyDescent="0.25">
      <c r="A4" s="98" t="s">
        <v>0</v>
      </c>
      <c r="B4" s="98"/>
      <c r="C4" s="98"/>
      <c r="D4" s="98"/>
      <c r="E4" s="1"/>
      <c r="F4" s="1"/>
      <c r="G4" s="1"/>
    </row>
    <row r="6" spans="1:7" x14ac:dyDescent="0.25">
      <c r="A6" s="2" t="s">
        <v>1</v>
      </c>
      <c r="B6" s="96" t="s">
        <v>9</v>
      </c>
      <c r="C6" s="97"/>
      <c r="D6" s="97"/>
    </row>
    <row r="7" spans="1:7" x14ac:dyDescent="0.25">
      <c r="A7" s="3" t="s">
        <v>11</v>
      </c>
      <c r="B7" s="4" t="s">
        <v>43</v>
      </c>
      <c r="C7" s="4"/>
      <c r="D7" s="4"/>
    </row>
    <row r="8" spans="1:7" x14ac:dyDescent="0.25">
      <c r="B8" s="5"/>
    </row>
    <row r="9" spans="1:7" x14ac:dyDescent="0.25">
      <c r="A9" s="2" t="s">
        <v>2</v>
      </c>
      <c r="B9" s="2" t="s">
        <v>3</v>
      </c>
      <c r="C9" s="7" t="s">
        <v>4</v>
      </c>
      <c r="D9" s="7" t="s">
        <v>5</v>
      </c>
    </row>
    <row r="10" spans="1:7" x14ac:dyDescent="0.25">
      <c r="A10" s="8">
        <v>45834</v>
      </c>
      <c r="B10" s="9" t="s">
        <v>6</v>
      </c>
      <c r="C10" s="10">
        <v>350</v>
      </c>
      <c r="D10" s="10">
        <f>C10</f>
        <v>350</v>
      </c>
    </row>
    <row r="11" spans="1:7" x14ac:dyDescent="0.25">
      <c r="A11" s="8">
        <v>45838</v>
      </c>
      <c r="B11" s="9" t="s">
        <v>6</v>
      </c>
      <c r="C11" s="10">
        <v>1190</v>
      </c>
      <c r="D11" s="10">
        <f t="shared" ref="D11:D44" si="0">C11</f>
        <v>1190</v>
      </c>
    </row>
    <row r="12" spans="1:7" x14ac:dyDescent="0.25">
      <c r="A12" s="8">
        <v>45841</v>
      </c>
      <c r="B12" s="9" t="s">
        <v>6</v>
      </c>
      <c r="C12" s="10">
        <v>1570</v>
      </c>
      <c r="D12" s="10">
        <f t="shared" si="0"/>
        <v>1570</v>
      </c>
    </row>
    <row r="13" spans="1:7" x14ac:dyDescent="0.25">
      <c r="A13" s="8">
        <v>45841</v>
      </c>
      <c r="B13" s="9" t="s">
        <v>46</v>
      </c>
      <c r="C13" s="10">
        <v>-1190</v>
      </c>
      <c r="D13" s="10">
        <f>C13</f>
        <v>-1190</v>
      </c>
    </row>
    <row r="14" spans="1:7" x14ac:dyDescent="0.25">
      <c r="A14" s="8">
        <v>45845</v>
      </c>
      <c r="B14" s="9" t="s">
        <v>46</v>
      </c>
      <c r="C14" s="10">
        <v>-1920</v>
      </c>
      <c r="D14" s="10">
        <f t="shared" si="0"/>
        <v>-1920</v>
      </c>
    </row>
    <row r="15" spans="1:7" x14ac:dyDescent="0.25">
      <c r="A15" s="8">
        <v>45848</v>
      </c>
      <c r="B15" s="9" t="s">
        <v>6</v>
      </c>
      <c r="C15" s="10">
        <v>1250</v>
      </c>
      <c r="D15" s="10">
        <f t="shared" si="0"/>
        <v>1250</v>
      </c>
    </row>
    <row r="16" spans="1:7" x14ac:dyDescent="0.25">
      <c r="A16" s="8">
        <v>45852</v>
      </c>
      <c r="B16" s="9" t="s">
        <v>46</v>
      </c>
      <c r="C16" s="10">
        <v>-1250</v>
      </c>
      <c r="D16" s="10">
        <f t="shared" si="0"/>
        <v>-1250</v>
      </c>
    </row>
    <row r="17" spans="1:4" x14ac:dyDescent="0.25">
      <c r="A17" s="8">
        <v>45852</v>
      </c>
      <c r="B17" s="9" t="s">
        <v>6</v>
      </c>
      <c r="C17" s="10">
        <v>1720</v>
      </c>
      <c r="D17" s="10">
        <f t="shared" si="0"/>
        <v>1720</v>
      </c>
    </row>
    <row r="18" spans="1:4" x14ac:dyDescent="0.25">
      <c r="A18" s="8">
        <v>45855</v>
      </c>
      <c r="B18" s="9" t="s">
        <v>6</v>
      </c>
      <c r="C18" s="10">
        <v>1360</v>
      </c>
      <c r="D18" s="10">
        <f t="shared" si="0"/>
        <v>1360</v>
      </c>
    </row>
    <row r="19" spans="1:4" x14ac:dyDescent="0.25">
      <c r="A19" s="8">
        <v>45859</v>
      </c>
      <c r="B19" s="9" t="s">
        <v>46</v>
      </c>
      <c r="C19" s="10">
        <v>-1360</v>
      </c>
      <c r="D19" s="10">
        <f t="shared" si="0"/>
        <v>-1360</v>
      </c>
    </row>
    <row r="20" spans="1:4" x14ac:dyDescent="0.25">
      <c r="A20" s="8">
        <v>45859</v>
      </c>
      <c r="B20" s="9" t="s">
        <v>6</v>
      </c>
      <c r="C20" s="10">
        <v>2010</v>
      </c>
      <c r="D20" s="10">
        <f t="shared" si="0"/>
        <v>2010</v>
      </c>
    </row>
    <row r="21" spans="1:4" x14ac:dyDescent="0.25">
      <c r="A21" s="8">
        <v>45862</v>
      </c>
      <c r="B21" s="9" t="s">
        <v>46</v>
      </c>
      <c r="C21" s="10">
        <v>-3730</v>
      </c>
      <c r="D21" s="10">
        <f t="shared" si="0"/>
        <v>-3730</v>
      </c>
    </row>
    <row r="22" spans="1:4" x14ac:dyDescent="0.25">
      <c r="A22" s="8">
        <v>45863</v>
      </c>
      <c r="B22" s="9" t="s">
        <v>6</v>
      </c>
      <c r="C22" s="10">
        <v>1680</v>
      </c>
      <c r="D22" s="10">
        <f t="shared" si="0"/>
        <v>1680</v>
      </c>
    </row>
    <row r="23" spans="1:4" x14ac:dyDescent="0.25">
      <c r="A23" s="8">
        <v>45866</v>
      </c>
      <c r="B23" s="9" t="s">
        <v>6</v>
      </c>
      <c r="C23" s="10">
        <v>3440</v>
      </c>
      <c r="D23" s="10">
        <f t="shared" si="0"/>
        <v>3440</v>
      </c>
    </row>
    <row r="24" spans="1:4" x14ac:dyDescent="0.25">
      <c r="A24" s="8">
        <v>45866</v>
      </c>
      <c r="B24" s="9" t="s">
        <v>46</v>
      </c>
      <c r="C24" s="10">
        <v>-1680</v>
      </c>
      <c r="D24" s="10">
        <f t="shared" si="0"/>
        <v>-1680</v>
      </c>
    </row>
    <row r="25" spans="1:4" x14ac:dyDescent="0.25">
      <c r="A25" s="8">
        <v>45869</v>
      </c>
      <c r="B25" s="9" t="s">
        <v>6</v>
      </c>
      <c r="C25" s="10">
        <v>2840</v>
      </c>
      <c r="D25" s="10">
        <f t="shared" si="0"/>
        <v>2840</v>
      </c>
    </row>
    <row r="26" spans="1:4" x14ac:dyDescent="0.25">
      <c r="A26" s="8">
        <v>45869</v>
      </c>
      <c r="B26" s="9" t="s">
        <v>46</v>
      </c>
      <c r="C26" s="10">
        <v>-2500</v>
      </c>
      <c r="D26" s="10">
        <f t="shared" si="0"/>
        <v>-2500</v>
      </c>
    </row>
    <row r="27" spans="1:4" x14ac:dyDescent="0.25">
      <c r="A27" s="8">
        <v>45873</v>
      </c>
      <c r="B27" s="9" t="s">
        <v>6</v>
      </c>
      <c r="C27" s="10">
        <v>2890</v>
      </c>
      <c r="D27" s="10">
        <f t="shared" si="0"/>
        <v>2890</v>
      </c>
    </row>
    <row r="28" spans="1:4" x14ac:dyDescent="0.25">
      <c r="A28" s="8">
        <v>45873</v>
      </c>
      <c r="B28" s="9" t="s">
        <v>46</v>
      </c>
      <c r="C28" s="10">
        <v>-3940</v>
      </c>
      <c r="D28" s="10">
        <f t="shared" si="0"/>
        <v>-3940</v>
      </c>
    </row>
    <row r="29" spans="1:4" x14ac:dyDescent="0.25">
      <c r="A29" s="8">
        <v>45876</v>
      </c>
      <c r="B29" s="9" t="s">
        <v>6</v>
      </c>
      <c r="C29" s="10">
        <v>3520</v>
      </c>
      <c r="D29" s="10">
        <f t="shared" si="0"/>
        <v>3520</v>
      </c>
    </row>
    <row r="30" spans="1:4" x14ac:dyDescent="0.25">
      <c r="A30" s="8">
        <v>45876</v>
      </c>
      <c r="B30" s="9" t="s">
        <v>46</v>
      </c>
      <c r="C30" s="10">
        <v>-2890</v>
      </c>
      <c r="D30" s="10">
        <f t="shared" si="0"/>
        <v>-2890</v>
      </c>
    </row>
    <row r="31" spans="1:4" x14ac:dyDescent="0.25">
      <c r="A31" s="8">
        <v>45880</v>
      </c>
      <c r="B31" s="9" t="s">
        <v>6</v>
      </c>
      <c r="C31" s="10">
        <v>2500</v>
      </c>
      <c r="D31" s="10">
        <f t="shared" si="0"/>
        <v>2500</v>
      </c>
    </row>
    <row r="32" spans="1:4" x14ac:dyDescent="0.25">
      <c r="A32" s="8">
        <v>45880</v>
      </c>
      <c r="B32" s="9" t="s">
        <v>46</v>
      </c>
      <c r="C32" s="10">
        <v>-3520</v>
      </c>
      <c r="D32" s="10">
        <f t="shared" si="0"/>
        <v>-3520</v>
      </c>
    </row>
    <row r="33" spans="1:4" x14ac:dyDescent="0.25">
      <c r="A33" s="8">
        <v>45883</v>
      </c>
      <c r="B33" s="9" t="s">
        <v>3</v>
      </c>
      <c r="C33" s="10">
        <v>2690</v>
      </c>
      <c r="D33" s="10">
        <f t="shared" si="0"/>
        <v>2690</v>
      </c>
    </row>
    <row r="34" spans="1:4" x14ac:dyDescent="0.25">
      <c r="A34" s="8">
        <v>45887</v>
      </c>
      <c r="B34" s="9" t="s">
        <v>46</v>
      </c>
      <c r="C34" s="10">
        <v>-2380</v>
      </c>
      <c r="D34" s="10">
        <f t="shared" si="0"/>
        <v>-2380</v>
      </c>
    </row>
    <row r="35" spans="1:4" x14ac:dyDescent="0.25">
      <c r="A35" s="8">
        <v>45887</v>
      </c>
      <c r="B35" s="9" t="s">
        <v>3</v>
      </c>
      <c r="C35" s="10">
        <v>2830</v>
      </c>
      <c r="D35" s="10">
        <f t="shared" si="0"/>
        <v>2830</v>
      </c>
    </row>
    <row r="36" spans="1:4" x14ac:dyDescent="0.25">
      <c r="A36" s="8">
        <v>45890</v>
      </c>
      <c r="B36" s="9" t="s">
        <v>46</v>
      </c>
      <c r="C36" s="10">
        <v>-1600</v>
      </c>
      <c r="D36" s="10">
        <f t="shared" si="0"/>
        <v>-1600</v>
      </c>
    </row>
    <row r="37" spans="1:4" x14ac:dyDescent="0.25">
      <c r="A37" s="8">
        <v>45890</v>
      </c>
      <c r="B37" s="9" t="s">
        <v>3</v>
      </c>
      <c r="C37" s="10">
        <v>4030</v>
      </c>
      <c r="D37" s="10">
        <f t="shared" si="0"/>
        <v>4030</v>
      </c>
    </row>
    <row r="38" spans="1:4" x14ac:dyDescent="0.25">
      <c r="A38" s="8">
        <v>45894</v>
      </c>
      <c r="B38" s="9" t="s">
        <v>3</v>
      </c>
      <c r="C38" s="10">
        <v>1120</v>
      </c>
      <c r="D38" s="10">
        <f t="shared" si="0"/>
        <v>1120</v>
      </c>
    </row>
    <row r="39" spans="1:4" x14ac:dyDescent="0.25">
      <c r="A39" s="8">
        <v>45894</v>
      </c>
      <c r="B39" s="9" t="s">
        <v>46</v>
      </c>
      <c r="C39" s="10">
        <v>-4030</v>
      </c>
      <c r="D39" s="10">
        <f t="shared" si="0"/>
        <v>-4030</v>
      </c>
    </row>
    <row r="40" spans="1:4" x14ac:dyDescent="0.25">
      <c r="A40" s="8">
        <v>45897</v>
      </c>
      <c r="B40" s="9" t="s">
        <v>3</v>
      </c>
      <c r="C40" s="10">
        <v>3450</v>
      </c>
      <c r="D40" s="10">
        <f t="shared" si="0"/>
        <v>3450</v>
      </c>
    </row>
    <row r="41" spans="1:4" x14ac:dyDescent="0.25">
      <c r="A41" s="8">
        <v>45897</v>
      </c>
      <c r="B41" s="9" t="s">
        <v>46</v>
      </c>
      <c r="C41" s="10">
        <v>-2350</v>
      </c>
      <c r="D41" s="10">
        <f t="shared" si="0"/>
        <v>-2350</v>
      </c>
    </row>
    <row r="42" spans="1:4" x14ac:dyDescent="0.25">
      <c r="A42" s="8">
        <v>45898</v>
      </c>
      <c r="B42" s="9" t="s">
        <v>3</v>
      </c>
      <c r="C42" s="10">
        <v>1150</v>
      </c>
      <c r="D42" s="10">
        <f t="shared" si="0"/>
        <v>1150</v>
      </c>
    </row>
    <row r="43" spans="1:4" x14ac:dyDescent="0.25">
      <c r="A43" s="8"/>
      <c r="B43" s="9"/>
      <c r="C43" s="10"/>
      <c r="D43" s="10">
        <f t="shared" si="0"/>
        <v>0</v>
      </c>
    </row>
    <row r="44" spans="1:4" x14ac:dyDescent="0.25">
      <c r="A44" s="8">
        <v>45901</v>
      </c>
      <c r="B44" s="9" t="s">
        <v>3</v>
      </c>
      <c r="C44" s="10">
        <v>3980</v>
      </c>
      <c r="D44" s="10">
        <f t="shared" si="0"/>
        <v>3980</v>
      </c>
    </row>
    <row r="45" spans="1:4" x14ac:dyDescent="0.25">
      <c r="A45" s="8">
        <v>45904</v>
      </c>
      <c r="B45" s="9" t="s">
        <v>46</v>
      </c>
      <c r="C45" s="10">
        <v>-3980</v>
      </c>
      <c r="D45" s="10">
        <f>D44+C45</f>
        <v>0</v>
      </c>
    </row>
    <row r="46" spans="1:4" x14ac:dyDescent="0.25">
      <c r="A46" s="8">
        <v>45905</v>
      </c>
      <c r="B46" s="9" t="s">
        <v>3</v>
      </c>
      <c r="C46" s="10"/>
      <c r="D46" s="10">
        <f t="shared" ref="D46:D56" si="1">D45+C46</f>
        <v>0</v>
      </c>
    </row>
    <row r="47" spans="1:4" x14ac:dyDescent="0.25">
      <c r="A47" s="8">
        <v>45908</v>
      </c>
      <c r="B47" s="9" t="s">
        <v>46</v>
      </c>
      <c r="C47" s="10">
        <v>3270</v>
      </c>
      <c r="D47" s="10">
        <f t="shared" si="1"/>
        <v>3270</v>
      </c>
    </row>
    <row r="48" spans="1:4" x14ac:dyDescent="0.25">
      <c r="A48" s="21">
        <v>45908</v>
      </c>
      <c r="B48" s="9" t="s">
        <v>46</v>
      </c>
      <c r="C48" s="10">
        <v>-3270</v>
      </c>
      <c r="D48" s="10">
        <f t="shared" si="1"/>
        <v>0</v>
      </c>
    </row>
    <row r="49" spans="1:4" x14ac:dyDescent="0.25">
      <c r="A49" s="22">
        <v>45911</v>
      </c>
      <c r="B49" s="9" t="s">
        <v>3</v>
      </c>
      <c r="C49" s="10">
        <v>3050</v>
      </c>
      <c r="D49" s="10">
        <f t="shared" si="1"/>
        <v>3050</v>
      </c>
    </row>
    <row r="50" spans="1:4" x14ac:dyDescent="0.25">
      <c r="A50" s="8">
        <v>45911</v>
      </c>
      <c r="B50" s="9" t="s">
        <v>3</v>
      </c>
      <c r="C50" s="10">
        <v>2190</v>
      </c>
      <c r="D50" s="10">
        <f t="shared" si="1"/>
        <v>5240</v>
      </c>
    </row>
    <row r="51" spans="1:4" x14ac:dyDescent="0.25">
      <c r="A51" s="8"/>
      <c r="B51" s="9" t="s">
        <v>46</v>
      </c>
      <c r="C51" s="10">
        <v>-3050</v>
      </c>
      <c r="D51" s="10">
        <f t="shared" si="1"/>
        <v>2190</v>
      </c>
    </row>
    <row r="52" spans="1:4" x14ac:dyDescent="0.25">
      <c r="A52" s="8">
        <v>45918</v>
      </c>
      <c r="B52" s="9" t="s">
        <v>3</v>
      </c>
      <c r="C52" s="10">
        <v>6240</v>
      </c>
      <c r="D52" s="10">
        <f t="shared" si="1"/>
        <v>8430</v>
      </c>
    </row>
    <row r="53" spans="1:4" x14ac:dyDescent="0.25">
      <c r="A53" s="8">
        <v>45922</v>
      </c>
      <c r="B53" s="9" t="s">
        <v>46</v>
      </c>
      <c r="C53" s="10">
        <v>-6240</v>
      </c>
      <c r="D53" s="10">
        <f t="shared" si="1"/>
        <v>2190</v>
      </c>
    </row>
    <row r="54" spans="1:4" x14ac:dyDescent="0.25">
      <c r="A54" s="8">
        <v>45922</v>
      </c>
      <c r="B54" s="9" t="s">
        <v>3</v>
      </c>
      <c r="C54" s="10">
        <v>1290</v>
      </c>
      <c r="D54" s="10">
        <f t="shared" si="1"/>
        <v>3480</v>
      </c>
    </row>
    <row r="55" spans="1:4" x14ac:dyDescent="0.25">
      <c r="A55" s="8">
        <v>45925</v>
      </c>
      <c r="B55" s="9" t="s">
        <v>3</v>
      </c>
      <c r="C55" s="10">
        <v>2200</v>
      </c>
      <c r="D55" s="10">
        <f t="shared" si="1"/>
        <v>5680</v>
      </c>
    </row>
    <row r="56" spans="1:4" x14ac:dyDescent="0.25">
      <c r="A56" s="8">
        <v>45925</v>
      </c>
      <c r="B56" s="9" t="s">
        <v>46</v>
      </c>
      <c r="C56" s="10">
        <v>-3960</v>
      </c>
      <c r="D56" s="10">
        <f t="shared" si="1"/>
        <v>1720</v>
      </c>
    </row>
    <row r="57" spans="1:4" x14ac:dyDescent="0.25">
      <c r="A57" s="8">
        <v>45926</v>
      </c>
      <c r="B57" s="9" t="s">
        <v>129</v>
      </c>
      <c r="C57" s="10">
        <v>5400</v>
      </c>
      <c r="D57" s="10">
        <f>D56+C57</f>
        <v>7120</v>
      </c>
    </row>
    <row r="58" spans="1:4" x14ac:dyDescent="0.25">
      <c r="A58" s="8">
        <v>45926</v>
      </c>
      <c r="B58" s="9" t="s">
        <v>129</v>
      </c>
      <c r="C58" s="10">
        <v>4710</v>
      </c>
      <c r="D58" s="10">
        <f t="shared" ref="D58:D106" si="2">D57+C58</f>
        <v>11830</v>
      </c>
    </row>
    <row r="59" spans="1:4" x14ac:dyDescent="0.25">
      <c r="A59" s="8">
        <v>45929</v>
      </c>
      <c r="B59" s="9" t="s">
        <v>3</v>
      </c>
      <c r="C59" s="10">
        <v>1070</v>
      </c>
      <c r="D59" s="10">
        <f t="shared" si="2"/>
        <v>12900</v>
      </c>
    </row>
    <row r="60" spans="1:4" x14ac:dyDescent="0.25">
      <c r="A60" s="8">
        <v>45929</v>
      </c>
      <c r="B60" s="9" t="s">
        <v>3</v>
      </c>
      <c r="C60" s="10">
        <v>2150</v>
      </c>
      <c r="D60" s="10">
        <f t="shared" si="2"/>
        <v>15050</v>
      </c>
    </row>
    <row r="61" spans="1:4" x14ac:dyDescent="0.25">
      <c r="A61" s="8">
        <v>45929</v>
      </c>
      <c r="B61" s="9" t="s">
        <v>46</v>
      </c>
      <c r="C61" s="10">
        <v>-14460</v>
      </c>
      <c r="D61" s="10">
        <f t="shared" si="2"/>
        <v>590</v>
      </c>
    </row>
    <row r="62" spans="1:4" x14ac:dyDescent="0.25">
      <c r="A62" s="8">
        <v>45932</v>
      </c>
      <c r="B62" s="9" t="s">
        <v>3</v>
      </c>
      <c r="C62" s="10">
        <v>2390</v>
      </c>
      <c r="D62" s="10">
        <f t="shared" si="2"/>
        <v>2980</v>
      </c>
    </row>
    <row r="63" spans="1:4" x14ac:dyDescent="0.25">
      <c r="A63" s="8">
        <v>45932</v>
      </c>
      <c r="B63" s="9" t="s">
        <v>46</v>
      </c>
      <c r="C63" s="10">
        <v>-1070</v>
      </c>
      <c r="D63" s="10">
        <f t="shared" si="2"/>
        <v>1910</v>
      </c>
    </row>
    <row r="64" spans="1:4" x14ac:dyDescent="0.25">
      <c r="A64" s="8">
        <v>45936</v>
      </c>
      <c r="B64" s="9" t="s">
        <v>3</v>
      </c>
      <c r="C64" s="10">
        <v>3940</v>
      </c>
      <c r="D64" s="10">
        <f t="shared" si="2"/>
        <v>5850</v>
      </c>
    </row>
    <row r="65" spans="1:4" x14ac:dyDescent="0.25">
      <c r="A65" s="8">
        <v>45936</v>
      </c>
      <c r="B65" s="9" t="s">
        <v>46</v>
      </c>
      <c r="C65" s="10">
        <v>-3580</v>
      </c>
      <c r="D65" s="10">
        <f t="shared" si="2"/>
        <v>2270</v>
      </c>
    </row>
    <row r="66" spans="1:4" x14ac:dyDescent="0.25">
      <c r="A66" s="8">
        <v>45938</v>
      </c>
      <c r="B66" s="9" t="s">
        <v>3</v>
      </c>
      <c r="C66" s="10">
        <v>820</v>
      </c>
      <c r="D66" s="10">
        <f t="shared" si="2"/>
        <v>3090</v>
      </c>
    </row>
    <row r="67" spans="1:4" x14ac:dyDescent="0.25">
      <c r="A67" s="8">
        <v>45939</v>
      </c>
      <c r="B67" s="9" t="s">
        <v>3</v>
      </c>
      <c r="C67" s="10">
        <v>3070</v>
      </c>
      <c r="D67" s="10">
        <f t="shared" si="2"/>
        <v>6160</v>
      </c>
    </row>
    <row r="68" spans="1:4" x14ac:dyDescent="0.25">
      <c r="A68" s="8">
        <v>45939</v>
      </c>
      <c r="B68" s="9" t="s">
        <v>178</v>
      </c>
      <c r="C68" s="10">
        <v>-3070</v>
      </c>
      <c r="D68" s="10">
        <f t="shared" si="2"/>
        <v>3090</v>
      </c>
    </row>
    <row r="69" spans="1:4" x14ac:dyDescent="0.25">
      <c r="A69" s="8">
        <v>45943</v>
      </c>
      <c r="B69" s="9" t="s">
        <v>3</v>
      </c>
      <c r="C69" s="10">
        <v>4420</v>
      </c>
      <c r="D69" s="10">
        <f t="shared" si="2"/>
        <v>7510</v>
      </c>
    </row>
    <row r="70" spans="1:4" x14ac:dyDescent="0.25">
      <c r="A70" s="8">
        <v>45943</v>
      </c>
      <c r="B70" s="9" t="s">
        <v>178</v>
      </c>
      <c r="C70" s="10">
        <v>-3940</v>
      </c>
      <c r="D70" s="10">
        <f t="shared" si="2"/>
        <v>3570</v>
      </c>
    </row>
    <row r="71" spans="1:4" x14ac:dyDescent="0.25">
      <c r="A71" s="8">
        <v>45946</v>
      </c>
      <c r="B71" s="9" t="s">
        <v>3</v>
      </c>
      <c r="C71" s="10">
        <v>2950</v>
      </c>
      <c r="D71" s="10">
        <f t="shared" si="2"/>
        <v>6520</v>
      </c>
    </row>
    <row r="72" spans="1:4" x14ac:dyDescent="0.25">
      <c r="A72" s="8">
        <v>45946</v>
      </c>
      <c r="B72" s="9" t="s">
        <v>178</v>
      </c>
      <c r="C72" s="10">
        <v>-4420</v>
      </c>
      <c r="D72" s="10">
        <f t="shared" si="2"/>
        <v>2100</v>
      </c>
    </row>
    <row r="73" spans="1:4" x14ac:dyDescent="0.25">
      <c r="A73" s="8">
        <v>45947</v>
      </c>
      <c r="B73" s="9" t="s">
        <v>3</v>
      </c>
      <c r="C73" s="10">
        <v>2990</v>
      </c>
      <c r="D73" s="10">
        <f t="shared" si="2"/>
        <v>5090</v>
      </c>
    </row>
    <row r="74" spans="1:4" ht="14.25" customHeight="1" x14ac:dyDescent="0.25">
      <c r="A74" s="8">
        <v>45950</v>
      </c>
      <c r="B74" s="9" t="s">
        <v>3</v>
      </c>
      <c r="C74" s="10">
        <v>2420</v>
      </c>
      <c r="D74" s="10">
        <f t="shared" si="2"/>
        <v>7510</v>
      </c>
    </row>
    <row r="75" spans="1:4" x14ac:dyDescent="0.25">
      <c r="A75" s="8">
        <v>45950</v>
      </c>
      <c r="B75" s="9" t="s">
        <v>178</v>
      </c>
      <c r="C75" s="10">
        <v>-2950</v>
      </c>
      <c r="D75" s="10">
        <f t="shared" si="2"/>
        <v>4560</v>
      </c>
    </row>
    <row r="76" spans="1:4" x14ac:dyDescent="0.25">
      <c r="A76" s="8">
        <v>45953</v>
      </c>
      <c r="B76" s="9" t="s">
        <v>3</v>
      </c>
      <c r="C76" s="10">
        <v>2705</v>
      </c>
      <c r="D76" s="10">
        <f t="shared" si="2"/>
        <v>7265</v>
      </c>
    </row>
    <row r="77" spans="1:4" x14ac:dyDescent="0.25">
      <c r="A77" s="8">
        <v>45953</v>
      </c>
      <c r="B77" s="9" t="s">
        <v>178</v>
      </c>
      <c r="C77" s="10">
        <v>-5410</v>
      </c>
      <c r="D77" s="10">
        <f t="shared" si="2"/>
        <v>1855</v>
      </c>
    </row>
    <row r="78" spans="1:4" x14ac:dyDescent="0.25">
      <c r="A78" s="8">
        <v>45957</v>
      </c>
      <c r="B78" s="9" t="s">
        <v>3</v>
      </c>
      <c r="C78" s="10">
        <v>3180</v>
      </c>
      <c r="D78" s="10">
        <f t="shared" si="2"/>
        <v>5035</v>
      </c>
    </row>
    <row r="79" spans="1:4" x14ac:dyDescent="0.25">
      <c r="A79" s="8">
        <v>45957</v>
      </c>
      <c r="B79" s="9" t="s">
        <v>178</v>
      </c>
      <c r="C79" s="10">
        <v>-2705</v>
      </c>
      <c r="D79" s="10">
        <f t="shared" si="2"/>
        <v>2330</v>
      </c>
    </row>
    <row r="80" spans="1:4" x14ac:dyDescent="0.25">
      <c r="A80" s="8">
        <v>45960</v>
      </c>
      <c r="B80" s="9" t="s">
        <v>3</v>
      </c>
      <c r="C80" s="10">
        <v>5260</v>
      </c>
      <c r="D80" s="10">
        <f t="shared" si="2"/>
        <v>7590</v>
      </c>
    </row>
    <row r="81" spans="1:4" x14ac:dyDescent="0.25">
      <c r="A81" s="8">
        <v>45960</v>
      </c>
      <c r="B81" s="9" t="s">
        <v>178</v>
      </c>
      <c r="C81" s="10">
        <v>-3180</v>
      </c>
      <c r="D81" s="10">
        <f t="shared" si="2"/>
        <v>4410</v>
      </c>
    </row>
    <row r="82" spans="1:4" x14ac:dyDescent="0.25">
      <c r="A82" s="8">
        <v>45933</v>
      </c>
      <c r="B82" s="9" t="s">
        <v>3</v>
      </c>
      <c r="C82" s="10">
        <v>3380</v>
      </c>
      <c r="D82" s="10">
        <f t="shared" si="2"/>
        <v>7790</v>
      </c>
    </row>
    <row r="83" spans="1:4" x14ac:dyDescent="0.25">
      <c r="A83" s="8">
        <v>45933</v>
      </c>
      <c r="B83" s="9" t="s">
        <v>178</v>
      </c>
      <c r="C83" s="10">
        <v>-5260</v>
      </c>
      <c r="D83" s="10">
        <f t="shared" si="2"/>
        <v>2530</v>
      </c>
    </row>
    <row r="84" spans="1:4" x14ac:dyDescent="0.25">
      <c r="A84" s="8">
        <v>45968</v>
      </c>
      <c r="B84" s="9" t="s">
        <v>3</v>
      </c>
      <c r="C84" s="10">
        <v>3360</v>
      </c>
      <c r="D84" s="10">
        <f t="shared" si="2"/>
        <v>5890</v>
      </c>
    </row>
    <row r="85" spans="1:4" x14ac:dyDescent="0.25">
      <c r="A85" s="8">
        <v>45968</v>
      </c>
      <c r="B85" s="9" t="s">
        <v>178</v>
      </c>
      <c r="C85" s="10">
        <v>-3380</v>
      </c>
      <c r="D85" s="10">
        <f t="shared" si="2"/>
        <v>2510</v>
      </c>
    </row>
    <row r="86" spans="1:4" x14ac:dyDescent="0.25">
      <c r="A86" s="8">
        <v>45971</v>
      </c>
      <c r="B86" s="9" t="s">
        <v>3</v>
      </c>
      <c r="C86" s="10">
        <v>1810</v>
      </c>
      <c r="D86" s="10">
        <f t="shared" si="2"/>
        <v>4320</v>
      </c>
    </row>
    <row r="87" spans="1:4" x14ac:dyDescent="0.25">
      <c r="A87" s="8">
        <v>45974</v>
      </c>
      <c r="B87" s="9" t="s">
        <v>3</v>
      </c>
      <c r="C87" s="10">
        <v>3490</v>
      </c>
      <c r="D87" s="10">
        <f t="shared" si="2"/>
        <v>7810</v>
      </c>
    </row>
    <row r="88" spans="1:4" x14ac:dyDescent="0.25">
      <c r="A88" s="8">
        <v>45974</v>
      </c>
      <c r="B88" s="9" t="s">
        <v>46</v>
      </c>
      <c r="C88" s="10">
        <v>-5570</v>
      </c>
      <c r="D88" s="10">
        <f t="shared" si="2"/>
        <v>2240</v>
      </c>
    </row>
    <row r="89" spans="1:4" x14ac:dyDescent="0.25">
      <c r="A89" s="8">
        <v>45978</v>
      </c>
      <c r="B89" s="9" t="s">
        <v>3</v>
      </c>
      <c r="C89" s="10">
        <v>3700</v>
      </c>
      <c r="D89" s="10">
        <f t="shared" si="2"/>
        <v>5940</v>
      </c>
    </row>
    <row r="90" spans="1:4" x14ac:dyDescent="0.25">
      <c r="A90" s="8">
        <v>45978</v>
      </c>
      <c r="B90" s="9" t="s">
        <v>46</v>
      </c>
      <c r="C90" s="10">
        <v>-3490</v>
      </c>
      <c r="D90" s="10">
        <f t="shared" si="2"/>
        <v>2450</v>
      </c>
    </row>
    <row r="91" spans="1:4" x14ac:dyDescent="0.25">
      <c r="A91" s="8">
        <v>45981</v>
      </c>
      <c r="B91" s="9" t="s">
        <v>3</v>
      </c>
      <c r="C91" s="10">
        <v>3500</v>
      </c>
      <c r="D91" s="10">
        <f t="shared" si="2"/>
        <v>5950</v>
      </c>
    </row>
    <row r="92" spans="1:4" x14ac:dyDescent="0.25">
      <c r="A92" s="8">
        <v>45981</v>
      </c>
      <c r="B92" s="9" t="s">
        <v>46</v>
      </c>
      <c r="C92" s="10">
        <v>-2450</v>
      </c>
      <c r="D92" s="10">
        <f t="shared" si="2"/>
        <v>3500</v>
      </c>
    </row>
    <row r="93" spans="1:4" x14ac:dyDescent="0.25">
      <c r="A93" s="8">
        <v>45985</v>
      </c>
      <c r="B93" s="9" t="s">
        <v>3</v>
      </c>
      <c r="C93" s="10">
        <v>3990</v>
      </c>
      <c r="D93" s="10">
        <f t="shared" si="2"/>
        <v>7490</v>
      </c>
    </row>
    <row r="94" spans="1:4" x14ac:dyDescent="0.25">
      <c r="A94" s="8">
        <v>45985</v>
      </c>
      <c r="B94" s="9" t="s">
        <v>46</v>
      </c>
      <c r="C94" s="10">
        <v>-3700</v>
      </c>
      <c r="D94" s="10">
        <f t="shared" si="2"/>
        <v>3790</v>
      </c>
    </row>
    <row r="95" spans="1:4" x14ac:dyDescent="0.25">
      <c r="A95" s="8">
        <v>45988</v>
      </c>
      <c r="B95" s="9" t="s">
        <v>46</v>
      </c>
      <c r="C95" s="10">
        <v>-3790</v>
      </c>
      <c r="D95" s="10">
        <f t="shared" si="2"/>
        <v>0</v>
      </c>
    </row>
    <row r="96" spans="1:4" x14ac:dyDescent="0.25">
      <c r="A96" s="8">
        <v>45988</v>
      </c>
      <c r="B96" s="9" t="s">
        <v>3</v>
      </c>
      <c r="C96" s="10">
        <v>3310</v>
      </c>
      <c r="D96" s="10">
        <f t="shared" si="2"/>
        <v>3310</v>
      </c>
    </row>
    <row r="97" spans="1:4" x14ac:dyDescent="0.25">
      <c r="A97" s="8">
        <v>45992</v>
      </c>
      <c r="B97" s="9" t="s">
        <v>3</v>
      </c>
      <c r="C97" s="10">
        <v>2100</v>
      </c>
      <c r="D97" s="10">
        <f t="shared" si="2"/>
        <v>5410</v>
      </c>
    </row>
    <row r="98" spans="1:4" x14ac:dyDescent="0.25">
      <c r="A98" s="8">
        <v>45992</v>
      </c>
      <c r="B98" s="9" t="s">
        <v>46</v>
      </c>
      <c r="C98" s="10">
        <v>-3110</v>
      </c>
      <c r="D98" s="10">
        <f t="shared" si="2"/>
        <v>2300</v>
      </c>
    </row>
    <row r="99" spans="1:4" x14ac:dyDescent="0.25">
      <c r="A99" s="8">
        <v>45995</v>
      </c>
      <c r="B99" s="9" t="s">
        <v>3</v>
      </c>
      <c r="C99" s="10">
        <v>2590</v>
      </c>
      <c r="D99" s="10">
        <f t="shared" si="2"/>
        <v>4890</v>
      </c>
    </row>
    <row r="100" spans="1:4" x14ac:dyDescent="0.25">
      <c r="A100" s="8">
        <v>45969</v>
      </c>
      <c r="B100" s="9" t="s">
        <v>3</v>
      </c>
      <c r="C100" s="10">
        <v>940</v>
      </c>
      <c r="D100" s="10">
        <f t="shared" si="2"/>
        <v>5830</v>
      </c>
    </row>
    <row r="101" spans="1:4" x14ac:dyDescent="0.25">
      <c r="A101" s="8">
        <v>45999</v>
      </c>
      <c r="B101" s="9" t="s">
        <v>46</v>
      </c>
      <c r="C101" s="10">
        <v>-2590</v>
      </c>
      <c r="D101" s="10">
        <f t="shared" si="2"/>
        <v>3240</v>
      </c>
    </row>
    <row r="102" spans="1:4" x14ac:dyDescent="0.25">
      <c r="A102" s="8">
        <v>46002</v>
      </c>
      <c r="B102" s="9" t="s">
        <v>3</v>
      </c>
      <c r="C102" s="10">
        <v>4990</v>
      </c>
      <c r="D102" s="10">
        <f t="shared" si="2"/>
        <v>8230</v>
      </c>
    </row>
    <row r="103" spans="1:4" x14ac:dyDescent="0.25">
      <c r="A103" s="8">
        <v>46002</v>
      </c>
      <c r="B103" s="9" t="s">
        <v>46</v>
      </c>
      <c r="C103" s="10">
        <v>-940</v>
      </c>
      <c r="D103" s="10">
        <f t="shared" si="2"/>
        <v>7290</v>
      </c>
    </row>
    <row r="104" spans="1:4" x14ac:dyDescent="0.25">
      <c r="A104" s="8">
        <v>46006</v>
      </c>
      <c r="B104" s="9" t="s">
        <v>3</v>
      </c>
      <c r="C104" s="10">
        <v>2970</v>
      </c>
      <c r="D104" s="10">
        <f t="shared" si="2"/>
        <v>10260</v>
      </c>
    </row>
    <row r="105" spans="1:4" x14ac:dyDescent="0.25">
      <c r="A105" s="8">
        <v>46006</v>
      </c>
      <c r="B105" s="9" t="s">
        <v>46</v>
      </c>
      <c r="C105" s="10">
        <v>-4990</v>
      </c>
      <c r="D105" s="10">
        <f t="shared" si="2"/>
        <v>5270</v>
      </c>
    </row>
    <row r="106" spans="1:4" x14ac:dyDescent="0.25">
      <c r="A106" s="8">
        <v>46009</v>
      </c>
      <c r="B106" s="9" t="s">
        <v>46</v>
      </c>
      <c r="C106" s="10">
        <v>-2970</v>
      </c>
      <c r="D106" s="10">
        <f t="shared" si="2"/>
        <v>2300</v>
      </c>
    </row>
    <row r="107" spans="1:4" x14ac:dyDescent="0.25">
      <c r="A107" s="8">
        <v>46009</v>
      </c>
      <c r="B107" s="9" t="s">
        <v>3</v>
      </c>
      <c r="C107" s="10">
        <v>3320</v>
      </c>
      <c r="D107" s="10">
        <f>D106+C107</f>
        <v>5620</v>
      </c>
    </row>
    <row r="108" spans="1:4" x14ac:dyDescent="0.25">
      <c r="A108" s="8">
        <v>46020</v>
      </c>
      <c r="B108" s="9" t="s">
        <v>271</v>
      </c>
      <c r="C108" s="10">
        <v>-5620</v>
      </c>
      <c r="D108" s="10">
        <f t="shared" ref="D108:D111" si="3">D107+C108</f>
        <v>0</v>
      </c>
    </row>
    <row r="109" spans="1:4" x14ac:dyDescent="0.25">
      <c r="A109" s="8">
        <v>46027</v>
      </c>
      <c r="B109" s="9" t="s">
        <v>3</v>
      </c>
      <c r="C109" s="10">
        <v>3120</v>
      </c>
      <c r="D109" s="10">
        <f t="shared" si="3"/>
        <v>3120</v>
      </c>
    </row>
    <row r="110" spans="1:4" x14ac:dyDescent="0.25">
      <c r="A110" s="8">
        <v>46030</v>
      </c>
      <c r="B110" s="9" t="s">
        <v>3</v>
      </c>
      <c r="C110" s="10">
        <v>1800</v>
      </c>
      <c r="D110" s="10">
        <f t="shared" si="3"/>
        <v>4920</v>
      </c>
    </row>
    <row r="111" spans="1:4" x14ac:dyDescent="0.25">
      <c r="A111" s="8">
        <v>46030</v>
      </c>
      <c r="B111" s="9" t="s">
        <v>178</v>
      </c>
      <c r="C111" s="10">
        <v>-3120</v>
      </c>
      <c r="D111" s="10">
        <f t="shared" si="3"/>
        <v>1800</v>
      </c>
    </row>
    <row r="112" spans="1:4" x14ac:dyDescent="0.25">
      <c r="A112" s="8">
        <v>46034</v>
      </c>
      <c r="B112" s="9" t="s">
        <v>3</v>
      </c>
      <c r="C112" s="10">
        <v>3130</v>
      </c>
      <c r="D112" s="10">
        <f t="shared" ref="D112:D175" si="4">D111+C112</f>
        <v>4930</v>
      </c>
    </row>
    <row r="113" spans="1:4" x14ac:dyDescent="0.25">
      <c r="A113" s="8">
        <v>46034</v>
      </c>
      <c r="B113" s="9" t="s">
        <v>178</v>
      </c>
      <c r="C113" s="10">
        <v>-1800</v>
      </c>
      <c r="D113" s="10">
        <f t="shared" si="4"/>
        <v>3130</v>
      </c>
    </row>
    <row r="114" spans="1:4" x14ac:dyDescent="0.25">
      <c r="A114" s="8">
        <v>46037</v>
      </c>
      <c r="B114" s="9" t="s">
        <v>3</v>
      </c>
      <c r="C114" s="10">
        <v>2550</v>
      </c>
      <c r="D114" s="10">
        <f t="shared" si="4"/>
        <v>5680</v>
      </c>
    </row>
    <row r="115" spans="1:4" x14ac:dyDescent="0.25">
      <c r="A115" s="8">
        <v>46037</v>
      </c>
      <c r="B115" s="9" t="s">
        <v>178</v>
      </c>
      <c r="C115" s="10">
        <v>-3000</v>
      </c>
      <c r="D115" s="10">
        <f t="shared" si="4"/>
        <v>2680</v>
      </c>
    </row>
    <row r="116" spans="1:4" x14ac:dyDescent="0.25">
      <c r="A116" s="8">
        <v>46041</v>
      </c>
      <c r="B116" s="9" t="s">
        <v>3</v>
      </c>
      <c r="C116" s="10">
        <v>4545</v>
      </c>
      <c r="D116" s="10">
        <f t="shared" si="4"/>
        <v>7225</v>
      </c>
    </row>
    <row r="117" spans="1:4" x14ac:dyDescent="0.25">
      <c r="A117" s="8">
        <v>46044</v>
      </c>
      <c r="B117" s="9" t="s">
        <v>3</v>
      </c>
      <c r="C117" s="10">
        <v>6980</v>
      </c>
      <c r="D117" s="10">
        <f t="shared" si="4"/>
        <v>14205</v>
      </c>
    </row>
    <row r="118" spans="1:4" x14ac:dyDescent="0.25">
      <c r="A118" s="8">
        <v>46044</v>
      </c>
      <c r="B118" s="9" t="s">
        <v>178</v>
      </c>
      <c r="C118" s="10">
        <v>-2550</v>
      </c>
      <c r="D118" s="10">
        <f t="shared" si="4"/>
        <v>11655</v>
      </c>
    </row>
    <row r="119" spans="1:4" x14ac:dyDescent="0.25">
      <c r="A119" s="8">
        <v>46048</v>
      </c>
      <c r="B119" s="9" t="s">
        <v>3</v>
      </c>
      <c r="C119" s="10">
        <v>1085</v>
      </c>
      <c r="D119" s="10">
        <f t="shared" si="4"/>
        <v>12740</v>
      </c>
    </row>
    <row r="120" spans="1:4" x14ac:dyDescent="0.25">
      <c r="A120" s="8">
        <v>46048</v>
      </c>
      <c r="B120" s="9" t="s">
        <v>178</v>
      </c>
      <c r="C120" s="10">
        <v>-7370</v>
      </c>
      <c r="D120" s="10">
        <f t="shared" si="4"/>
        <v>5370</v>
      </c>
    </row>
    <row r="121" spans="1:4" x14ac:dyDescent="0.25">
      <c r="A121" s="8">
        <v>46051</v>
      </c>
      <c r="B121" s="9" t="s">
        <v>3</v>
      </c>
      <c r="C121" s="10">
        <v>2950</v>
      </c>
      <c r="D121" s="10">
        <f t="shared" si="4"/>
        <v>8320</v>
      </c>
    </row>
    <row r="122" spans="1:4" x14ac:dyDescent="0.25">
      <c r="A122" s="8">
        <v>46051</v>
      </c>
      <c r="B122" s="9" t="s">
        <v>178</v>
      </c>
      <c r="C122" s="10">
        <v>-5240</v>
      </c>
      <c r="D122" s="10">
        <f t="shared" si="4"/>
        <v>3080</v>
      </c>
    </row>
    <row r="123" spans="1:4" x14ac:dyDescent="0.25">
      <c r="A123" s="8">
        <v>46055</v>
      </c>
      <c r="B123" s="9" t="s">
        <v>3</v>
      </c>
      <c r="C123" s="10">
        <v>2520</v>
      </c>
      <c r="D123" s="10">
        <f t="shared" si="4"/>
        <v>5600</v>
      </c>
    </row>
    <row r="124" spans="1:4" x14ac:dyDescent="0.25">
      <c r="A124" s="8">
        <v>46055</v>
      </c>
      <c r="B124" s="9" t="s">
        <v>178</v>
      </c>
      <c r="C124" s="10">
        <v>-2950</v>
      </c>
      <c r="D124" s="10">
        <f t="shared" si="4"/>
        <v>2650</v>
      </c>
    </row>
    <row r="125" spans="1:4" x14ac:dyDescent="0.25">
      <c r="A125" s="8">
        <v>46058</v>
      </c>
      <c r="B125" s="9" t="s">
        <v>3</v>
      </c>
      <c r="C125" s="10">
        <v>4650</v>
      </c>
      <c r="D125" s="10">
        <f t="shared" si="4"/>
        <v>7300</v>
      </c>
    </row>
    <row r="126" spans="1:4" x14ac:dyDescent="0.25">
      <c r="A126" s="8">
        <v>46058</v>
      </c>
      <c r="B126" s="9" t="s">
        <v>178</v>
      </c>
      <c r="C126" s="10">
        <v>-2650</v>
      </c>
      <c r="D126" s="10">
        <f t="shared" si="4"/>
        <v>4650</v>
      </c>
    </row>
    <row r="127" spans="1:4" x14ac:dyDescent="0.25">
      <c r="A127" s="8">
        <v>46062</v>
      </c>
      <c r="B127" s="9" t="s">
        <v>178</v>
      </c>
      <c r="C127" s="10">
        <v>-4650</v>
      </c>
      <c r="D127" s="10">
        <f t="shared" si="4"/>
        <v>0</v>
      </c>
    </row>
    <row r="128" spans="1:4" x14ac:dyDescent="0.25">
      <c r="A128" s="8">
        <v>46066</v>
      </c>
      <c r="B128" s="9" t="s">
        <v>3</v>
      </c>
      <c r="C128" s="10">
        <v>58050</v>
      </c>
      <c r="D128" s="10">
        <f t="shared" si="4"/>
        <v>58050</v>
      </c>
    </row>
    <row r="129" spans="1:4" x14ac:dyDescent="0.25">
      <c r="A129" s="8">
        <v>46069</v>
      </c>
      <c r="B129" s="9" t="s">
        <v>178</v>
      </c>
      <c r="C129" s="10">
        <v>-55000</v>
      </c>
      <c r="D129" s="10">
        <f t="shared" si="4"/>
        <v>3050</v>
      </c>
    </row>
    <row r="130" spans="1:4" x14ac:dyDescent="0.25">
      <c r="A130" s="8">
        <v>46072</v>
      </c>
      <c r="B130" s="9" t="s">
        <v>3</v>
      </c>
      <c r="C130" s="10">
        <v>940</v>
      </c>
      <c r="D130" s="10">
        <f t="shared" si="4"/>
        <v>3990</v>
      </c>
    </row>
    <row r="131" spans="1:4" x14ac:dyDescent="0.25">
      <c r="A131" s="8">
        <v>46076</v>
      </c>
      <c r="B131" s="9" t="s">
        <v>3</v>
      </c>
      <c r="C131" s="10">
        <v>3460</v>
      </c>
      <c r="D131" s="10">
        <f t="shared" si="4"/>
        <v>7450</v>
      </c>
    </row>
    <row r="132" spans="1:4" x14ac:dyDescent="0.25">
      <c r="A132" s="8">
        <v>46076</v>
      </c>
      <c r="B132" s="9" t="s">
        <v>46</v>
      </c>
      <c r="C132" s="10">
        <v>-940</v>
      </c>
      <c r="D132" s="10">
        <f t="shared" si="4"/>
        <v>6510</v>
      </c>
    </row>
    <row r="133" spans="1:4" x14ac:dyDescent="0.25">
      <c r="A133" s="8">
        <v>46079</v>
      </c>
      <c r="B133" s="9" t="s">
        <v>3</v>
      </c>
      <c r="C133" s="10">
        <v>1830</v>
      </c>
      <c r="D133" s="10">
        <f t="shared" si="4"/>
        <v>8340</v>
      </c>
    </row>
    <row r="134" spans="1:4" x14ac:dyDescent="0.25">
      <c r="A134" s="8">
        <v>46079</v>
      </c>
      <c r="B134" s="9" t="s">
        <v>178</v>
      </c>
      <c r="C134" s="10">
        <v>-6510</v>
      </c>
      <c r="D134" s="10">
        <f t="shared" si="4"/>
        <v>1830</v>
      </c>
    </row>
    <row r="135" spans="1:4" x14ac:dyDescent="0.25">
      <c r="A135" s="8">
        <v>46083</v>
      </c>
      <c r="B135" s="9" t="s">
        <v>3</v>
      </c>
      <c r="C135" s="10">
        <v>1120</v>
      </c>
      <c r="D135" s="10">
        <f t="shared" si="4"/>
        <v>2950</v>
      </c>
    </row>
    <row r="136" spans="1:4" x14ac:dyDescent="0.25">
      <c r="A136" s="8">
        <v>46083</v>
      </c>
      <c r="B136" s="9" t="s">
        <v>178</v>
      </c>
      <c r="C136" s="10">
        <v>-1830</v>
      </c>
      <c r="D136" s="10">
        <f t="shared" si="4"/>
        <v>1120</v>
      </c>
    </row>
    <row r="137" spans="1:4" x14ac:dyDescent="0.25">
      <c r="A137" s="8">
        <v>46086</v>
      </c>
      <c r="B137" s="9" t="s">
        <v>3</v>
      </c>
      <c r="C137" s="10">
        <v>1440</v>
      </c>
      <c r="D137" s="10">
        <f t="shared" si="4"/>
        <v>2560</v>
      </c>
    </row>
    <row r="138" spans="1:4" x14ac:dyDescent="0.25">
      <c r="A138" s="8">
        <v>46086</v>
      </c>
      <c r="B138" s="9" t="s">
        <v>178</v>
      </c>
      <c r="C138" s="10">
        <v>-1120</v>
      </c>
      <c r="D138" s="10">
        <f t="shared" si="4"/>
        <v>1440</v>
      </c>
    </row>
    <row r="139" spans="1:4" x14ac:dyDescent="0.25">
      <c r="A139" s="8">
        <v>46059</v>
      </c>
      <c r="B139" s="9" t="s">
        <v>3</v>
      </c>
      <c r="C139" s="10">
        <v>950</v>
      </c>
      <c r="D139" s="10">
        <f t="shared" si="4"/>
        <v>2390</v>
      </c>
    </row>
    <row r="140" spans="1:4" x14ac:dyDescent="0.25">
      <c r="A140" s="8">
        <v>46090</v>
      </c>
      <c r="B140" s="9" t="s">
        <v>3</v>
      </c>
      <c r="C140" s="10">
        <v>1370</v>
      </c>
      <c r="D140" s="10">
        <f t="shared" si="4"/>
        <v>3760</v>
      </c>
    </row>
    <row r="141" spans="1:4" x14ac:dyDescent="0.25">
      <c r="A141" s="8">
        <v>46090</v>
      </c>
      <c r="B141" s="9" t="s">
        <v>178</v>
      </c>
      <c r="C141" s="10">
        <v>-2390</v>
      </c>
      <c r="D141" s="10">
        <f t="shared" si="4"/>
        <v>1370</v>
      </c>
    </row>
    <row r="142" spans="1:4" x14ac:dyDescent="0.25">
      <c r="A142" s="8">
        <v>46093</v>
      </c>
      <c r="B142" s="9" t="s">
        <v>3</v>
      </c>
      <c r="C142" s="10">
        <v>2800</v>
      </c>
      <c r="D142" s="10">
        <f t="shared" si="4"/>
        <v>4170</v>
      </c>
    </row>
    <row r="143" spans="1:4" x14ac:dyDescent="0.25">
      <c r="A143" s="8">
        <v>46093</v>
      </c>
      <c r="B143" s="9" t="s">
        <v>178</v>
      </c>
      <c r="C143" s="10">
        <v>-1370</v>
      </c>
      <c r="D143" s="10">
        <f t="shared" si="4"/>
        <v>2800</v>
      </c>
    </row>
    <row r="144" spans="1:4" x14ac:dyDescent="0.25">
      <c r="A144" s="8">
        <v>46097</v>
      </c>
      <c r="B144" s="9" t="s">
        <v>3</v>
      </c>
      <c r="C144" s="10">
        <v>1820</v>
      </c>
      <c r="D144" s="10">
        <f t="shared" si="4"/>
        <v>4620</v>
      </c>
    </row>
    <row r="145" spans="1:4" x14ac:dyDescent="0.25">
      <c r="A145" s="8">
        <v>46097</v>
      </c>
      <c r="B145" s="9" t="s">
        <v>178</v>
      </c>
      <c r="C145" s="10">
        <v>-2800</v>
      </c>
      <c r="D145" s="10">
        <f t="shared" si="4"/>
        <v>1820</v>
      </c>
    </row>
    <row r="146" spans="1:4" x14ac:dyDescent="0.25">
      <c r="A146" s="8">
        <v>46100</v>
      </c>
      <c r="B146" s="9" t="s">
        <v>3</v>
      </c>
      <c r="C146" s="10">
        <v>9110</v>
      </c>
      <c r="D146" s="10">
        <f t="shared" si="4"/>
        <v>10930</v>
      </c>
    </row>
    <row r="147" spans="1:4" x14ac:dyDescent="0.25">
      <c r="A147" s="8">
        <v>46100</v>
      </c>
      <c r="B147" s="9" t="s">
        <v>178</v>
      </c>
      <c r="C147" s="10">
        <v>-1820</v>
      </c>
      <c r="D147" s="10">
        <f t="shared" si="4"/>
        <v>9110</v>
      </c>
    </row>
    <row r="148" spans="1:4" x14ac:dyDescent="0.25">
      <c r="A148" s="8">
        <v>46104</v>
      </c>
      <c r="B148" s="9" t="s">
        <v>3</v>
      </c>
      <c r="C148" s="10">
        <v>2410</v>
      </c>
      <c r="D148" s="10">
        <f t="shared" si="4"/>
        <v>11520</v>
      </c>
    </row>
    <row r="149" spans="1:4" x14ac:dyDescent="0.25">
      <c r="A149" s="8">
        <v>46104</v>
      </c>
      <c r="B149" s="9" t="s">
        <v>178</v>
      </c>
      <c r="C149" s="10">
        <v>-9110</v>
      </c>
      <c r="D149" s="10">
        <f t="shared" si="4"/>
        <v>2410</v>
      </c>
    </row>
    <row r="150" spans="1:4" x14ac:dyDescent="0.25">
      <c r="A150" s="8">
        <v>46107</v>
      </c>
      <c r="B150" s="9" t="s">
        <v>3</v>
      </c>
      <c r="C150" s="10">
        <v>5090</v>
      </c>
      <c r="D150" s="10">
        <f t="shared" si="4"/>
        <v>7500</v>
      </c>
    </row>
    <row r="151" spans="1:4" x14ac:dyDescent="0.25">
      <c r="A151" s="8">
        <v>46107</v>
      </c>
      <c r="B151" s="9" t="s">
        <v>178</v>
      </c>
      <c r="C151" s="10">
        <v>-2410</v>
      </c>
      <c r="D151" s="10">
        <f t="shared" si="4"/>
        <v>5090</v>
      </c>
    </row>
    <row r="152" spans="1:4" x14ac:dyDescent="0.25">
      <c r="A152" s="8">
        <v>46111</v>
      </c>
      <c r="B152" s="9" t="s">
        <v>3</v>
      </c>
      <c r="C152" s="10">
        <v>1410</v>
      </c>
      <c r="D152" s="10">
        <f t="shared" si="4"/>
        <v>6500</v>
      </c>
    </row>
    <row r="153" spans="1:4" x14ac:dyDescent="0.25">
      <c r="A153" s="8">
        <v>46111</v>
      </c>
      <c r="B153" s="9" t="s">
        <v>178</v>
      </c>
      <c r="C153" s="10">
        <v>-5190</v>
      </c>
      <c r="D153" s="10">
        <f t="shared" si="4"/>
        <v>1310</v>
      </c>
    </row>
    <row r="154" spans="1:4" x14ac:dyDescent="0.25">
      <c r="A154" s="8">
        <v>46113</v>
      </c>
      <c r="B154" s="9" t="s">
        <v>129</v>
      </c>
      <c r="C154" s="10">
        <v>9990</v>
      </c>
      <c r="D154" s="10">
        <f t="shared" si="4"/>
        <v>11300</v>
      </c>
    </row>
    <row r="155" spans="1:4" x14ac:dyDescent="0.25">
      <c r="A155" s="8">
        <v>46116</v>
      </c>
      <c r="B155" s="9" t="s">
        <v>3</v>
      </c>
      <c r="C155" s="10">
        <v>2450</v>
      </c>
      <c r="D155" s="10">
        <f t="shared" si="4"/>
        <v>13750</v>
      </c>
    </row>
    <row r="156" spans="1:4" x14ac:dyDescent="0.25">
      <c r="A156" s="8">
        <v>46118</v>
      </c>
      <c r="B156" s="9" t="s">
        <v>3</v>
      </c>
      <c r="C156" s="10">
        <v>2540</v>
      </c>
      <c r="D156" s="10">
        <f t="shared" si="4"/>
        <v>16290</v>
      </c>
    </row>
    <row r="157" spans="1:4" x14ac:dyDescent="0.25">
      <c r="A157" s="8">
        <v>46118</v>
      </c>
      <c r="B157" s="9" t="s">
        <v>178</v>
      </c>
      <c r="C157" s="10">
        <v>-13750</v>
      </c>
      <c r="D157" s="10">
        <f t="shared" si="4"/>
        <v>2540</v>
      </c>
    </row>
    <row r="158" spans="1:4" x14ac:dyDescent="0.25">
      <c r="A158" s="8">
        <v>46121</v>
      </c>
      <c r="B158" s="9" t="s">
        <v>3</v>
      </c>
      <c r="C158" s="10">
        <v>2840</v>
      </c>
      <c r="D158" s="10">
        <f t="shared" si="4"/>
        <v>5380</v>
      </c>
    </row>
    <row r="159" spans="1:4" x14ac:dyDescent="0.25">
      <c r="A159" s="8">
        <v>46121</v>
      </c>
      <c r="B159" s="9" t="s">
        <v>178</v>
      </c>
      <c r="C159" s="10">
        <v>-2540</v>
      </c>
      <c r="D159" s="10">
        <f t="shared" si="4"/>
        <v>2840</v>
      </c>
    </row>
    <row r="160" spans="1:4" x14ac:dyDescent="0.25">
      <c r="A160" s="8">
        <v>46125</v>
      </c>
      <c r="B160" s="9" t="s">
        <v>3</v>
      </c>
      <c r="C160" s="10">
        <v>2090</v>
      </c>
      <c r="D160" s="10">
        <f t="shared" si="4"/>
        <v>4930</v>
      </c>
    </row>
    <row r="161" spans="1:4" x14ac:dyDescent="0.25">
      <c r="A161" s="8">
        <v>46125</v>
      </c>
      <c r="B161" s="9" t="s">
        <v>178</v>
      </c>
      <c r="C161" s="10">
        <v>-2840</v>
      </c>
      <c r="D161" s="10">
        <f t="shared" si="4"/>
        <v>2090</v>
      </c>
    </row>
    <row r="162" spans="1:4" x14ac:dyDescent="0.25">
      <c r="A162" s="8">
        <v>46128</v>
      </c>
      <c r="B162" s="9" t="s">
        <v>3</v>
      </c>
      <c r="C162" s="10">
        <v>5990</v>
      </c>
      <c r="D162" s="10">
        <f t="shared" si="4"/>
        <v>8080</v>
      </c>
    </row>
    <row r="163" spans="1:4" x14ac:dyDescent="0.25">
      <c r="A163" s="8">
        <v>46128</v>
      </c>
      <c r="B163" s="9" t="s">
        <v>178</v>
      </c>
      <c r="C163" s="10">
        <v>-2090</v>
      </c>
      <c r="D163" s="10">
        <f t="shared" si="4"/>
        <v>5990</v>
      </c>
    </row>
    <row r="164" spans="1:4" x14ac:dyDescent="0.25">
      <c r="A164" s="8">
        <v>46132</v>
      </c>
      <c r="B164" s="9" t="s">
        <v>3</v>
      </c>
      <c r="C164" s="10">
        <v>1060</v>
      </c>
      <c r="D164" s="10">
        <f t="shared" si="4"/>
        <v>7050</v>
      </c>
    </row>
    <row r="165" spans="1:4" x14ac:dyDescent="0.25">
      <c r="A165" s="8">
        <v>46132</v>
      </c>
      <c r="B165" s="9" t="s">
        <v>178</v>
      </c>
      <c r="C165" s="10">
        <v>-4000</v>
      </c>
      <c r="D165" s="10">
        <f t="shared" si="4"/>
        <v>3050</v>
      </c>
    </row>
    <row r="166" spans="1:4" x14ac:dyDescent="0.25">
      <c r="A166" s="8">
        <v>46135</v>
      </c>
      <c r="B166" s="9" t="s">
        <v>3</v>
      </c>
      <c r="C166" s="10">
        <v>4470</v>
      </c>
      <c r="D166" s="10">
        <f t="shared" si="4"/>
        <v>7520</v>
      </c>
    </row>
    <row r="167" spans="1:4" x14ac:dyDescent="0.25">
      <c r="A167" s="8">
        <v>46135</v>
      </c>
      <c r="B167" s="9" t="s">
        <v>178</v>
      </c>
      <c r="C167" s="10">
        <v>-3050</v>
      </c>
      <c r="D167" s="10">
        <f t="shared" si="4"/>
        <v>4470</v>
      </c>
    </row>
    <row r="168" spans="1:4" x14ac:dyDescent="0.25">
      <c r="A168" s="8">
        <v>46139</v>
      </c>
      <c r="B168" s="9" t="s">
        <v>3</v>
      </c>
      <c r="C168" s="10">
        <v>1290</v>
      </c>
      <c r="D168" s="10">
        <f t="shared" si="4"/>
        <v>5760</v>
      </c>
    </row>
    <row r="169" spans="1:4" x14ac:dyDescent="0.25">
      <c r="A169" s="8">
        <v>46139</v>
      </c>
      <c r="B169" s="9" t="s">
        <v>178</v>
      </c>
      <c r="C169" s="10">
        <v>-4000</v>
      </c>
      <c r="D169" s="10">
        <f t="shared" si="4"/>
        <v>1760</v>
      </c>
    </row>
    <row r="170" spans="1:4" x14ac:dyDescent="0.25">
      <c r="A170" s="8">
        <v>46146</v>
      </c>
      <c r="B170" s="9" t="s">
        <v>3</v>
      </c>
      <c r="C170" s="10">
        <v>940</v>
      </c>
      <c r="D170" s="10">
        <f t="shared" si="4"/>
        <v>2700</v>
      </c>
    </row>
    <row r="171" spans="1:4" x14ac:dyDescent="0.25">
      <c r="A171" s="8">
        <v>46149</v>
      </c>
      <c r="B171" s="9" t="s">
        <v>416</v>
      </c>
      <c r="C171" s="10">
        <v>35550</v>
      </c>
      <c r="D171" s="10">
        <f t="shared" si="4"/>
        <v>38250</v>
      </c>
    </row>
    <row r="172" spans="1:4" x14ac:dyDescent="0.25">
      <c r="A172" s="8">
        <v>46149</v>
      </c>
      <c r="B172" s="9" t="s">
        <v>129</v>
      </c>
      <c r="C172" s="10">
        <v>2170</v>
      </c>
      <c r="D172" s="10">
        <f t="shared" si="4"/>
        <v>40420</v>
      </c>
    </row>
    <row r="173" spans="1:4" x14ac:dyDescent="0.25">
      <c r="A173" s="8">
        <v>46153</v>
      </c>
      <c r="B173" s="9" t="s">
        <v>3</v>
      </c>
      <c r="C173" s="10">
        <v>900</v>
      </c>
      <c r="D173" s="10">
        <f t="shared" si="4"/>
        <v>41320</v>
      </c>
    </row>
    <row r="174" spans="1:4" x14ac:dyDescent="0.25">
      <c r="A174" s="8">
        <v>46156</v>
      </c>
      <c r="B174" s="9" t="s">
        <v>3</v>
      </c>
      <c r="C174" s="10">
        <v>400</v>
      </c>
      <c r="D174" s="10">
        <f t="shared" si="4"/>
        <v>41720</v>
      </c>
    </row>
    <row r="175" spans="1:4" x14ac:dyDescent="0.25">
      <c r="A175" s="8">
        <v>46156</v>
      </c>
      <c r="B175" s="9" t="s">
        <v>178</v>
      </c>
      <c r="C175" s="10">
        <v>-41720</v>
      </c>
      <c r="D175" s="10">
        <f t="shared" si="4"/>
        <v>0</v>
      </c>
    </row>
    <row r="176" spans="1:4" x14ac:dyDescent="0.25">
      <c r="A176" s="8">
        <v>46160</v>
      </c>
      <c r="B176" s="9" t="s">
        <v>3</v>
      </c>
      <c r="C176" s="10">
        <v>1040</v>
      </c>
      <c r="D176" s="10">
        <f t="shared" ref="D176:D276" si="5">D175+C176</f>
        <v>1040</v>
      </c>
    </row>
    <row r="177" spans="1:4" x14ac:dyDescent="0.25">
      <c r="A177" s="8">
        <v>46162</v>
      </c>
      <c r="B177" s="9" t="s">
        <v>129</v>
      </c>
      <c r="C177" s="10">
        <v>620</v>
      </c>
      <c r="D177" s="10">
        <f t="shared" si="5"/>
        <v>1660</v>
      </c>
    </row>
    <row r="178" spans="1:4" x14ac:dyDescent="0.25">
      <c r="A178" s="8">
        <v>46163</v>
      </c>
      <c r="B178" s="9" t="s">
        <v>178</v>
      </c>
      <c r="C178" s="10">
        <v>-1660</v>
      </c>
      <c r="D178" s="10">
        <f t="shared" si="5"/>
        <v>0</v>
      </c>
    </row>
    <row r="179" spans="1:4" x14ac:dyDescent="0.25">
      <c r="A179" s="8">
        <v>46163</v>
      </c>
      <c r="B179" s="9" t="s">
        <v>3</v>
      </c>
      <c r="C179" s="10">
        <v>3430</v>
      </c>
      <c r="D179" s="10">
        <f t="shared" si="5"/>
        <v>3430</v>
      </c>
    </row>
    <row r="180" spans="1:4" x14ac:dyDescent="0.25">
      <c r="A180" s="8">
        <v>46163</v>
      </c>
      <c r="B180" s="9" t="s">
        <v>178</v>
      </c>
      <c r="C180" s="10">
        <v>-3430</v>
      </c>
      <c r="D180" s="10">
        <f t="shared" si="5"/>
        <v>0</v>
      </c>
    </row>
    <row r="181" spans="1:4" x14ac:dyDescent="0.25">
      <c r="A181" s="8">
        <v>46166</v>
      </c>
      <c r="B181" s="9" t="s">
        <v>3</v>
      </c>
      <c r="C181" s="10">
        <v>1700</v>
      </c>
      <c r="D181" s="10">
        <f t="shared" si="5"/>
        <v>1700</v>
      </c>
    </row>
    <row r="182" spans="1:4" x14ac:dyDescent="0.25">
      <c r="A182" s="8">
        <v>46167</v>
      </c>
      <c r="B182" s="9" t="s">
        <v>3</v>
      </c>
      <c r="C182" s="10">
        <v>2660</v>
      </c>
      <c r="D182" s="10">
        <f t="shared" si="5"/>
        <v>4360</v>
      </c>
    </row>
    <row r="183" spans="1:4" x14ac:dyDescent="0.25">
      <c r="A183" s="8">
        <v>46167</v>
      </c>
      <c r="B183" s="9" t="s">
        <v>178</v>
      </c>
      <c r="C183" s="10">
        <v>-620</v>
      </c>
      <c r="D183" s="10">
        <f t="shared" si="5"/>
        <v>3740</v>
      </c>
    </row>
    <row r="184" spans="1:4" x14ac:dyDescent="0.25">
      <c r="A184" s="8">
        <v>46170</v>
      </c>
      <c r="B184" s="9" t="s">
        <v>178</v>
      </c>
      <c r="C184" s="10">
        <v>-4360</v>
      </c>
      <c r="D184" s="10">
        <f t="shared" si="5"/>
        <v>-620</v>
      </c>
    </row>
    <row r="185" spans="1:4" x14ac:dyDescent="0.25">
      <c r="A185" s="8">
        <v>46170</v>
      </c>
      <c r="B185" s="9" t="s">
        <v>3</v>
      </c>
      <c r="C185" s="10">
        <v>4510</v>
      </c>
      <c r="D185" s="10">
        <f t="shared" si="5"/>
        <v>3890</v>
      </c>
    </row>
    <row r="186" spans="1:4" x14ac:dyDescent="0.25">
      <c r="A186" s="8">
        <v>46171</v>
      </c>
      <c r="B186" s="9" t="s">
        <v>446</v>
      </c>
      <c r="C186" s="10">
        <v>620</v>
      </c>
      <c r="D186" s="10">
        <f t="shared" si="5"/>
        <v>4510</v>
      </c>
    </row>
    <row r="187" spans="1:4" x14ac:dyDescent="0.25">
      <c r="A187" s="8">
        <v>46174</v>
      </c>
      <c r="B187" s="9" t="s">
        <v>3</v>
      </c>
      <c r="C187" s="10">
        <v>1870</v>
      </c>
      <c r="D187" s="10">
        <f t="shared" si="5"/>
        <v>6380</v>
      </c>
    </row>
    <row r="188" spans="1:4" x14ac:dyDescent="0.25">
      <c r="A188" s="8">
        <v>46174</v>
      </c>
      <c r="B188" s="9" t="s">
        <v>178</v>
      </c>
      <c r="C188" s="10">
        <v>-2810</v>
      </c>
      <c r="D188" s="10">
        <f t="shared" si="5"/>
        <v>3570</v>
      </c>
    </row>
    <row r="189" spans="1:4" x14ac:dyDescent="0.25">
      <c r="A189" s="8">
        <v>46177</v>
      </c>
      <c r="B189" s="9" t="s">
        <v>178</v>
      </c>
      <c r="C189" s="10">
        <v>-3570</v>
      </c>
      <c r="D189" s="10">
        <f t="shared" si="5"/>
        <v>0</v>
      </c>
    </row>
    <row r="190" spans="1:4" x14ac:dyDescent="0.25">
      <c r="A190" s="8">
        <v>46177</v>
      </c>
      <c r="B190" s="9" t="s">
        <v>3</v>
      </c>
      <c r="C190" s="10">
        <v>4310</v>
      </c>
      <c r="D190" s="10">
        <f t="shared" si="5"/>
        <v>4310</v>
      </c>
    </row>
    <row r="191" spans="1:4" x14ac:dyDescent="0.25">
      <c r="A191" s="8">
        <v>46179</v>
      </c>
      <c r="B191" s="9" t="s">
        <v>129</v>
      </c>
      <c r="C191" s="10">
        <v>7465</v>
      </c>
      <c r="D191" s="10">
        <f t="shared" si="5"/>
        <v>11775</v>
      </c>
    </row>
    <row r="192" spans="1:4" x14ac:dyDescent="0.25">
      <c r="A192" s="8">
        <v>46181</v>
      </c>
      <c r="B192" s="9" t="s">
        <v>3</v>
      </c>
      <c r="C192" s="10">
        <v>-4310</v>
      </c>
      <c r="D192" s="10">
        <f t="shared" si="5"/>
        <v>7465</v>
      </c>
    </row>
    <row r="193" spans="1:6" x14ac:dyDescent="0.25">
      <c r="A193" s="8">
        <v>46181</v>
      </c>
      <c r="B193" s="9" t="s">
        <v>3</v>
      </c>
      <c r="C193" s="10">
        <v>580</v>
      </c>
      <c r="D193" s="10">
        <f t="shared" si="5"/>
        <v>8045</v>
      </c>
    </row>
    <row r="194" spans="1:6" x14ac:dyDescent="0.25">
      <c r="A194" s="8">
        <v>46182</v>
      </c>
      <c r="B194" s="9" t="s">
        <v>129</v>
      </c>
      <c r="C194" s="10">
        <v>600</v>
      </c>
      <c r="D194" s="10">
        <f t="shared" si="5"/>
        <v>8645</v>
      </c>
    </row>
    <row r="195" spans="1:6" x14ac:dyDescent="0.25">
      <c r="A195" s="8">
        <v>46184</v>
      </c>
      <c r="B195" s="9" t="s">
        <v>3</v>
      </c>
      <c r="C195" s="10">
        <v>2800</v>
      </c>
      <c r="D195" s="10">
        <f t="shared" si="5"/>
        <v>11445</v>
      </c>
    </row>
    <row r="196" spans="1:6" x14ac:dyDescent="0.25">
      <c r="A196" s="8">
        <v>46184</v>
      </c>
      <c r="B196" s="9" t="s">
        <v>178</v>
      </c>
      <c r="C196" s="10">
        <v>-8045</v>
      </c>
      <c r="D196" s="10">
        <f t="shared" si="5"/>
        <v>3400</v>
      </c>
    </row>
    <row r="197" spans="1:6" x14ac:dyDescent="0.25">
      <c r="A197" s="8">
        <v>46188</v>
      </c>
      <c r="B197" s="9" t="s">
        <v>3</v>
      </c>
      <c r="C197" s="10">
        <v>1800</v>
      </c>
      <c r="D197" s="10">
        <f t="shared" si="5"/>
        <v>5200</v>
      </c>
    </row>
    <row r="198" spans="1:6" x14ac:dyDescent="0.25">
      <c r="A198" s="8">
        <v>46188</v>
      </c>
      <c r="B198" s="9" t="s">
        <v>178</v>
      </c>
      <c r="C198" s="10">
        <v>-3400</v>
      </c>
      <c r="D198" s="10">
        <f t="shared" si="5"/>
        <v>1800</v>
      </c>
    </row>
    <row r="199" spans="1:6" x14ac:dyDescent="0.25">
      <c r="A199" s="8">
        <v>46191</v>
      </c>
      <c r="B199" s="9" t="s">
        <v>3</v>
      </c>
      <c r="C199" s="10">
        <f>4930-350</f>
        <v>4580</v>
      </c>
      <c r="D199" s="10">
        <f t="shared" si="5"/>
        <v>6380</v>
      </c>
    </row>
    <row r="200" spans="1:6" x14ac:dyDescent="0.25">
      <c r="A200" s="8">
        <v>46191</v>
      </c>
      <c r="B200" s="9" t="s">
        <v>178</v>
      </c>
      <c r="C200" s="10">
        <v>-1800</v>
      </c>
      <c r="D200" s="10">
        <f t="shared" si="5"/>
        <v>4580</v>
      </c>
    </row>
    <row r="201" spans="1:6" x14ac:dyDescent="0.25">
      <c r="A201" s="8">
        <v>46195</v>
      </c>
      <c r="B201" s="9" t="s">
        <v>3</v>
      </c>
      <c r="C201" s="10">
        <v>1430</v>
      </c>
      <c r="D201" s="10">
        <f t="shared" si="5"/>
        <v>6010</v>
      </c>
    </row>
    <row r="202" spans="1:6" x14ac:dyDescent="0.25">
      <c r="A202" s="8">
        <v>46195</v>
      </c>
      <c r="B202" s="9" t="s">
        <v>178</v>
      </c>
      <c r="C202" s="10">
        <v>-4410</v>
      </c>
      <c r="D202" s="10">
        <f t="shared" si="5"/>
        <v>1600</v>
      </c>
    </row>
    <row r="203" spans="1:6" x14ac:dyDescent="0.25">
      <c r="A203" s="8">
        <v>46198</v>
      </c>
      <c r="B203" s="9" t="s">
        <v>256</v>
      </c>
      <c r="C203" s="10">
        <v>2830</v>
      </c>
      <c r="D203" s="10">
        <f t="shared" si="5"/>
        <v>4430</v>
      </c>
    </row>
    <row r="204" spans="1:6" x14ac:dyDescent="0.25">
      <c r="A204" s="8">
        <v>46198</v>
      </c>
      <c r="B204" s="9" t="s">
        <v>196</v>
      </c>
      <c r="C204" s="10">
        <v>-1600</v>
      </c>
      <c r="D204" s="10">
        <f t="shared" si="5"/>
        <v>2830</v>
      </c>
      <c r="F204" s="6"/>
    </row>
    <row r="205" spans="1:6" x14ac:dyDescent="0.25">
      <c r="A205" s="8">
        <v>46202</v>
      </c>
      <c r="B205" s="9" t="s">
        <v>481</v>
      </c>
      <c r="C205" s="10">
        <v>-2830</v>
      </c>
      <c r="D205" s="10">
        <f t="shared" si="5"/>
        <v>0</v>
      </c>
    </row>
    <row r="206" spans="1:6" x14ac:dyDescent="0.25">
      <c r="A206" s="8">
        <v>46202</v>
      </c>
      <c r="B206" s="9" t="s">
        <v>3</v>
      </c>
      <c r="C206" s="10">
        <f>1200+220+500+240+350+40+100</f>
        <v>2650</v>
      </c>
      <c r="D206" s="10">
        <f t="shared" si="5"/>
        <v>2650</v>
      </c>
    </row>
    <row r="207" spans="1:6" x14ac:dyDescent="0.25">
      <c r="A207" s="8">
        <v>46205</v>
      </c>
      <c r="B207" s="9" t="s">
        <v>3</v>
      </c>
      <c r="C207" s="10">
        <f>1200+170+80+170+120+150+200+250+750+250+100</f>
        <v>3440</v>
      </c>
      <c r="D207" s="10">
        <f t="shared" si="5"/>
        <v>6090</v>
      </c>
    </row>
    <row r="208" spans="1:6" x14ac:dyDescent="0.25">
      <c r="A208" s="8">
        <v>46205</v>
      </c>
      <c r="B208" s="9" t="s">
        <v>178</v>
      </c>
      <c r="C208" s="10">
        <v>-2650</v>
      </c>
      <c r="D208" s="10">
        <f t="shared" si="5"/>
        <v>3440</v>
      </c>
    </row>
    <row r="209" spans="1:6" x14ac:dyDescent="0.25">
      <c r="A209" s="8">
        <v>46209</v>
      </c>
      <c r="B209" s="9" t="s">
        <v>3</v>
      </c>
      <c r="C209" s="10">
        <v>2610</v>
      </c>
      <c r="D209" s="10">
        <f t="shared" si="5"/>
        <v>6050</v>
      </c>
    </row>
    <row r="210" spans="1:6" x14ac:dyDescent="0.25">
      <c r="A210" s="8">
        <v>46209</v>
      </c>
      <c r="B210" s="9" t="s">
        <v>178</v>
      </c>
      <c r="C210" s="10">
        <v>-3440</v>
      </c>
      <c r="D210" s="10">
        <f t="shared" si="5"/>
        <v>2610</v>
      </c>
    </row>
    <row r="211" spans="1:6" x14ac:dyDescent="0.25">
      <c r="A211" s="8">
        <v>46212</v>
      </c>
      <c r="B211" s="9" t="s">
        <v>3</v>
      </c>
      <c r="C211" s="10">
        <v>1630</v>
      </c>
      <c r="D211" s="10">
        <f t="shared" si="5"/>
        <v>4240</v>
      </c>
    </row>
    <row r="212" spans="1:6" x14ac:dyDescent="0.25">
      <c r="A212" s="8">
        <v>46212</v>
      </c>
      <c r="B212" s="9" t="s">
        <v>493</v>
      </c>
      <c r="C212" s="10">
        <v>-2610</v>
      </c>
      <c r="D212" s="10">
        <f t="shared" si="5"/>
        <v>1630</v>
      </c>
    </row>
    <row r="213" spans="1:6" x14ac:dyDescent="0.25">
      <c r="A213" s="8">
        <v>46216</v>
      </c>
      <c r="B213" s="9" t="s">
        <v>3</v>
      </c>
      <c r="C213" s="10">
        <v>1870</v>
      </c>
      <c r="D213" s="10">
        <f t="shared" si="5"/>
        <v>3500</v>
      </c>
    </row>
    <row r="214" spans="1:6" x14ac:dyDescent="0.25">
      <c r="A214" s="8">
        <v>46216</v>
      </c>
      <c r="B214" s="9" t="s">
        <v>178</v>
      </c>
      <c r="C214" s="10">
        <v>-1630</v>
      </c>
      <c r="D214" s="10">
        <f t="shared" si="5"/>
        <v>1870</v>
      </c>
    </row>
    <row r="215" spans="1:6" x14ac:dyDescent="0.25">
      <c r="A215" s="8">
        <v>46219</v>
      </c>
      <c r="B215" s="9" t="s">
        <v>3</v>
      </c>
      <c r="C215" s="10">
        <v>420</v>
      </c>
      <c r="D215" s="10">
        <f t="shared" si="5"/>
        <v>2290</v>
      </c>
    </row>
    <row r="216" spans="1:6" x14ac:dyDescent="0.25">
      <c r="A216" s="8">
        <v>46219</v>
      </c>
      <c r="B216" s="9" t="s">
        <v>178</v>
      </c>
      <c r="C216" s="10">
        <v>-1870</v>
      </c>
      <c r="D216" s="10">
        <f t="shared" si="5"/>
        <v>420</v>
      </c>
    </row>
    <row r="217" spans="1:6" x14ac:dyDescent="0.25">
      <c r="A217" s="8">
        <v>46223</v>
      </c>
      <c r="B217" s="9" t="s">
        <v>97</v>
      </c>
      <c r="C217" s="10">
        <v>1170</v>
      </c>
      <c r="D217" s="10">
        <f t="shared" si="5"/>
        <v>1590</v>
      </c>
    </row>
    <row r="218" spans="1:6" x14ac:dyDescent="0.25">
      <c r="A218" s="8">
        <v>46223</v>
      </c>
      <c r="B218" s="9" t="s">
        <v>178</v>
      </c>
      <c r="C218" s="10">
        <v>-420</v>
      </c>
      <c r="D218" s="10">
        <f t="shared" si="5"/>
        <v>1170</v>
      </c>
    </row>
    <row r="219" spans="1:6" x14ac:dyDescent="0.25">
      <c r="A219" s="8">
        <v>46226</v>
      </c>
      <c r="B219" s="9" t="s">
        <v>3</v>
      </c>
      <c r="C219" s="10">
        <f>600+600+120+170+240+100</f>
        <v>1830</v>
      </c>
      <c r="D219" s="10">
        <f t="shared" si="5"/>
        <v>3000</v>
      </c>
    </row>
    <row r="220" spans="1:6" x14ac:dyDescent="0.25">
      <c r="A220" s="8">
        <v>46226</v>
      </c>
      <c r="B220" s="9" t="s">
        <v>178</v>
      </c>
      <c r="C220" s="10">
        <v>-1170</v>
      </c>
      <c r="D220" s="10">
        <f t="shared" si="5"/>
        <v>1830</v>
      </c>
      <c r="F220" s="6">
        <f>+D220+C221</f>
        <v>5320</v>
      </c>
    </row>
    <row r="221" spans="1:6" x14ac:dyDescent="0.25">
      <c r="A221" s="8">
        <v>46230</v>
      </c>
      <c r="B221" s="9" t="s">
        <v>3</v>
      </c>
      <c r="C221" s="10">
        <v>3490</v>
      </c>
      <c r="D221" s="10">
        <f t="shared" si="5"/>
        <v>5320</v>
      </c>
    </row>
    <row r="222" spans="1:6" x14ac:dyDescent="0.25">
      <c r="A222" s="8">
        <v>46230</v>
      </c>
      <c r="B222" s="9" t="s">
        <v>178</v>
      </c>
      <c r="C222" s="10">
        <v>-1830</v>
      </c>
      <c r="D222" s="10">
        <f t="shared" si="5"/>
        <v>3490</v>
      </c>
    </row>
    <row r="223" spans="1:6" x14ac:dyDescent="0.25">
      <c r="A223" s="8">
        <v>46233</v>
      </c>
      <c r="B223" s="9" t="s">
        <v>3</v>
      </c>
      <c r="C223" s="10">
        <v>2030</v>
      </c>
      <c r="D223" s="10">
        <f t="shared" si="5"/>
        <v>5520</v>
      </c>
    </row>
    <row r="224" spans="1:6" x14ac:dyDescent="0.25">
      <c r="A224" s="8">
        <v>46233</v>
      </c>
      <c r="B224" s="9" t="s">
        <v>178</v>
      </c>
      <c r="C224" s="10">
        <v>-3490</v>
      </c>
      <c r="D224" s="10">
        <f t="shared" si="5"/>
        <v>2030</v>
      </c>
    </row>
    <row r="225" spans="1:4" x14ac:dyDescent="0.25">
      <c r="A225" s="8">
        <v>46235</v>
      </c>
      <c r="B225" s="9" t="s">
        <v>129</v>
      </c>
      <c r="C225" s="10">
        <v>1670</v>
      </c>
      <c r="D225" s="10">
        <f t="shared" si="5"/>
        <v>3700</v>
      </c>
    </row>
    <row r="226" spans="1:4" x14ac:dyDescent="0.25">
      <c r="A226" s="8">
        <v>46237</v>
      </c>
      <c r="B226" s="9" t="s">
        <v>3</v>
      </c>
      <c r="C226" s="10">
        <v>3740</v>
      </c>
      <c r="D226" s="10">
        <f t="shared" si="5"/>
        <v>7440</v>
      </c>
    </row>
    <row r="227" spans="1:4" x14ac:dyDescent="0.25">
      <c r="A227" s="8">
        <v>46237</v>
      </c>
      <c r="B227" s="9" t="s">
        <v>178</v>
      </c>
      <c r="C227" s="10">
        <v>-3700</v>
      </c>
      <c r="D227" s="10">
        <f t="shared" si="5"/>
        <v>3740</v>
      </c>
    </row>
    <row r="228" spans="1:4" x14ac:dyDescent="0.25">
      <c r="A228" s="8">
        <v>46241</v>
      </c>
      <c r="B228" s="9" t="s">
        <v>3</v>
      </c>
      <c r="C228" s="10">
        <v>3150</v>
      </c>
      <c r="D228" s="10">
        <f t="shared" si="5"/>
        <v>6890</v>
      </c>
    </row>
    <row r="229" spans="1:4" x14ac:dyDescent="0.25">
      <c r="A229" s="8">
        <v>46241</v>
      </c>
      <c r="B229" s="9" t="s">
        <v>178</v>
      </c>
      <c r="C229" s="10">
        <v>-3740</v>
      </c>
      <c r="D229" s="10">
        <f t="shared" si="5"/>
        <v>3150</v>
      </c>
    </row>
    <row r="230" spans="1:4" x14ac:dyDescent="0.25">
      <c r="A230" s="8">
        <v>46244</v>
      </c>
      <c r="B230" s="9" t="s">
        <v>544</v>
      </c>
      <c r="C230" s="10">
        <v>-2300</v>
      </c>
      <c r="D230" s="10">
        <f t="shared" si="5"/>
        <v>850</v>
      </c>
    </row>
    <row r="231" spans="1:4" x14ac:dyDescent="0.25">
      <c r="A231" s="8">
        <v>46247</v>
      </c>
      <c r="B231" s="9" t="s">
        <v>3</v>
      </c>
      <c r="C231" s="10">
        <v>4280</v>
      </c>
      <c r="D231" s="10">
        <f t="shared" si="5"/>
        <v>5130</v>
      </c>
    </row>
    <row r="232" spans="1:4" x14ac:dyDescent="0.25">
      <c r="A232" s="8">
        <v>46247</v>
      </c>
      <c r="B232" s="9" t="s">
        <v>178</v>
      </c>
      <c r="C232" s="10">
        <v>-850</v>
      </c>
      <c r="D232" s="10">
        <f t="shared" si="5"/>
        <v>4280</v>
      </c>
    </row>
    <row r="233" spans="1:4" x14ac:dyDescent="0.25">
      <c r="A233" s="8">
        <v>46251</v>
      </c>
      <c r="B233" s="9" t="s">
        <v>3</v>
      </c>
      <c r="C233" s="10">
        <v>1490</v>
      </c>
      <c r="D233" s="10">
        <f t="shared" si="5"/>
        <v>5770</v>
      </c>
    </row>
    <row r="234" spans="1:4" x14ac:dyDescent="0.25">
      <c r="A234" s="8">
        <v>46251</v>
      </c>
      <c r="B234" s="9" t="s">
        <v>178</v>
      </c>
      <c r="C234" s="10">
        <v>-4280</v>
      </c>
      <c r="D234" s="10">
        <f t="shared" si="5"/>
        <v>1490</v>
      </c>
    </row>
    <row r="235" spans="1:4" x14ac:dyDescent="0.25">
      <c r="A235" s="8">
        <v>46254</v>
      </c>
      <c r="B235" s="9" t="s">
        <v>3</v>
      </c>
      <c r="C235" s="10">
        <v>1520</v>
      </c>
      <c r="D235" s="10">
        <f t="shared" si="5"/>
        <v>3010</v>
      </c>
    </row>
    <row r="236" spans="1:4" x14ac:dyDescent="0.25">
      <c r="A236" s="8">
        <v>46254</v>
      </c>
      <c r="B236" s="9" t="s">
        <v>178</v>
      </c>
      <c r="C236" s="10">
        <v>-1490</v>
      </c>
      <c r="D236" s="10">
        <f t="shared" si="5"/>
        <v>1520</v>
      </c>
    </row>
    <row r="237" spans="1:4" x14ac:dyDescent="0.25">
      <c r="A237" s="8">
        <v>46258</v>
      </c>
      <c r="B237" s="9" t="s">
        <v>3</v>
      </c>
      <c r="C237" s="10">
        <v>1870</v>
      </c>
      <c r="D237" s="10">
        <f t="shared" si="5"/>
        <v>3390</v>
      </c>
    </row>
    <row r="238" spans="1:4" x14ac:dyDescent="0.25">
      <c r="A238" s="8">
        <v>46258</v>
      </c>
      <c r="B238" s="9" t="s">
        <v>178</v>
      </c>
      <c r="C238" s="10">
        <v>-1520</v>
      </c>
      <c r="D238" s="10">
        <f t="shared" si="5"/>
        <v>1870</v>
      </c>
    </row>
    <row r="239" spans="1:4" x14ac:dyDescent="0.25">
      <c r="A239" s="8">
        <v>46261</v>
      </c>
      <c r="B239" s="9" t="s">
        <v>3</v>
      </c>
      <c r="C239" s="10">
        <v>2660</v>
      </c>
      <c r="D239" s="10">
        <f t="shared" si="5"/>
        <v>4530</v>
      </c>
    </row>
    <row r="240" spans="1:4" x14ac:dyDescent="0.25">
      <c r="A240" s="8">
        <v>46261</v>
      </c>
      <c r="B240" s="9" t="s">
        <v>178</v>
      </c>
      <c r="C240" s="10">
        <v>-1870</v>
      </c>
      <c r="D240" s="10">
        <f t="shared" si="5"/>
        <v>2660</v>
      </c>
    </row>
    <row r="241" spans="1:4" x14ac:dyDescent="0.25">
      <c r="A241" s="8">
        <v>46265</v>
      </c>
      <c r="B241" s="9" t="s">
        <v>3</v>
      </c>
      <c r="C241" s="10">
        <v>3750</v>
      </c>
      <c r="D241" s="10">
        <f t="shared" si="5"/>
        <v>6410</v>
      </c>
    </row>
    <row r="242" spans="1:4" x14ac:dyDescent="0.25">
      <c r="A242" s="8">
        <v>46265</v>
      </c>
      <c r="B242" s="9" t="s">
        <v>178</v>
      </c>
      <c r="C242" s="10">
        <v>-2660</v>
      </c>
      <c r="D242" s="10">
        <f t="shared" si="5"/>
        <v>3750</v>
      </c>
    </row>
    <row r="243" spans="1:4" x14ac:dyDescent="0.25">
      <c r="A243" s="8">
        <v>46268</v>
      </c>
      <c r="B243" s="9" t="s">
        <v>3</v>
      </c>
      <c r="C243" s="10">
        <v>740</v>
      </c>
      <c r="D243" s="10">
        <f t="shared" si="5"/>
        <v>4490</v>
      </c>
    </row>
    <row r="244" spans="1:4" x14ac:dyDescent="0.25">
      <c r="A244" s="8">
        <v>46268</v>
      </c>
      <c r="B244" s="9" t="s">
        <v>178</v>
      </c>
      <c r="C244" s="10">
        <v>-3750</v>
      </c>
      <c r="D244" s="10">
        <f t="shared" si="5"/>
        <v>740</v>
      </c>
    </row>
    <row r="245" spans="1:4" x14ac:dyDescent="0.25">
      <c r="A245" s="8">
        <v>46272</v>
      </c>
      <c r="B245" s="9" t="s">
        <v>3</v>
      </c>
      <c r="C245" s="10">
        <v>3540</v>
      </c>
      <c r="D245" s="10">
        <f t="shared" si="5"/>
        <v>4280</v>
      </c>
    </row>
    <row r="246" spans="1:4" x14ac:dyDescent="0.25">
      <c r="A246" s="8">
        <v>46272</v>
      </c>
      <c r="B246" s="9" t="s">
        <v>196</v>
      </c>
      <c r="C246" s="10">
        <v>-740</v>
      </c>
      <c r="D246" s="10">
        <f t="shared" si="5"/>
        <v>3540</v>
      </c>
    </row>
    <row r="247" spans="1:4" x14ac:dyDescent="0.25">
      <c r="A247" s="8">
        <v>46275</v>
      </c>
      <c r="B247" s="9" t="s">
        <v>3</v>
      </c>
      <c r="C247" s="10">
        <v>2840</v>
      </c>
      <c r="D247" s="10">
        <f t="shared" si="5"/>
        <v>6380</v>
      </c>
    </row>
    <row r="248" spans="1:4" x14ac:dyDescent="0.25">
      <c r="A248" s="8">
        <v>46275</v>
      </c>
      <c r="B248" s="9" t="s">
        <v>178</v>
      </c>
      <c r="C248" s="10">
        <v>-3000</v>
      </c>
      <c r="D248" s="10">
        <f t="shared" si="5"/>
        <v>3380</v>
      </c>
    </row>
    <row r="249" spans="1:4" x14ac:dyDescent="0.25">
      <c r="A249" s="8">
        <v>46279</v>
      </c>
      <c r="B249" s="9" t="s">
        <v>590</v>
      </c>
      <c r="C249" s="10">
        <v>4260</v>
      </c>
      <c r="D249" s="10">
        <f t="shared" si="5"/>
        <v>7640</v>
      </c>
    </row>
    <row r="250" spans="1:4" x14ac:dyDescent="0.25">
      <c r="A250" s="8">
        <v>46279</v>
      </c>
      <c r="B250" s="9" t="s">
        <v>178</v>
      </c>
      <c r="C250" s="10">
        <v>-3380</v>
      </c>
      <c r="D250" s="10">
        <f t="shared" si="5"/>
        <v>4260</v>
      </c>
    </row>
    <row r="251" spans="1:4" x14ac:dyDescent="0.25">
      <c r="A251" s="8">
        <v>46282</v>
      </c>
      <c r="B251" s="9" t="s">
        <v>3</v>
      </c>
      <c r="C251" s="10">
        <v>9740</v>
      </c>
      <c r="D251" s="10">
        <f t="shared" si="5"/>
        <v>14000</v>
      </c>
    </row>
    <row r="252" spans="1:4" x14ac:dyDescent="0.25">
      <c r="A252" s="8">
        <v>46282</v>
      </c>
      <c r="B252" s="9" t="s">
        <v>178</v>
      </c>
      <c r="C252" s="10">
        <v>-5000</v>
      </c>
      <c r="D252" s="10">
        <f t="shared" si="5"/>
        <v>9000</v>
      </c>
    </row>
    <row r="253" spans="1:4" x14ac:dyDescent="0.25">
      <c r="A253" s="8">
        <v>46284</v>
      </c>
      <c r="B253" s="9" t="s">
        <v>446</v>
      </c>
      <c r="C253" s="10">
        <v>6430</v>
      </c>
      <c r="D253" s="10">
        <f t="shared" si="5"/>
        <v>15430</v>
      </c>
    </row>
    <row r="254" spans="1:4" x14ac:dyDescent="0.25">
      <c r="A254" s="8">
        <v>46286</v>
      </c>
      <c r="B254" s="9" t="s">
        <v>3</v>
      </c>
      <c r="C254" s="10">
        <v>300</v>
      </c>
      <c r="D254" s="10">
        <f t="shared" si="5"/>
        <v>15730</v>
      </c>
    </row>
    <row r="255" spans="1:4" x14ac:dyDescent="0.25">
      <c r="A255" s="8">
        <v>46286</v>
      </c>
      <c r="B255" s="9" t="s">
        <v>178</v>
      </c>
      <c r="C255" s="10">
        <v>-7250</v>
      </c>
      <c r="D255" s="10">
        <f t="shared" si="5"/>
        <v>8480</v>
      </c>
    </row>
    <row r="256" spans="1:4" x14ac:dyDescent="0.25">
      <c r="A256" s="8">
        <v>46289</v>
      </c>
      <c r="B256" s="9" t="s">
        <v>3</v>
      </c>
      <c r="C256" s="10">
        <v>1750</v>
      </c>
      <c r="D256" s="10">
        <f t="shared" si="5"/>
        <v>10230</v>
      </c>
    </row>
    <row r="257" spans="1:4" x14ac:dyDescent="0.25">
      <c r="A257" s="8">
        <v>46289</v>
      </c>
      <c r="B257" s="9" t="s">
        <v>178</v>
      </c>
      <c r="C257" s="10">
        <v>-4000</v>
      </c>
      <c r="D257" s="10">
        <f t="shared" si="5"/>
        <v>6230</v>
      </c>
    </row>
    <row r="258" spans="1:4" x14ac:dyDescent="0.25">
      <c r="A258" s="8">
        <v>46291</v>
      </c>
      <c r="B258" s="9" t="s">
        <v>3</v>
      </c>
      <c r="C258" s="10">
        <v>12360</v>
      </c>
      <c r="D258" s="10">
        <f t="shared" si="5"/>
        <v>18590</v>
      </c>
    </row>
    <row r="259" spans="1:4" x14ac:dyDescent="0.25">
      <c r="A259" s="8">
        <v>46293</v>
      </c>
      <c r="B259" s="9" t="s">
        <v>46</v>
      </c>
      <c r="C259" s="10">
        <v>-6230</v>
      </c>
      <c r="D259" s="10">
        <f t="shared" si="5"/>
        <v>12360</v>
      </c>
    </row>
    <row r="260" spans="1:4" x14ac:dyDescent="0.25">
      <c r="A260" s="8">
        <v>46293</v>
      </c>
      <c r="B260" s="9" t="s">
        <v>3</v>
      </c>
      <c r="C260" s="10">
        <v>1320</v>
      </c>
      <c r="D260" s="10">
        <f t="shared" si="5"/>
        <v>13680</v>
      </c>
    </row>
    <row r="261" spans="1:4" x14ac:dyDescent="0.25">
      <c r="A261" s="8">
        <v>46296</v>
      </c>
      <c r="B261" s="9" t="s">
        <v>3</v>
      </c>
      <c r="C261" s="10">
        <v>2360</v>
      </c>
      <c r="D261" s="10">
        <f t="shared" si="5"/>
        <v>16040</v>
      </c>
    </row>
    <row r="262" spans="1:4" x14ac:dyDescent="0.25">
      <c r="A262" s="8">
        <v>46296</v>
      </c>
      <c r="B262" s="9" t="s">
        <v>178</v>
      </c>
      <c r="C262" s="10">
        <v>-13680</v>
      </c>
      <c r="D262" s="10">
        <f t="shared" si="5"/>
        <v>2360</v>
      </c>
    </row>
    <row r="263" spans="1:4" x14ac:dyDescent="0.25">
      <c r="A263" s="8">
        <v>46300</v>
      </c>
      <c r="B263" s="9" t="s">
        <v>589</v>
      </c>
      <c r="C263" s="10">
        <v>2950</v>
      </c>
      <c r="D263" s="10">
        <f t="shared" si="5"/>
        <v>5310</v>
      </c>
    </row>
    <row r="264" spans="1:4" x14ac:dyDescent="0.25">
      <c r="A264" s="8">
        <v>46300</v>
      </c>
      <c r="B264" s="9" t="s">
        <v>178</v>
      </c>
      <c r="C264" s="10">
        <v>-2360</v>
      </c>
      <c r="D264" s="10">
        <f t="shared" si="5"/>
        <v>2950</v>
      </c>
    </row>
    <row r="265" spans="1:4" x14ac:dyDescent="0.25">
      <c r="A265" s="8"/>
      <c r="B265" s="9"/>
      <c r="C265" s="10"/>
      <c r="D265" s="10">
        <f t="shared" si="5"/>
        <v>2950</v>
      </c>
    </row>
    <row r="266" spans="1:4" x14ac:dyDescent="0.25">
      <c r="A266" s="8"/>
      <c r="B266" s="9"/>
      <c r="C266" s="10"/>
      <c r="D266" s="10">
        <f t="shared" si="5"/>
        <v>2950</v>
      </c>
    </row>
    <row r="267" spans="1:4" x14ac:dyDescent="0.25">
      <c r="A267" s="8"/>
      <c r="B267" s="9"/>
      <c r="C267" s="10"/>
      <c r="D267" s="10">
        <f t="shared" si="5"/>
        <v>2950</v>
      </c>
    </row>
    <row r="268" spans="1:4" x14ac:dyDescent="0.25">
      <c r="A268" s="8"/>
      <c r="B268" s="9"/>
      <c r="C268" s="10"/>
      <c r="D268" s="10">
        <f t="shared" si="5"/>
        <v>2950</v>
      </c>
    </row>
    <row r="269" spans="1:4" x14ac:dyDescent="0.25">
      <c r="A269" s="8"/>
      <c r="B269" s="9"/>
      <c r="C269" s="10"/>
      <c r="D269" s="10">
        <f t="shared" si="5"/>
        <v>2950</v>
      </c>
    </row>
    <row r="270" spans="1:4" x14ac:dyDescent="0.25">
      <c r="A270" s="8"/>
      <c r="B270" s="9"/>
      <c r="C270" s="10"/>
      <c r="D270" s="10">
        <f t="shared" si="5"/>
        <v>2950</v>
      </c>
    </row>
    <row r="271" spans="1:4" x14ac:dyDescent="0.25">
      <c r="A271" s="8"/>
      <c r="B271" s="9"/>
      <c r="C271" s="10"/>
      <c r="D271" s="10">
        <f t="shared" si="5"/>
        <v>2950</v>
      </c>
    </row>
    <row r="272" spans="1:4" x14ac:dyDescent="0.25">
      <c r="A272" s="8"/>
      <c r="B272" s="9"/>
      <c r="C272" s="10"/>
      <c r="D272" s="10">
        <f t="shared" si="5"/>
        <v>2950</v>
      </c>
    </row>
    <row r="273" spans="1:4" x14ac:dyDescent="0.25">
      <c r="A273" s="8"/>
      <c r="B273" s="9"/>
      <c r="C273" s="10"/>
      <c r="D273" s="10">
        <f t="shared" si="5"/>
        <v>2950</v>
      </c>
    </row>
    <row r="274" spans="1:4" x14ac:dyDescent="0.25">
      <c r="A274" s="8"/>
      <c r="B274" s="9"/>
      <c r="C274" s="10"/>
      <c r="D274" s="10">
        <f t="shared" si="5"/>
        <v>2950</v>
      </c>
    </row>
    <row r="275" spans="1:4" x14ac:dyDescent="0.25">
      <c r="A275" s="8"/>
      <c r="B275" s="9"/>
      <c r="C275" s="10"/>
      <c r="D275" s="10">
        <f t="shared" si="5"/>
        <v>2950</v>
      </c>
    </row>
    <row r="276" spans="1:4" x14ac:dyDescent="0.25">
      <c r="A276" s="9"/>
      <c r="B276" s="9"/>
      <c r="C276" s="10"/>
      <c r="D276" s="10">
        <f t="shared" si="5"/>
        <v>2950</v>
      </c>
    </row>
  </sheetData>
  <mergeCells count="2">
    <mergeCell ref="A4:D4"/>
    <mergeCell ref="B6:D6"/>
  </mergeCells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0ECC-025F-42BC-8ED2-EA0CCF33949D}">
  <dimension ref="D4:G169"/>
  <sheetViews>
    <sheetView topLeftCell="A139" workbookViewId="0">
      <selection activeCell="F166" sqref="F166"/>
    </sheetView>
  </sheetViews>
  <sheetFormatPr baseColWidth="10" defaultRowHeight="15" x14ac:dyDescent="0.25"/>
  <cols>
    <col min="4" max="4" width="25.140625" customWidth="1"/>
    <col min="5" max="5" width="26.140625" customWidth="1"/>
    <col min="6" max="6" width="15.5703125" customWidth="1"/>
    <col min="7" max="7" width="18" customWidth="1"/>
  </cols>
  <sheetData>
    <row r="4" spans="4:7" x14ac:dyDescent="0.25">
      <c r="F4" s="6"/>
      <c r="G4" s="6"/>
    </row>
    <row r="5" spans="4:7" x14ac:dyDescent="0.25">
      <c r="F5" s="6"/>
      <c r="G5" s="6"/>
    </row>
    <row r="6" spans="4:7" x14ac:dyDescent="0.25">
      <c r="F6" s="6"/>
      <c r="G6" s="6"/>
    </row>
    <row r="7" spans="4:7" ht="18" x14ac:dyDescent="0.25">
      <c r="D7" s="98" t="s">
        <v>0</v>
      </c>
      <c r="E7" s="98"/>
      <c r="F7" s="98"/>
      <c r="G7" s="98"/>
    </row>
    <row r="8" spans="4:7" x14ac:dyDescent="0.25">
      <c r="F8" s="6"/>
      <c r="G8" s="6"/>
    </row>
    <row r="9" spans="4:7" x14ac:dyDescent="0.25">
      <c r="D9" s="2" t="s">
        <v>1</v>
      </c>
      <c r="E9" s="96" t="s">
        <v>82</v>
      </c>
      <c r="F9" s="97"/>
      <c r="G9" s="97"/>
    </row>
    <row r="10" spans="4:7" x14ac:dyDescent="0.25">
      <c r="D10" s="3" t="s">
        <v>11</v>
      </c>
      <c r="E10" s="4" t="s">
        <v>27</v>
      </c>
      <c r="F10" s="4"/>
      <c r="G10" s="4"/>
    </row>
    <row r="11" spans="4:7" x14ac:dyDescent="0.25">
      <c r="E11" s="5"/>
      <c r="F11" s="6"/>
      <c r="G11" s="6"/>
    </row>
    <row r="12" spans="4:7" x14ac:dyDescent="0.25">
      <c r="D12" s="2" t="s">
        <v>2</v>
      </c>
      <c r="E12" s="2" t="s">
        <v>3</v>
      </c>
      <c r="F12" s="7" t="s">
        <v>4</v>
      </c>
      <c r="G12" s="7" t="s">
        <v>5</v>
      </c>
    </row>
    <row r="13" spans="4:7" x14ac:dyDescent="0.25">
      <c r="D13" s="8">
        <v>45869</v>
      </c>
      <c r="E13" s="9" t="s">
        <v>3</v>
      </c>
      <c r="F13" s="10">
        <v>4540</v>
      </c>
      <c r="G13" s="10">
        <f>F13</f>
        <v>4540</v>
      </c>
    </row>
    <row r="14" spans="4:7" x14ac:dyDescent="0.25">
      <c r="D14" s="8">
        <v>45872</v>
      </c>
      <c r="E14" s="9" t="s">
        <v>7</v>
      </c>
      <c r="F14" s="10">
        <v>-4540</v>
      </c>
      <c r="G14" s="10">
        <f t="shared" ref="G14:G45" si="0">G13+F14</f>
        <v>0</v>
      </c>
    </row>
    <row r="15" spans="4:7" x14ac:dyDescent="0.25">
      <c r="D15" s="8">
        <v>45873</v>
      </c>
      <c r="E15" s="9" t="s">
        <v>56</v>
      </c>
      <c r="F15" s="10">
        <v>-2820</v>
      </c>
      <c r="G15" s="10">
        <f t="shared" si="0"/>
        <v>-2820</v>
      </c>
    </row>
    <row r="16" spans="4:7" x14ac:dyDescent="0.25">
      <c r="D16" s="8">
        <v>45873</v>
      </c>
      <c r="E16" s="9" t="s">
        <v>3</v>
      </c>
      <c r="F16" s="10">
        <v>2820</v>
      </c>
      <c r="G16" s="10">
        <f t="shared" si="0"/>
        <v>0</v>
      </c>
    </row>
    <row r="17" spans="4:7" x14ac:dyDescent="0.25">
      <c r="D17" s="8">
        <v>45876</v>
      </c>
      <c r="E17" s="9" t="s">
        <v>3</v>
      </c>
      <c r="F17" s="10">
        <v>2140</v>
      </c>
      <c r="G17" s="10">
        <f t="shared" si="0"/>
        <v>2140</v>
      </c>
    </row>
    <row r="18" spans="4:7" x14ac:dyDescent="0.25">
      <c r="D18" s="8">
        <v>45846</v>
      </c>
      <c r="E18" s="9" t="s">
        <v>56</v>
      </c>
      <c r="F18" s="10">
        <v>-2290</v>
      </c>
      <c r="G18" s="10">
        <f t="shared" si="0"/>
        <v>-150</v>
      </c>
    </row>
    <row r="19" spans="4:7" x14ac:dyDescent="0.25">
      <c r="D19" s="8">
        <v>45883</v>
      </c>
      <c r="E19" s="9" t="s">
        <v>3</v>
      </c>
      <c r="F19" s="10">
        <v>2620</v>
      </c>
      <c r="G19" s="10">
        <f t="shared" si="0"/>
        <v>2470</v>
      </c>
    </row>
    <row r="20" spans="4:7" x14ac:dyDescent="0.25">
      <c r="D20" s="8">
        <v>45883</v>
      </c>
      <c r="E20" s="9" t="s">
        <v>56</v>
      </c>
      <c r="F20" s="10">
        <v>-2620</v>
      </c>
      <c r="G20" s="15">
        <f t="shared" si="0"/>
        <v>-150</v>
      </c>
    </row>
    <row r="21" spans="4:7" x14ac:dyDescent="0.25">
      <c r="D21" s="8">
        <v>45890</v>
      </c>
      <c r="E21" s="9" t="s">
        <v>3</v>
      </c>
      <c r="F21" s="10">
        <v>2320</v>
      </c>
      <c r="G21" s="15">
        <f t="shared" si="0"/>
        <v>2170</v>
      </c>
    </row>
    <row r="22" spans="4:7" x14ac:dyDescent="0.25">
      <c r="D22" s="8">
        <v>45891</v>
      </c>
      <c r="E22" s="9" t="s">
        <v>56</v>
      </c>
      <c r="F22" s="10">
        <v>-2320</v>
      </c>
      <c r="G22" s="15">
        <f t="shared" si="0"/>
        <v>-150</v>
      </c>
    </row>
    <row r="23" spans="4:7" x14ac:dyDescent="0.25">
      <c r="D23" s="8">
        <v>45894</v>
      </c>
      <c r="E23" s="9" t="s">
        <v>3</v>
      </c>
      <c r="F23" s="10">
        <v>1540</v>
      </c>
      <c r="G23" s="15">
        <f t="shared" si="0"/>
        <v>1390</v>
      </c>
    </row>
    <row r="24" spans="4:7" x14ac:dyDescent="0.25">
      <c r="D24" s="8">
        <v>45894</v>
      </c>
      <c r="E24" s="9" t="s">
        <v>56</v>
      </c>
      <c r="F24" s="10">
        <v>-1540</v>
      </c>
      <c r="G24" s="15">
        <f t="shared" si="0"/>
        <v>-150</v>
      </c>
    </row>
    <row r="25" spans="4:7" x14ac:dyDescent="0.25">
      <c r="D25" s="8">
        <v>45897</v>
      </c>
      <c r="E25" s="9" t="s">
        <v>3</v>
      </c>
      <c r="F25" s="10">
        <v>2450</v>
      </c>
      <c r="G25" s="15">
        <f t="shared" si="0"/>
        <v>2300</v>
      </c>
    </row>
    <row r="26" spans="4:7" x14ac:dyDescent="0.25">
      <c r="D26" s="8">
        <v>45897</v>
      </c>
      <c r="E26" s="9" t="s">
        <v>46</v>
      </c>
      <c r="F26" s="10">
        <v>-2170</v>
      </c>
      <c r="G26" s="15">
        <f t="shared" si="0"/>
        <v>130</v>
      </c>
    </row>
    <row r="27" spans="4:7" x14ac:dyDescent="0.25">
      <c r="D27" s="8">
        <v>45901</v>
      </c>
      <c r="E27" s="9" t="s">
        <v>3</v>
      </c>
      <c r="F27" s="10">
        <v>2070</v>
      </c>
      <c r="G27" s="15">
        <f t="shared" si="0"/>
        <v>2200</v>
      </c>
    </row>
    <row r="28" spans="4:7" x14ac:dyDescent="0.25">
      <c r="D28" s="8">
        <v>45901</v>
      </c>
      <c r="E28" s="9" t="s">
        <v>56</v>
      </c>
      <c r="F28" s="10">
        <v>-2200</v>
      </c>
      <c r="G28" s="15">
        <f t="shared" si="0"/>
        <v>0</v>
      </c>
    </row>
    <row r="29" spans="4:7" x14ac:dyDescent="0.25">
      <c r="D29" s="8">
        <v>45904</v>
      </c>
      <c r="E29" s="9" t="s">
        <v>3</v>
      </c>
      <c r="F29" s="10">
        <v>1780</v>
      </c>
      <c r="G29" s="15">
        <f t="shared" si="0"/>
        <v>1780</v>
      </c>
    </row>
    <row r="30" spans="4:7" x14ac:dyDescent="0.25">
      <c r="D30" s="8">
        <v>45905</v>
      </c>
      <c r="E30" s="9" t="s">
        <v>46</v>
      </c>
      <c r="F30" s="10">
        <v>480</v>
      </c>
      <c r="G30" s="15">
        <f t="shared" si="0"/>
        <v>2260</v>
      </c>
    </row>
    <row r="31" spans="4:7" x14ac:dyDescent="0.25">
      <c r="D31" s="8">
        <v>45905</v>
      </c>
      <c r="E31" s="9" t="s">
        <v>3</v>
      </c>
      <c r="F31" s="10">
        <v>-1110</v>
      </c>
      <c r="G31" s="15">
        <f t="shared" si="0"/>
        <v>1150</v>
      </c>
    </row>
    <row r="32" spans="4:7" x14ac:dyDescent="0.25">
      <c r="D32" s="8">
        <v>45908</v>
      </c>
      <c r="E32" s="9" t="s">
        <v>3</v>
      </c>
      <c r="F32" s="10">
        <v>730</v>
      </c>
      <c r="G32" s="15">
        <f t="shared" si="0"/>
        <v>1880</v>
      </c>
    </row>
    <row r="33" spans="4:7" x14ac:dyDescent="0.25">
      <c r="D33" s="8">
        <v>45908</v>
      </c>
      <c r="E33" s="9" t="s">
        <v>46</v>
      </c>
      <c r="F33" s="10">
        <v>-1230</v>
      </c>
      <c r="G33" s="15">
        <f t="shared" si="0"/>
        <v>650</v>
      </c>
    </row>
    <row r="34" spans="4:7" x14ac:dyDescent="0.25">
      <c r="D34" s="8">
        <v>45911</v>
      </c>
      <c r="E34" s="9" t="s">
        <v>3</v>
      </c>
      <c r="F34" s="10">
        <v>2260</v>
      </c>
      <c r="G34" s="15">
        <f t="shared" si="0"/>
        <v>2910</v>
      </c>
    </row>
    <row r="35" spans="4:7" x14ac:dyDescent="0.25">
      <c r="D35" s="8">
        <v>45911</v>
      </c>
      <c r="E35" s="9" t="s">
        <v>7</v>
      </c>
      <c r="F35" s="10">
        <v>-2260</v>
      </c>
      <c r="G35" s="15">
        <f t="shared" si="0"/>
        <v>650</v>
      </c>
    </row>
    <row r="36" spans="4:7" x14ac:dyDescent="0.25">
      <c r="D36" s="8">
        <v>45913</v>
      </c>
      <c r="E36" s="9" t="s">
        <v>7</v>
      </c>
      <c r="F36" s="10">
        <v>-590</v>
      </c>
      <c r="G36" s="15">
        <f t="shared" si="0"/>
        <v>60</v>
      </c>
    </row>
    <row r="37" spans="4:7" x14ac:dyDescent="0.25">
      <c r="D37" s="8">
        <v>45918</v>
      </c>
      <c r="E37" s="9" t="s">
        <v>3</v>
      </c>
      <c r="F37" s="10">
        <v>2200</v>
      </c>
      <c r="G37" s="15">
        <f t="shared" si="0"/>
        <v>2260</v>
      </c>
    </row>
    <row r="38" spans="4:7" x14ac:dyDescent="0.25">
      <c r="D38" s="8">
        <v>45918</v>
      </c>
      <c r="E38" s="9" t="s">
        <v>75</v>
      </c>
      <c r="F38" s="10">
        <v>-2200</v>
      </c>
      <c r="G38" s="15">
        <f t="shared" si="0"/>
        <v>60</v>
      </c>
    </row>
    <row r="39" spans="4:7" x14ac:dyDescent="0.25">
      <c r="D39" s="8">
        <v>45922</v>
      </c>
      <c r="E39" s="9" t="s">
        <v>3</v>
      </c>
      <c r="F39" s="10">
        <v>1730</v>
      </c>
      <c r="G39" s="15">
        <f t="shared" si="0"/>
        <v>1790</v>
      </c>
    </row>
    <row r="40" spans="4:7" x14ac:dyDescent="0.25">
      <c r="D40" s="8">
        <v>45922</v>
      </c>
      <c r="E40" s="9" t="s">
        <v>46</v>
      </c>
      <c r="F40" s="10">
        <v>-1730</v>
      </c>
      <c r="G40" s="15">
        <f t="shared" si="0"/>
        <v>60</v>
      </c>
    </row>
    <row r="41" spans="4:7" x14ac:dyDescent="0.25">
      <c r="D41" s="8">
        <v>45925</v>
      </c>
      <c r="E41" s="9" t="s">
        <v>3</v>
      </c>
      <c r="F41" s="10">
        <v>1150</v>
      </c>
      <c r="G41" s="15">
        <f t="shared" si="0"/>
        <v>1210</v>
      </c>
    </row>
    <row r="42" spans="4:7" x14ac:dyDescent="0.25">
      <c r="D42" s="8">
        <v>45927</v>
      </c>
      <c r="E42" s="9" t="s">
        <v>56</v>
      </c>
      <c r="F42" s="10">
        <v>-1150</v>
      </c>
      <c r="G42" s="15">
        <f t="shared" si="0"/>
        <v>60</v>
      </c>
    </row>
    <row r="43" spans="4:7" x14ac:dyDescent="0.25">
      <c r="D43" s="8">
        <v>45929</v>
      </c>
      <c r="E43" s="9" t="s">
        <v>3</v>
      </c>
      <c r="F43" s="10">
        <v>1320</v>
      </c>
      <c r="G43" s="15">
        <f t="shared" si="0"/>
        <v>1380</v>
      </c>
    </row>
    <row r="44" spans="4:7" x14ac:dyDescent="0.25">
      <c r="D44" s="8">
        <v>45930</v>
      </c>
      <c r="E44" s="9" t="s">
        <v>145</v>
      </c>
      <c r="F44" s="10">
        <v>-1320</v>
      </c>
      <c r="G44" s="15">
        <f t="shared" si="0"/>
        <v>60</v>
      </c>
    </row>
    <row r="45" spans="4:7" x14ac:dyDescent="0.25">
      <c r="D45" s="8">
        <v>45902</v>
      </c>
      <c r="E45" s="9" t="s">
        <v>3</v>
      </c>
      <c r="F45" s="10">
        <v>2860</v>
      </c>
      <c r="G45" s="15">
        <f t="shared" si="0"/>
        <v>2920</v>
      </c>
    </row>
    <row r="46" spans="4:7" x14ac:dyDescent="0.25">
      <c r="D46" s="8">
        <v>45934</v>
      </c>
      <c r="E46" s="9" t="s">
        <v>185</v>
      </c>
      <c r="F46" s="10">
        <v>-2860</v>
      </c>
      <c r="G46" s="15">
        <f t="shared" ref="G46:G77" si="1">G45+F46</f>
        <v>60</v>
      </c>
    </row>
    <row r="47" spans="4:7" x14ac:dyDescent="0.25">
      <c r="D47" s="8">
        <v>45936</v>
      </c>
      <c r="E47" s="9" t="s">
        <v>3</v>
      </c>
      <c r="F47" s="10">
        <v>1190</v>
      </c>
      <c r="G47" s="15">
        <f t="shared" si="1"/>
        <v>1250</v>
      </c>
    </row>
    <row r="48" spans="4:7" x14ac:dyDescent="0.25">
      <c r="D48" s="13" t="s">
        <v>199</v>
      </c>
      <c r="E48" s="9" t="s">
        <v>179</v>
      </c>
      <c r="F48" s="10">
        <v>-1190</v>
      </c>
      <c r="G48" s="15">
        <f t="shared" si="1"/>
        <v>60</v>
      </c>
    </row>
    <row r="49" spans="4:7" x14ac:dyDescent="0.25">
      <c r="D49" s="8">
        <v>45943</v>
      </c>
      <c r="E49" s="9" t="s">
        <v>3</v>
      </c>
      <c r="F49" s="10">
        <v>1970</v>
      </c>
      <c r="G49" s="15">
        <f t="shared" si="1"/>
        <v>2030</v>
      </c>
    </row>
    <row r="50" spans="4:7" x14ac:dyDescent="0.25">
      <c r="D50" s="8">
        <v>45944</v>
      </c>
      <c r="E50" s="9" t="s">
        <v>198</v>
      </c>
      <c r="F50" s="10">
        <v>-1970</v>
      </c>
      <c r="G50" s="15">
        <f t="shared" si="1"/>
        <v>60</v>
      </c>
    </row>
    <row r="51" spans="4:7" x14ac:dyDescent="0.25">
      <c r="D51" s="13">
        <v>45946</v>
      </c>
      <c r="E51" s="9" t="s">
        <v>3</v>
      </c>
      <c r="F51" s="10">
        <v>1820</v>
      </c>
      <c r="G51" s="15">
        <f t="shared" si="1"/>
        <v>1880</v>
      </c>
    </row>
    <row r="52" spans="4:7" x14ac:dyDescent="0.25">
      <c r="D52" s="13" t="s">
        <v>200</v>
      </c>
      <c r="E52" s="9" t="s">
        <v>196</v>
      </c>
      <c r="F52" s="10">
        <v>-1820</v>
      </c>
      <c r="G52" s="15">
        <f t="shared" si="1"/>
        <v>60</v>
      </c>
    </row>
    <row r="53" spans="4:7" x14ac:dyDescent="0.25">
      <c r="D53" s="8">
        <v>45960</v>
      </c>
      <c r="E53" s="9" t="s">
        <v>3</v>
      </c>
      <c r="F53" s="10">
        <v>1600</v>
      </c>
      <c r="G53" s="15">
        <f t="shared" si="1"/>
        <v>1660</v>
      </c>
    </row>
    <row r="54" spans="4:7" x14ac:dyDescent="0.25">
      <c r="D54" s="8">
        <v>45960</v>
      </c>
      <c r="E54" s="9" t="s">
        <v>197</v>
      </c>
      <c r="F54" s="10">
        <v>-1600</v>
      </c>
      <c r="G54" s="15">
        <f t="shared" si="1"/>
        <v>60</v>
      </c>
    </row>
    <row r="55" spans="4:7" x14ac:dyDescent="0.25">
      <c r="D55" s="8">
        <v>45967</v>
      </c>
      <c r="E55" s="9" t="s">
        <v>3</v>
      </c>
      <c r="F55" s="10">
        <v>870</v>
      </c>
      <c r="G55" s="15">
        <f t="shared" si="1"/>
        <v>930</v>
      </c>
    </row>
    <row r="56" spans="4:7" x14ac:dyDescent="0.25">
      <c r="D56" s="8">
        <v>45967</v>
      </c>
      <c r="E56" s="9" t="s">
        <v>197</v>
      </c>
      <c r="F56" s="10">
        <v>-870</v>
      </c>
      <c r="G56" s="15">
        <f t="shared" si="1"/>
        <v>60</v>
      </c>
    </row>
    <row r="57" spans="4:7" x14ac:dyDescent="0.25">
      <c r="D57" s="8">
        <v>45971</v>
      </c>
      <c r="E57" s="9" t="s">
        <v>3</v>
      </c>
      <c r="F57" s="10">
        <v>830</v>
      </c>
      <c r="G57" s="15">
        <f t="shared" si="1"/>
        <v>890</v>
      </c>
    </row>
    <row r="58" spans="4:7" x14ac:dyDescent="0.25">
      <c r="D58" s="8">
        <v>45971</v>
      </c>
      <c r="E58" s="9" t="s">
        <v>197</v>
      </c>
      <c r="F58" s="10">
        <v>-830</v>
      </c>
      <c r="G58" s="15">
        <f t="shared" si="1"/>
        <v>60</v>
      </c>
    </row>
    <row r="59" spans="4:7" x14ac:dyDescent="0.25">
      <c r="D59" s="8">
        <v>45974</v>
      </c>
      <c r="E59" s="9" t="s">
        <v>3</v>
      </c>
      <c r="F59" s="10">
        <v>5360</v>
      </c>
      <c r="G59" s="15">
        <f t="shared" si="1"/>
        <v>5420</v>
      </c>
    </row>
    <row r="60" spans="4:7" x14ac:dyDescent="0.25">
      <c r="D60" s="8">
        <v>45974</v>
      </c>
      <c r="E60" s="9" t="s">
        <v>178</v>
      </c>
      <c r="F60" s="10">
        <v>-5360</v>
      </c>
      <c r="G60" s="15">
        <f t="shared" si="1"/>
        <v>60</v>
      </c>
    </row>
    <row r="61" spans="4:7" x14ac:dyDescent="0.25">
      <c r="D61" s="8">
        <v>45978</v>
      </c>
      <c r="E61" s="9" t="s">
        <v>3</v>
      </c>
      <c r="F61" s="10">
        <v>1770</v>
      </c>
      <c r="G61" s="15">
        <f t="shared" si="1"/>
        <v>1830</v>
      </c>
    </row>
    <row r="62" spans="4:7" x14ac:dyDescent="0.25">
      <c r="D62" s="8">
        <v>45978</v>
      </c>
      <c r="E62" s="9" t="s">
        <v>178</v>
      </c>
      <c r="F62" s="10">
        <v>-1770</v>
      </c>
      <c r="G62" s="15">
        <f t="shared" si="1"/>
        <v>60</v>
      </c>
    </row>
    <row r="63" spans="4:7" x14ac:dyDescent="0.25">
      <c r="D63" s="8">
        <v>45981</v>
      </c>
      <c r="E63" s="9" t="s">
        <v>3</v>
      </c>
      <c r="F63" s="10">
        <v>1460</v>
      </c>
      <c r="G63" s="15">
        <f t="shared" si="1"/>
        <v>1520</v>
      </c>
    </row>
    <row r="64" spans="4:7" x14ac:dyDescent="0.25">
      <c r="D64" s="8">
        <v>45981</v>
      </c>
      <c r="E64" s="9" t="s">
        <v>92</v>
      </c>
      <c r="F64" s="10">
        <v>-1460</v>
      </c>
      <c r="G64" s="15">
        <f t="shared" si="1"/>
        <v>60</v>
      </c>
    </row>
    <row r="65" spans="4:7" x14ac:dyDescent="0.25">
      <c r="D65" s="8">
        <v>45985</v>
      </c>
      <c r="E65" s="9" t="s">
        <v>3</v>
      </c>
      <c r="F65" s="10">
        <v>3850</v>
      </c>
      <c r="G65" s="15">
        <f t="shared" si="1"/>
        <v>3910</v>
      </c>
    </row>
    <row r="66" spans="4:7" x14ac:dyDescent="0.25">
      <c r="D66" s="8">
        <v>45983</v>
      </c>
      <c r="E66" s="9" t="s">
        <v>3</v>
      </c>
      <c r="F66" s="10">
        <v>1610</v>
      </c>
      <c r="G66" s="15">
        <f t="shared" si="1"/>
        <v>5520</v>
      </c>
    </row>
    <row r="67" spans="4:7" x14ac:dyDescent="0.25">
      <c r="D67" s="8">
        <v>45985</v>
      </c>
      <c r="E67" s="9" t="s">
        <v>92</v>
      </c>
      <c r="F67" s="10">
        <v>-5570</v>
      </c>
      <c r="G67" s="15">
        <f t="shared" si="1"/>
        <v>-50</v>
      </c>
    </row>
    <row r="68" spans="4:7" x14ac:dyDescent="0.25">
      <c r="D68" s="8">
        <v>45988</v>
      </c>
      <c r="E68" s="9" t="s">
        <v>3</v>
      </c>
      <c r="F68" s="10">
        <v>2360</v>
      </c>
      <c r="G68" s="15">
        <f t="shared" si="1"/>
        <v>2310</v>
      </c>
    </row>
    <row r="69" spans="4:7" x14ac:dyDescent="0.25">
      <c r="D69" s="8">
        <v>45988</v>
      </c>
      <c r="E69" s="9" t="s">
        <v>92</v>
      </c>
      <c r="F69" s="10">
        <v>-2360</v>
      </c>
      <c r="G69" s="15">
        <f t="shared" si="1"/>
        <v>-50</v>
      </c>
    </row>
    <row r="70" spans="4:7" x14ac:dyDescent="0.25">
      <c r="D70" s="8">
        <v>45992</v>
      </c>
      <c r="E70" s="9" t="s">
        <v>3</v>
      </c>
      <c r="F70" s="10">
        <v>1680</v>
      </c>
      <c r="G70" s="15">
        <f t="shared" si="1"/>
        <v>1630</v>
      </c>
    </row>
    <row r="71" spans="4:7" x14ac:dyDescent="0.25">
      <c r="D71" s="8">
        <v>45992</v>
      </c>
      <c r="E71" s="9" t="s">
        <v>92</v>
      </c>
      <c r="F71" s="10">
        <v>-1680</v>
      </c>
      <c r="G71" s="15">
        <f t="shared" si="1"/>
        <v>-50</v>
      </c>
    </row>
    <row r="72" spans="4:7" x14ac:dyDescent="0.25">
      <c r="D72" s="8">
        <v>45995</v>
      </c>
      <c r="E72" s="9" t="s">
        <v>3</v>
      </c>
      <c r="F72" s="10">
        <v>1890</v>
      </c>
      <c r="G72" s="15">
        <f t="shared" si="1"/>
        <v>1840</v>
      </c>
    </row>
    <row r="73" spans="4:7" x14ac:dyDescent="0.25">
      <c r="D73" s="8">
        <v>45995</v>
      </c>
      <c r="E73" s="9" t="s">
        <v>260</v>
      </c>
      <c r="F73" s="10">
        <v>-2090</v>
      </c>
      <c r="G73" s="15">
        <f t="shared" si="1"/>
        <v>-250</v>
      </c>
    </row>
    <row r="74" spans="4:7" x14ac:dyDescent="0.25">
      <c r="D74" s="8">
        <v>45999</v>
      </c>
      <c r="E74" s="9" t="s">
        <v>3</v>
      </c>
      <c r="F74" s="10">
        <v>1260</v>
      </c>
      <c r="G74" s="15">
        <f t="shared" si="1"/>
        <v>1010</v>
      </c>
    </row>
    <row r="75" spans="4:7" x14ac:dyDescent="0.25">
      <c r="D75" s="8">
        <v>45999</v>
      </c>
      <c r="E75" s="9" t="s">
        <v>156</v>
      </c>
      <c r="F75" s="10">
        <v>-1260</v>
      </c>
      <c r="G75" s="15">
        <f t="shared" si="1"/>
        <v>-250</v>
      </c>
    </row>
    <row r="76" spans="4:7" x14ac:dyDescent="0.25">
      <c r="D76" s="8">
        <v>46002</v>
      </c>
      <c r="E76" s="9" t="s">
        <v>3</v>
      </c>
      <c r="F76" s="10">
        <v>2880</v>
      </c>
      <c r="G76" s="15">
        <f t="shared" si="1"/>
        <v>2630</v>
      </c>
    </row>
    <row r="77" spans="4:7" x14ac:dyDescent="0.25">
      <c r="D77" s="8">
        <v>46002</v>
      </c>
      <c r="E77" s="9" t="s">
        <v>92</v>
      </c>
      <c r="F77" s="10">
        <v>-2880</v>
      </c>
      <c r="G77" s="15">
        <f t="shared" si="1"/>
        <v>-250</v>
      </c>
    </row>
    <row r="78" spans="4:7" x14ac:dyDescent="0.25">
      <c r="D78" s="8">
        <v>46030</v>
      </c>
      <c r="E78" s="9" t="s">
        <v>3</v>
      </c>
      <c r="F78" s="10">
        <v>2120</v>
      </c>
      <c r="G78" s="15">
        <f t="shared" ref="G78:G109" si="2">G77+F78</f>
        <v>1870</v>
      </c>
    </row>
    <row r="79" spans="4:7" x14ac:dyDescent="0.25">
      <c r="D79" s="8">
        <v>46030</v>
      </c>
      <c r="E79" s="9" t="s">
        <v>178</v>
      </c>
      <c r="F79" s="10">
        <v>-2120</v>
      </c>
      <c r="G79" s="15">
        <f t="shared" si="2"/>
        <v>-250</v>
      </c>
    </row>
    <row r="80" spans="4:7" x14ac:dyDescent="0.25">
      <c r="D80" s="8">
        <v>46034</v>
      </c>
      <c r="E80" s="9" t="s">
        <v>3</v>
      </c>
      <c r="F80" s="10">
        <v>1900</v>
      </c>
      <c r="G80" s="15">
        <f t="shared" si="2"/>
        <v>1650</v>
      </c>
    </row>
    <row r="81" spans="4:7" x14ac:dyDescent="0.25">
      <c r="D81" s="8">
        <v>46034</v>
      </c>
      <c r="E81" s="9" t="s">
        <v>178</v>
      </c>
      <c r="F81" s="10">
        <v>-1900</v>
      </c>
      <c r="G81" s="15">
        <f t="shared" si="2"/>
        <v>-250</v>
      </c>
    </row>
    <row r="82" spans="4:7" x14ac:dyDescent="0.25">
      <c r="D82" s="8">
        <v>46037</v>
      </c>
      <c r="E82" s="9" t="s">
        <v>3</v>
      </c>
      <c r="F82" s="10">
        <v>1080</v>
      </c>
      <c r="G82" s="15">
        <f t="shared" si="2"/>
        <v>830</v>
      </c>
    </row>
    <row r="83" spans="4:7" x14ac:dyDescent="0.25">
      <c r="D83" s="8">
        <v>46037</v>
      </c>
      <c r="E83" s="9" t="s">
        <v>178</v>
      </c>
      <c r="F83" s="10">
        <v>-1080</v>
      </c>
      <c r="G83" s="15">
        <f t="shared" si="2"/>
        <v>-250</v>
      </c>
    </row>
    <row r="84" spans="4:7" x14ac:dyDescent="0.25">
      <c r="D84" s="8">
        <v>46041</v>
      </c>
      <c r="E84" s="9" t="s">
        <v>3</v>
      </c>
      <c r="F84" s="10">
        <v>2530</v>
      </c>
      <c r="G84" s="15">
        <f t="shared" si="2"/>
        <v>2280</v>
      </c>
    </row>
    <row r="85" spans="4:7" x14ac:dyDescent="0.25">
      <c r="D85" s="8">
        <v>46041</v>
      </c>
      <c r="E85" s="9" t="s">
        <v>178</v>
      </c>
      <c r="F85" s="10">
        <v>-2530</v>
      </c>
      <c r="G85" s="15">
        <f t="shared" si="2"/>
        <v>-250</v>
      </c>
    </row>
    <row r="86" spans="4:7" x14ac:dyDescent="0.25">
      <c r="D86" s="8">
        <v>46044</v>
      </c>
      <c r="E86" s="9" t="s">
        <v>3</v>
      </c>
      <c r="F86" s="10">
        <v>2350</v>
      </c>
      <c r="G86" s="15">
        <f t="shared" si="2"/>
        <v>2100</v>
      </c>
    </row>
    <row r="87" spans="4:7" x14ac:dyDescent="0.25">
      <c r="D87" s="8">
        <v>46044</v>
      </c>
      <c r="E87" s="9" t="s">
        <v>178</v>
      </c>
      <c r="F87" s="10">
        <v>-2350</v>
      </c>
      <c r="G87" s="15">
        <f t="shared" si="2"/>
        <v>-250</v>
      </c>
    </row>
    <row r="88" spans="4:7" x14ac:dyDescent="0.25">
      <c r="D88" s="8">
        <v>46051</v>
      </c>
      <c r="E88" s="9" t="s">
        <v>3</v>
      </c>
      <c r="F88" s="10">
        <v>2780</v>
      </c>
      <c r="G88" s="15">
        <f t="shared" si="2"/>
        <v>2530</v>
      </c>
    </row>
    <row r="89" spans="4:7" x14ac:dyDescent="0.25">
      <c r="D89" s="8">
        <v>46051</v>
      </c>
      <c r="E89" s="9" t="s">
        <v>178</v>
      </c>
      <c r="F89" s="10">
        <v>-2780</v>
      </c>
      <c r="G89" s="15">
        <f t="shared" si="2"/>
        <v>-250</v>
      </c>
    </row>
    <row r="90" spans="4:7" x14ac:dyDescent="0.25">
      <c r="D90" s="8">
        <v>46055</v>
      </c>
      <c r="E90" s="9" t="s">
        <v>3</v>
      </c>
      <c r="F90" s="10">
        <v>2340</v>
      </c>
      <c r="G90" s="15">
        <f t="shared" si="2"/>
        <v>2090</v>
      </c>
    </row>
    <row r="91" spans="4:7" x14ac:dyDescent="0.25">
      <c r="D91" s="8">
        <v>46055</v>
      </c>
      <c r="E91" s="9" t="s">
        <v>178</v>
      </c>
      <c r="F91" s="10">
        <v>-2340</v>
      </c>
      <c r="G91" s="15">
        <f t="shared" si="2"/>
        <v>-250</v>
      </c>
    </row>
    <row r="92" spans="4:7" x14ac:dyDescent="0.25">
      <c r="D92" s="8">
        <v>46059</v>
      </c>
      <c r="E92" s="9" t="s">
        <v>3</v>
      </c>
      <c r="F92" s="10">
        <v>2280</v>
      </c>
      <c r="G92" s="15">
        <f t="shared" si="2"/>
        <v>2030</v>
      </c>
    </row>
    <row r="93" spans="4:7" x14ac:dyDescent="0.25">
      <c r="D93" s="8">
        <v>46062</v>
      </c>
      <c r="E93" s="9" t="s">
        <v>96</v>
      </c>
      <c r="F93" s="10">
        <v>-2280</v>
      </c>
      <c r="G93" s="15">
        <f t="shared" si="2"/>
        <v>-250</v>
      </c>
    </row>
    <row r="94" spans="4:7" x14ac:dyDescent="0.25">
      <c r="D94" s="8">
        <v>46065</v>
      </c>
      <c r="E94" s="9" t="s">
        <v>3</v>
      </c>
      <c r="F94" s="10">
        <v>16270</v>
      </c>
      <c r="G94" s="15">
        <f t="shared" si="2"/>
        <v>16020</v>
      </c>
    </row>
    <row r="95" spans="4:7" x14ac:dyDescent="0.25">
      <c r="D95" s="8">
        <v>46069</v>
      </c>
      <c r="E95" s="9" t="s">
        <v>178</v>
      </c>
      <c r="F95" s="10">
        <v>-16270</v>
      </c>
      <c r="G95" s="15">
        <f t="shared" si="2"/>
        <v>-250</v>
      </c>
    </row>
    <row r="96" spans="4:7" x14ac:dyDescent="0.25">
      <c r="D96" s="8">
        <v>46066</v>
      </c>
      <c r="E96" s="9" t="s">
        <v>3</v>
      </c>
      <c r="F96" s="10">
        <v>2450</v>
      </c>
      <c r="G96" s="15">
        <f t="shared" si="2"/>
        <v>2200</v>
      </c>
    </row>
    <row r="97" spans="4:7" x14ac:dyDescent="0.25">
      <c r="D97" s="8">
        <v>46066</v>
      </c>
      <c r="E97" s="9" t="s">
        <v>178</v>
      </c>
      <c r="F97" s="10">
        <v>-2450</v>
      </c>
      <c r="G97" s="15">
        <f t="shared" si="2"/>
        <v>-250</v>
      </c>
    </row>
    <row r="98" spans="4:7" x14ac:dyDescent="0.25">
      <c r="D98" s="8">
        <v>46069</v>
      </c>
      <c r="E98" s="9" t="s">
        <v>3</v>
      </c>
      <c r="F98" s="10">
        <v>730</v>
      </c>
      <c r="G98" s="15">
        <f t="shared" si="2"/>
        <v>480</v>
      </c>
    </row>
    <row r="99" spans="4:7" x14ac:dyDescent="0.25">
      <c r="D99" s="8">
        <v>46069</v>
      </c>
      <c r="E99" s="9" t="s">
        <v>178</v>
      </c>
      <c r="F99" s="10">
        <v>-730</v>
      </c>
      <c r="G99" s="15">
        <f t="shared" si="2"/>
        <v>-250</v>
      </c>
    </row>
    <row r="100" spans="4:7" x14ac:dyDescent="0.25">
      <c r="D100" s="8">
        <v>46072</v>
      </c>
      <c r="E100" s="9" t="s">
        <v>3</v>
      </c>
      <c r="F100" s="10">
        <v>1410</v>
      </c>
      <c r="G100" s="15">
        <f t="shared" si="2"/>
        <v>1160</v>
      </c>
    </row>
    <row r="101" spans="4:7" x14ac:dyDescent="0.25">
      <c r="D101" s="8">
        <v>46072</v>
      </c>
      <c r="E101" s="9" t="s">
        <v>178</v>
      </c>
      <c r="F101" s="10">
        <v>-1410</v>
      </c>
      <c r="G101" s="15">
        <f t="shared" si="2"/>
        <v>-250</v>
      </c>
    </row>
    <row r="102" spans="4:7" x14ac:dyDescent="0.25">
      <c r="D102" s="8">
        <v>46083</v>
      </c>
      <c r="E102" s="9" t="s">
        <v>3</v>
      </c>
      <c r="F102" s="10">
        <v>800</v>
      </c>
      <c r="G102" s="15">
        <f t="shared" si="2"/>
        <v>550</v>
      </c>
    </row>
    <row r="103" spans="4:7" x14ac:dyDescent="0.25">
      <c r="D103" s="8">
        <v>46083</v>
      </c>
      <c r="E103" s="9" t="s">
        <v>178</v>
      </c>
      <c r="F103" s="10">
        <v>-550</v>
      </c>
      <c r="G103" s="15">
        <f t="shared" si="2"/>
        <v>0</v>
      </c>
    </row>
    <row r="104" spans="4:7" x14ac:dyDescent="0.25">
      <c r="D104" s="23" t="s">
        <v>350</v>
      </c>
      <c r="E104" s="9" t="s">
        <v>3</v>
      </c>
      <c r="F104" s="10">
        <v>4930</v>
      </c>
      <c r="G104" s="15">
        <f t="shared" si="2"/>
        <v>4930</v>
      </c>
    </row>
    <row r="105" spans="4:7" x14ac:dyDescent="0.25">
      <c r="D105" s="8">
        <v>46086</v>
      </c>
      <c r="E105" s="9" t="s">
        <v>178</v>
      </c>
      <c r="F105" s="10">
        <v>-4930</v>
      </c>
      <c r="G105" s="15">
        <f t="shared" si="2"/>
        <v>0</v>
      </c>
    </row>
    <row r="106" spans="4:7" x14ac:dyDescent="0.25">
      <c r="D106" s="8">
        <v>46093</v>
      </c>
      <c r="E106" s="9" t="s">
        <v>3</v>
      </c>
      <c r="F106" s="10">
        <v>1600</v>
      </c>
      <c r="G106" s="15">
        <f t="shared" si="2"/>
        <v>1600</v>
      </c>
    </row>
    <row r="107" spans="4:7" x14ac:dyDescent="0.25">
      <c r="D107" s="8">
        <v>46093</v>
      </c>
      <c r="E107" s="9" t="s">
        <v>178</v>
      </c>
      <c r="F107" s="10">
        <v>-1600</v>
      </c>
      <c r="G107" s="15">
        <f t="shared" si="2"/>
        <v>0</v>
      </c>
    </row>
    <row r="108" spans="4:7" x14ac:dyDescent="0.25">
      <c r="D108" s="8">
        <v>46098</v>
      </c>
      <c r="E108" s="9" t="s">
        <v>3</v>
      </c>
      <c r="F108" s="10">
        <v>480</v>
      </c>
      <c r="G108" s="15">
        <f t="shared" si="2"/>
        <v>480</v>
      </c>
    </row>
    <row r="109" spans="4:7" x14ac:dyDescent="0.25">
      <c r="D109" s="8">
        <v>46100</v>
      </c>
      <c r="E109" s="9" t="s">
        <v>3</v>
      </c>
      <c r="F109" s="10">
        <v>1220</v>
      </c>
      <c r="G109" s="15">
        <f t="shared" si="2"/>
        <v>1700</v>
      </c>
    </row>
    <row r="110" spans="4:7" x14ac:dyDescent="0.25">
      <c r="D110" s="8">
        <v>46100</v>
      </c>
      <c r="E110" s="9" t="s">
        <v>178</v>
      </c>
      <c r="F110" s="10">
        <v>-1700</v>
      </c>
      <c r="G110" s="15">
        <f t="shared" ref="G110:G169" si="3">G109+F110</f>
        <v>0</v>
      </c>
    </row>
    <row r="111" spans="4:7" x14ac:dyDescent="0.25">
      <c r="D111" s="8">
        <v>46104</v>
      </c>
      <c r="E111" s="9" t="s">
        <v>3</v>
      </c>
      <c r="F111" s="10">
        <v>300</v>
      </c>
      <c r="G111" s="15">
        <f t="shared" si="3"/>
        <v>300</v>
      </c>
    </row>
    <row r="112" spans="4:7" x14ac:dyDescent="0.25">
      <c r="D112" s="8">
        <v>46196</v>
      </c>
      <c r="E112" s="9" t="s">
        <v>178</v>
      </c>
      <c r="F112" s="10">
        <v>-300</v>
      </c>
      <c r="G112" s="15">
        <f t="shared" si="3"/>
        <v>0</v>
      </c>
    </row>
    <row r="113" spans="4:7" x14ac:dyDescent="0.25">
      <c r="D113" s="8">
        <v>46107</v>
      </c>
      <c r="E113" s="9" t="s">
        <v>3</v>
      </c>
      <c r="F113" s="10">
        <v>1500</v>
      </c>
      <c r="G113" s="15">
        <f t="shared" si="3"/>
        <v>1500</v>
      </c>
    </row>
    <row r="114" spans="4:7" x14ac:dyDescent="0.25">
      <c r="D114" s="8">
        <v>46107</v>
      </c>
      <c r="E114" s="9" t="s">
        <v>178</v>
      </c>
      <c r="F114" s="10">
        <v>-1500</v>
      </c>
      <c r="G114" s="15">
        <f t="shared" si="3"/>
        <v>0</v>
      </c>
    </row>
    <row r="115" spans="4:7" x14ac:dyDescent="0.25">
      <c r="D115" s="8">
        <v>46118</v>
      </c>
      <c r="E115" s="9" t="s">
        <v>3</v>
      </c>
      <c r="F115" s="10">
        <v>1890</v>
      </c>
      <c r="G115" s="15">
        <f t="shared" si="3"/>
        <v>1890</v>
      </c>
    </row>
    <row r="116" spans="4:7" x14ac:dyDescent="0.25">
      <c r="D116" s="8">
        <v>46118</v>
      </c>
      <c r="E116" s="9" t="s">
        <v>178</v>
      </c>
      <c r="F116" s="10">
        <v>-1890</v>
      </c>
      <c r="G116" s="15">
        <f t="shared" si="3"/>
        <v>0</v>
      </c>
    </row>
    <row r="117" spans="4:7" x14ac:dyDescent="0.25">
      <c r="D117" s="8">
        <v>46121</v>
      </c>
      <c r="E117" s="9" t="s">
        <v>3</v>
      </c>
      <c r="F117" s="10">
        <v>1700</v>
      </c>
      <c r="G117" s="15">
        <f t="shared" si="3"/>
        <v>1700</v>
      </c>
    </row>
    <row r="118" spans="4:7" ht="16.5" customHeight="1" x14ac:dyDescent="0.25">
      <c r="D118" s="8">
        <v>46121</v>
      </c>
      <c r="E118" s="9" t="s">
        <v>178</v>
      </c>
      <c r="F118" s="10">
        <v>-1700</v>
      </c>
      <c r="G118" s="15">
        <f t="shared" si="3"/>
        <v>0</v>
      </c>
    </row>
    <row r="119" spans="4:7" x14ac:dyDescent="0.25">
      <c r="D119" s="8">
        <v>46125</v>
      </c>
      <c r="E119" s="9" t="s">
        <v>3</v>
      </c>
      <c r="F119" s="10">
        <v>1060</v>
      </c>
      <c r="G119" s="15">
        <f t="shared" si="3"/>
        <v>1060</v>
      </c>
    </row>
    <row r="120" spans="4:7" x14ac:dyDescent="0.25">
      <c r="D120" s="8">
        <v>46125</v>
      </c>
      <c r="E120" s="9" t="s">
        <v>178</v>
      </c>
      <c r="F120" s="10">
        <v>-1060</v>
      </c>
      <c r="G120" s="15">
        <f t="shared" si="3"/>
        <v>0</v>
      </c>
    </row>
    <row r="121" spans="4:7" x14ac:dyDescent="0.25">
      <c r="D121" s="8" t="s">
        <v>507</v>
      </c>
      <c r="E121" s="9" t="s">
        <v>3</v>
      </c>
      <c r="F121" s="10">
        <v>1800</v>
      </c>
      <c r="G121" s="15">
        <f t="shared" si="3"/>
        <v>1800</v>
      </c>
    </row>
    <row r="122" spans="4:7" x14ac:dyDescent="0.25">
      <c r="D122" s="8">
        <v>46128</v>
      </c>
      <c r="E122" s="9" t="s">
        <v>178</v>
      </c>
      <c r="F122" s="10">
        <v>-1800</v>
      </c>
      <c r="G122" s="15">
        <f t="shared" si="3"/>
        <v>0</v>
      </c>
    </row>
    <row r="123" spans="4:7" x14ac:dyDescent="0.25">
      <c r="D123" s="8">
        <v>46135</v>
      </c>
      <c r="E123" s="9" t="s">
        <v>3</v>
      </c>
      <c r="F123" s="10">
        <v>2400</v>
      </c>
      <c r="G123" s="15">
        <f t="shared" si="3"/>
        <v>2400</v>
      </c>
    </row>
    <row r="124" spans="4:7" x14ac:dyDescent="0.25">
      <c r="D124" s="8">
        <v>46135</v>
      </c>
      <c r="E124" s="9" t="s">
        <v>178</v>
      </c>
      <c r="F124" s="10">
        <v>-2400</v>
      </c>
      <c r="G124" s="15">
        <f t="shared" si="3"/>
        <v>0</v>
      </c>
    </row>
    <row r="125" spans="4:7" x14ac:dyDescent="0.25">
      <c r="D125" s="8">
        <v>46172</v>
      </c>
      <c r="E125" s="9" t="s">
        <v>3</v>
      </c>
      <c r="F125" s="10">
        <v>2970</v>
      </c>
      <c r="G125" s="15">
        <f t="shared" si="3"/>
        <v>2970</v>
      </c>
    </row>
    <row r="126" spans="4:7" x14ac:dyDescent="0.25">
      <c r="D126" s="8">
        <v>46160</v>
      </c>
      <c r="E126" s="9" t="s">
        <v>3</v>
      </c>
      <c r="F126" s="10">
        <v>640</v>
      </c>
      <c r="G126" s="15">
        <f t="shared" si="3"/>
        <v>3610</v>
      </c>
    </row>
    <row r="127" spans="4:7" x14ac:dyDescent="0.25">
      <c r="D127" s="8">
        <v>46160</v>
      </c>
      <c r="E127" s="9" t="s">
        <v>178</v>
      </c>
      <c r="F127" s="10">
        <v>-640</v>
      </c>
      <c r="G127" s="15">
        <f t="shared" si="3"/>
        <v>2970</v>
      </c>
    </row>
    <row r="128" spans="4:7" x14ac:dyDescent="0.25">
      <c r="D128" s="8">
        <v>46163</v>
      </c>
      <c r="E128" s="9" t="s">
        <v>3</v>
      </c>
      <c r="F128" s="10">
        <v>1610</v>
      </c>
      <c r="G128" s="15">
        <f t="shared" si="3"/>
        <v>4580</v>
      </c>
    </row>
    <row r="129" spans="4:7" x14ac:dyDescent="0.25">
      <c r="D129" s="8">
        <v>46163</v>
      </c>
      <c r="E129" s="9" t="s">
        <v>178</v>
      </c>
      <c r="F129" s="10">
        <v>-4580</v>
      </c>
      <c r="G129" s="15">
        <f t="shared" si="3"/>
        <v>0</v>
      </c>
    </row>
    <row r="130" spans="4:7" x14ac:dyDescent="0.25">
      <c r="D130" s="8">
        <v>46170</v>
      </c>
      <c r="E130" s="9" t="s">
        <v>3</v>
      </c>
      <c r="F130" s="10">
        <v>1000</v>
      </c>
      <c r="G130" s="15">
        <f t="shared" si="3"/>
        <v>1000</v>
      </c>
    </row>
    <row r="131" spans="4:7" x14ac:dyDescent="0.25">
      <c r="D131" s="8">
        <v>46171</v>
      </c>
      <c r="E131" s="9" t="s">
        <v>445</v>
      </c>
      <c r="F131" s="10">
        <v>970</v>
      </c>
      <c r="G131" s="15">
        <f t="shared" si="3"/>
        <v>1970</v>
      </c>
    </row>
    <row r="132" spans="4:7" x14ac:dyDescent="0.25">
      <c r="D132" s="8">
        <v>46172</v>
      </c>
      <c r="E132" s="9" t="s">
        <v>178</v>
      </c>
      <c r="F132" s="10">
        <v>-1970</v>
      </c>
      <c r="G132" s="15">
        <f t="shared" si="3"/>
        <v>0</v>
      </c>
    </row>
    <row r="133" spans="4:7" x14ac:dyDescent="0.25">
      <c r="D133" s="8">
        <v>46177</v>
      </c>
      <c r="E133" s="9" t="s">
        <v>3</v>
      </c>
      <c r="F133" s="10">
        <v>1340</v>
      </c>
      <c r="G133" s="15">
        <f t="shared" si="3"/>
        <v>1340</v>
      </c>
    </row>
    <row r="134" spans="4:7" ht="14.25" customHeight="1" x14ac:dyDescent="0.25">
      <c r="D134" s="8">
        <v>46177</v>
      </c>
      <c r="E134" s="9" t="s">
        <v>178</v>
      </c>
      <c r="F134" s="10">
        <v>-1340</v>
      </c>
      <c r="G134" s="15">
        <f t="shared" si="3"/>
        <v>0</v>
      </c>
    </row>
    <row r="135" spans="4:7" ht="14.25" customHeight="1" x14ac:dyDescent="0.25">
      <c r="D135" s="8">
        <v>46184</v>
      </c>
      <c r="E135" s="9" t="s">
        <v>3</v>
      </c>
      <c r="F135" s="10">
        <v>500</v>
      </c>
      <c r="G135" s="15">
        <f t="shared" si="3"/>
        <v>500</v>
      </c>
    </row>
    <row r="136" spans="4:7" ht="14.25" customHeight="1" x14ac:dyDescent="0.25">
      <c r="D136" s="8">
        <v>46184</v>
      </c>
      <c r="E136" s="9" t="s">
        <v>178</v>
      </c>
      <c r="F136" s="10">
        <v>-500</v>
      </c>
      <c r="G136" s="15">
        <f t="shared" si="3"/>
        <v>0</v>
      </c>
    </row>
    <row r="137" spans="4:7" ht="14.25" customHeight="1" x14ac:dyDescent="0.25">
      <c r="D137" s="8">
        <v>46188</v>
      </c>
      <c r="E137" s="9" t="s">
        <v>3</v>
      </c>
      <c r="F137" s="10">
        <v>1440</v>
      </c>
      <c r="G137" s="15">
        <f t="shared" si="3"/>
        <v>1440</v>
      </c>
    </row>
    <row r="138" spans="4:7" ht="14.25" customHeight="1" x14ac:dyDescent="0.25">
      <c r="D138" s="8">
        <v>46188</v>
      </c>
      <c r="E138" s="9" t="s">
        <v>178</v>
      </c>
      <c r="F138" s="10">
        <v>-1440</v>
      </c>
      <c r="G138" s="15">
        <f t="shared" si="3"/>
        <v>0</v>
      </c>
    </row>
    <row r="139" spans="4:7" ht="14.25" customHeight="1" x14ac:dyDescent="0.25">
      <c r="D139" s="8">
        <v>46193</v>
      </c>
      <c r="E139" s="9" t="s">
        <v>468</v>
      </c>
      <c r="F139" s="10">
        <v>820</v>
      </c>
      <c r="G139" s="15">
        <f t="shared" si="3"/>
        <v>820</v>
      </c>
    </row>
    <row r="140" spans="4:7" ht="14.25" customHeight="1" x14ac:dyDescent="0.25">
      <c r="D140" s="8">
        <v>46195</v>
      </c>
      <c r="E140" s="9" t="s">
        <v>178</v>
      </c>
      <c r="F140" s="10">
        <v>-820</v>
      </c>
      <c r="G140" s="15">
        <f t="shared" si="3"/>
        <v>0</v>
      </c>
    </row>
    <row r="141" spans="4:7" ht="14.25" customHeight="1" x14ac:dyDescent="0.25">
      <c r="D141" s="8">
        <v>46202</v>
      </c>
      <c r="E141" s="9" t="s">
        <v>3</v>
      </c>
      <c r="F141" s="10">
        <v>770</v>
      </c>
      <c r="G141" s="15">
        <f t="shared" si="3"/>
        <v>770</v>
      </c>
    </row>
    <row r="142" spans="4:7" ht="14.25" customHeight="1" x14ac:dyDescent="0.25">
      <c r="D142" s="8">
        <v>47298</v>
      </c>
      <c r="E142" s="9" t="s">
        <v>178</v>
      </c>
      <c r="F142" s="10">
        <v>-770</v>
      </c>
      <c r="G142" s="15">
        <f t="shared" si="3"/>
        <v>0</v>
      </c>
    </row>
    <row r="143" spans="4:7" x14ac:dyDescent="0.25">
      <c r="D143" s="8">
        <v>46223</v>
      </c>
      <c r="E143" s="9" t="s">
        <v>3</v>
      </c>
      <c r="F143" s="10">
        <v>600</v>
      </c>
      <c r="G143" s="15">
        <f t="shared" si="3"/>
        <v>600</v>
      </c>
    </row>
    <row r="144" spans="4:7" x14ac:dyDescent="0.25">
      <c r="D144" s="8">
        <v>46223</v>
      </c>
      <c r="E144" s="9" t="s">
        <v>196</v>
      </c>
      <c r="F144" s="10">
        <v>-600</v>
      </c>
      <c r="G144" s="15">
        <f t="shared" si="3"/>
        <v>0</v>
      </c>
    </row>
    <row r="145" spans="4:7" x14ac:dyDescent="0.25">
      <c r="D145" s="8">
        <v>46226</v>
      </c>
      <c r="E145" s="9" t="s">
        <v>3</v>
      </c>
      <c r="F145" s="10">
        <f>300+350+250+120+150+100</f>
        <v>1270</v>
      </c>
      <c r="G145" s="15">
        <f t="shared" si="3"/>
        <v>1270</v>
      </c>
    </row>
    <row r="146" spans="4:7" x14ac:dyDescent="0.25">
      <c r="D146" s="8">
        <v>46226</v>
      </c>
      <c r="E146" s="9" t="s">
        <v>178</v>
      </c>
      <c r="F146" s="10">
        <v>-1270</v>
      </c>
      <c r="G146" s="15">
        <f t="shared" si="3"/>
        <v>0</v>
      </c>
    </row>
    <row r="147" spans="4:7" x14ac:dyDescent="0.25">
      <c r="D147" s="8">
        <v>46237</v>
      </c>
      <c r="E147" s="9" t="s">
        <v>3</v>
      </c>
      <c r="F147" s="10">
        <v>670</v>
      </c>
      <c r="G147" s="15">
        <f t="shared" si="3"/>
        <v>670</v>
      </c>
    </row>
    <row r="148" spans="4:7" x14ac:dyDescent="0.25">
      <c r="D148" s="8">
        <v>46237</v>
      </c>
      <c r="E148" s="9" t="s">
        <v>178</v>
      </c>
      <c r="F148" s="10">
        <v>-670</v>
      </c>
      <c r="G148" s="15">
        <f t="shared" si="3"/>
        <v>0</v>
      </c>
    </row>
    <row r="149" spans="4:7" x14ac:dyDescent="0.25">
      <c r="D149" s="8">
        <v>46244</v>
      </c>
      <c r="E149" s="9" t="s">
        <v>3</v>
      </c>
      <c r="F149" s="10">
        <v>2600</v>
      </c>
      <c r="G149" s="15">
        <f t="shared" si="3"/>
        <v>2600</v>
      </c>
    </row>
    <row r="150" spans="4:7" x14ac:dyDescent="0.25">
      <c r="D150" s="8">
        <v>46244</v>
      </c>
      <c r="E150" s="9" t="s">
        <v>178</v>
      </c>
      <c r="F150" s="10">
        <v>-2600</v>
      </c>
      <c r="G150" s="15">
        <f t="shared" si="3"/>
        <v>0</v>
      </c>
    </row>
    <row r="151" spans="4:7" x14ac:dyDescent="0.25">
      <c r="D151" s="8">
        <v>46265</v>
      </c>
      <c r="E151" s="9" t="s">
        <v>3</v>
      </c>
      <c r="F151" s="10">
        <v>3020</v>
      </c>
      <c r="G151" s="15">
        <f t="shared" si="3"/>
        <v>3020</v>
      </c>
    </row>
    <row r="152" spans="4:7" x14ac:dyDescent="0.25">
      <c r="D152" s="8">
        <v>46265</v>
      </c>
      <c r="E152" s="9" t="s">
        <v>178</v>
      </c>
      <c r="F152" s="10">
        <v>-3020</v>
      </c>
      <c r="G152" s="15">
        <f t="shared" si="3"/>
        <v>0</v>
      </c>
    </row>
    <row r="153" spans="4:7" x14ac:dyDescent="0.25">
      <c r="D153" s="8">
        <v>46268</v>
      </c>
      <c r="E153" s="9" t="s">
        <v>3</v>
      </c>
      <c r="F153" s="10">
        <v>850</v>
      </c>
      <c r="G153" s="15">
        <f t="shared" si="3"/>
        <v>850</v>
      </c>
    </row>
    <row r="154" spans="4:7" x14ac:dyDescent="0.25">
      <c r="D154" s="8">
        <v>46268</v>
      </c>
      <c r="E154" s="9" t="s">
        <v>178</v>
      </c>
      <c r="F154" s="10">
        <v>-850</v>
      </c>
      <c r="G154" s="15">
        <f t="shared" si="3"/>
        <v>0</v>
      </c>
    </row>
    <row r="155" spans="4:7" x14ac:dyDescent="0.25">
      <c r="D155" s="8">
        <v>46272</v>
      </c>
      <c r="E155" s="9" t="s">
        <v>3</v>
      </c>
      <c r="F155" s="10">
        <v>1710</v>
      </c>
      <c r="G155" s="15">
        <f t="shared" si="3"/>
        <v>1710</v>
      </c>
    </row>
    <row r="156" spans="4:7" x14ac:dyDescent="0.25">
      <c r="D156" s="8">
        <v>46272</v>
      </c>
      <c r="E156" s="9" t="s">
        <v>178</v>
      </c>
      <c r="F156" s="10">
        <v>-1710</v>
      </c>
      <c r="G156" s="15">
        <f t="shared" si="3"/>
        <v>0</v>
      </c>
    </row>
    <row r="157" spans="4:7" x14ac:dyDescent="0.25">
      <c r="D157" s="8">
        <v>46277</v>
      </c>
      <c r="E157" s="9" t="s">
        <v>148</v>
      </c>
      <c r="F157" s="10">
        <v>1470</v>
      </c>
      <c r="G157" s="15">
        <f>G156+F157</f>
        <v>1470</v>
      </c>
    </row>
    <row r="158" spans="4:7" x14ac:dyDescent="0.25">
      <c r="D158" s="8">
        <v>46279</v>
      </c>
      <c r="E158" s="9" t="s">
        <v>3</v>
      </c>
      <c r="F158" s="10">
        <v>170</v>
      </c>
      <c r="G158" s="15">
        <f t="shared" si="3"/>
        <v>1640</v>
      </c>
    </row>
    <row r="159" spans="4:7" x14ac:dyDescent="0.25">
      <c r="D159" s="8">
        <v>46279</v>
      </c>
      <c r="E159" s="9" t="s">
        <v>178</v>
      </c>
      <c r="F159" s="10">
        <v>-1640</v>
      </c>
      <c r="G159" s="15">
        <f>G158+F159</f>
        <v>0</v>
      </c>
    </row>
    <row r="160" spans="4:7" x14ac:dyDescent="0.25">
      <c r="D160" s="8">
        <v>46287</v>
      </c>
      <c r="E160" s="9" t="s">
        <v>468</v>
      </c>
      <c r="F160" s="10">
        <v>2070</v>
      </c>
      <c r="G160" s="15">
        <f t="shared" si="3"/>
        <v>2070</v>
      </c>
    </row>
    <row r="161" spans="4:7" x14ac:dyDescent="0.25">
      <c r="D161" s="8">
        <v>46289</v>
      </c>
      <c r="E161" s="9" t="s">
        <v>3</v>
      </c>
      <c r="F161" s="10">
        <v>980</v>
      </c>
      <c r="G161" s="15">
        <f t="shared" si="3"/>
        <v>3050</v>
      </c>
    </row>
    <row r="162" spans="4:7" x14ac:dyDescent="0.25">
      <c r="D162" s="8">
        <v>46289</v>
      </c>
      <c r="E162" s="9" t="s">
        <v>196</v>
      </c>
      <c r="F162" s="10">
        <v>-3050</v>
      </c>
      <c r="G162" s="15">
        <f t="shared" si="3"/>
        <v>0</v>
      </c>
    </row>
    <row r="163" spans="4:7" x14ac:dyDescent="0.25">
      <c r="D163" s="8">
        <v>46293</v>
      </c>
      <c r="E163" s="9" t="s">
        <v>3</v>
      </c>
      <c r="F163" s="10">
        <v>5150</v>
      </c>
      <c r="G163" s="15">
        <f t="shared" si="3"/>
        <v>5150</v>
      </c>
    </row>
    <row r="164" spans="4:7" x14ac:dyDescent="0.25">
      <c r="D164" s="8">
        <v>46293</v>
      </c>
      <c r="E164" s="9" t="s">
        <v>178</v>
      </c>
      <c r="F164" s="10">
        <v>-5150</v>
      </c>
      <c r="G164" s="15">
        <f t="shared" si="3"/>
        <v>0</v>
      </c>
    </row>
    <row r="165" spans="4:7" x14ac:dyDescent="0.25">
      <c r="D165" s="8">
        <v>46296</v>
      </c>
      <c r="E165" s="9" t="s">
        <v>3</v>
      </c>
      <c r="F165" s="10">
        <v>8230</v>
      </c>
      <c r="G165" s="15">
        <f t="shared" si="3"/>
        <v>8230</v>
      </c>
    </row>
    <row r="166" spans="4:7" x14ac:dyDescent="0.25">
      <c r="D166" s="8">
        <v>46296</v>
      </c>
      <c r="E166" s="9" t="s">
        <v>178</v>
      </c>
      <c r="F166" s="10">
        <v>-8230</v>
      </c>
      <c r="G166" s="15">
        <f t="shared" si="3"/>
        <v>0</v>
      </c>
    </row>
    <row r="167" spans="4:7" x14ac:dyDescent="0.25">
      <c r="D167" s="8"/>
      <c r="E167" s="9"/>
      <c r="F167" s="10"/>
      <c r="G167" s="15">
        <f t="shared" si="3"/>
        <v>0</v>
      </c>
    </row>
    <row r="168" spans="4:7" x14ac:dyDescent="0.25">
      <c r="D168" s="9"/>
      <c r="E168" s="9"/>
      <c r="F168" s="10"/>
      <c r="G168" s="15">
        <f t="shared" si="3"/>
        <v>0</v>
      </c>
    </row>
    <row r="169" spans="4:7" x14ac:dyDescent="0.25">
      <c r="D169" s="9"/>
      <c r="E169" s="9"/>
      <c r="F169" s="10"/>
      <c r="G169" s="15">
        <f t="shared" si="3"/>
        <v>0</v>
      </c>
    </row>
  </sheetData>
  <mergeCells count="2">
    <mergeCell ref="D7:G7"/>
    <mergeCell ref="E9:G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794D8-AF7F-471D-BB88-F578E6C9028C}">
  <dimension ref="E3:H158"/>
  <sheetViews>
    <sheetView topLeftCell="A115" workbookViewId="0">
      <selection activeCell="G135" sqref="G135"/>
    </sheetView>
  </sheetViews>
  <sheetFormatPr baseColWidth="10" defaultRowHeight="15" x14ac:dyDescent="0.25"/>
  <cols>
    <col min="5" max="5" width="26.85546875" customWidth="1"/>
    <col min="6" max="6" width="23.42578125" customWidth="1"/>
    <col min="7" max="7" width="15.28515625" customWidth="1"/>
    <col min="8" max="8" width="14" customWidth="1"/>
  </cols>
  <sheetData>
    <row r="3" spans="5:8" x14ac:dyDescent="0.25">
      <c r="E3" s="2" t="s">
        <v>1</v>
      </c>
      <c r="F3" s="96" t="s">
        <v>121</v>
      </c>
      <c r="G3" s="97"/>
      <c r="H3" s="97"/>
    </row>
    <row r="4" spans="5:8" x14ac:dyDescent="0.25">
      <c r="E4" s="3" t="s">
        <v>11</v>
      </c>
      <c r="F4" s="4" t="s">
        <v>27</v>
      </c>
      <c r="G4" s="4"/>
      <c r="H4" s="4"/>
    </row>
    <row r="5" spans="5:8" x14ac:dyDescent="0.25">
      <c r="F5" s="5"/>
      <c r="G5" s="6"/>
      <c r="H5" s="6"/>
    </row>
    <row r="6" spans="5:8" x14ac:dyDescent="0.25">
      <c r="E6" s="2" t="s">
        <v>2</v>
      </c>
      <c r="F6" s="2" t="s">
        <v>3</v>
      </c>
      <c r="G6" s="7" t="s">
        <v>4</v>
      </c>
      <c r="H6" s="7" t="s">
        <v>5</v>
      </c>
    </row>
    <row r="7" spans="5:8" x14ac:dyDescent="0.25">
      <c r="E7" s="8">
        <v>45918</v>
      </c>
      <c r="F7" s="9" t="s">
        <v>3</v>
      </c>
      <c r="G7" s="10">
        <v>5960</v>
      </c>
      <c r="H7" s="10">
        <f>G7</f>
        <v>5960</v>
      </c>
    </row>
    <row r="8" spans="5:8" x14ac:dyDescent="0.25">
      <c r="E8" s="8">
        <v>45918</v>
      </c>
      <c r="F8" s="9" t="s">
        <v>92</v>
      </c>
      <c r="G8" s="10">
        <v>-5960</v>
      </c>
      <c r="H8" s="10">
        <f t="shared" ref="H8:H39" si="0">H7+G8</f>
        <v>0</v>
      </c>
    </row>
    <row r="9" spans="5:8" x14ac:dyDescent="0.25">
      <c r="E9" s="8">
        <v>45922</v>
      </c>
      <c r="F9" s="9" t="s">
        <v>3</v>
      </c>
      <c r="G9" s="10">
        <v>3750</v>
      </c>
      <c r="H9" s="10">
        <f t="shared" si="0"/>
        <v>3750</v>
      </c>
    </row>
    <row r="10" spans="5:8" x14ac:dyDescent="0.25">
      <c r="E10" s="8">
        <v>45922</v>
      </c>
      <c r="F10" s="9" t="s">
        <v>92</v>
      </c>
      <c r="G10" s="10">
        <v>-3750</v>
      </c>
      <c r="H10" s="10">
        <f t="shared" si="0"/>
        <v>0</v>
      </c>
    </row>
    <row r="11" spans="5:8" x14ac:dyDescent="0.25">
      <c r="E11" s="8">
        <v>45925</v>
      </c>
      <c r="F11" s="9" t="s">
        <v>3</v>
      </c>
      <c r="G11" s="10">
        <v>3120</v>
      </c>
      <c r="H11" s="10">
        <f t="shared" si="0"/>
        <v>3120</v>
      </c>
    </row>
    <row r="12" spans="5:8" x14ac:dyDescent="0.25">
      <c r="E12" s="8">
        <v>45925</v>
      </c>
      <c r="F12" s="9" t="s">
        <v>92</v>
      </c>
      <c r="G12" s="10">
        <v>-3120</v>
      </c>
      <c r="H12" s="10">
        <f t="shared" si="0"/>
        <v>0</v>
      </c>
    </row>
    <row r="13" spans="5:8" x14ac:dyDescent="0.25">
      <c r="E13" s="8">
        <v>45929</v>
      </c>
      <c r="F13" s="9" t="s">
        <v>3</v>
      </c>
      <c r="G13" s="10">
        <v>1330</v>
      </c>
      <c r="H13" s="10">
        <f t="shared" si="0"/>
        <v>1330</v>
      </c>
    </row>
    <row r="14" spans="5:8" x14ac:dyDescent="0.25">
      <c r="E14" s="8">
        <v>45929</v>
      </c>
      <c r="F14" s="9" t="s">
        <v>92</v>
      </c>
      <c r="G14" s="10">
        <v>-1330</v>
      </c>
      <c r="H14" s="10">
        <f t="shared" si="0"/>
        <v>0</v>
      </c>
    </row>
    <row r="15" spans="5:8" x14ac:dyDescent="0.25">
      <c r="E15" s="8">
        <v>45936</v>
      </c>
      <c r="F15" s="9" t="s">
        <v>3</v>
      </c>
      <c r="G15" s="10">
        <v>1300</v>
      </c>
      <c r="H15" s="10">
        <f t="shared" si="0"/>
        <v>1300</v>
      </c>
    </row>
    <row r="16" spans="5:8" x14ac:dyDescent="0.25">
      <c r="E16" s="8">
        <v>45943</v>
      </c>
      <c r="F16" s="9" t="s">
        <v>3</v>
      </c>
      <c r="G16" s="10">
        <v>1000</v>
      </c>
      <c r="H16" s="10">
        <f t="shared" si="0"/>
        <v>2300</v>
      </c>
    </row>
    <row r="17" spans="5:8" x14ac:dyDescent="0.25">
      <c r="E17" s="8">
        <v>45943</v>
      </c>
      <c r="F17" s="9" t="s">
        <v>178</v>
      </c>
      <c r="G17" s="10">
        <v>-1000</v>
      </c>
      <c r="H17" s="10">
        <f t="shared" si="0"/>
        <v>1300</v>
      </c>
    </row>
    <row r="18" spans="5:8" x14ac:dyDescent="0.25">
      <c r="E18" s="8">
        <v>45939</v>
      </c>
      <c r="F18" s="9" t="s">
        <v>178</v>
      </c>
      <c r="G18" s="10">
        <v>-1300</v>
      </c>
      <c r="H18" s="10">
        <f t="shared" si="0"/>
        <v>0</v>
      </c>
    </row>
    <row r="19" spans="5:8" x14ac:dyDescent="0.25">
      <c r="E19" s="8">
        <v>45950</v>
      </c>
      <c r="F19" s="9" t="s">
        <v>3</v>
      </c>
      <c r="G19" s="10">
        <v>2240</v>
      </c>
      <c r="H19" s="10">
        <f t="shared" si="0"/>
        <v>2240</v>
      </c>
    </row>
    <row r="20" spans="5:8" x14ac:dyDescent="0.25">
      <c r="E20" s="8">
        <v>45951</v>
      </c>
      <c r="F20" s="9" t="s">
        <v>3</v>
      </c>
      <c r="G20" s="10">
        <v>2120</v>
      </c>
      <c r="H20" s="10">
        <f t="shared" si="0"/>
        <v>4360</v>
      </c>
    </row>
    <row r="21" spans="5:8" x14ac:dyDescent="0.25">
      <c r="E21" s="8">
        <v>45953</v>
      </c>
      <c r="F21" s="9" t="s">
        <v>3</v>
      </c>
      <c r="G21" s="10">
        <v>2080</v>
      </c>
      <c r="H21" s="10">
        <f t="shared" si="0"/>
        <v>6440</v>
      </c>
    </row>
    <row r="22" spans="5:8" x14ac:dyDescent="0.25">
      <c r="E22" s="8">
        <v>45953</v>
      </c>
      <c r="F22" s="9" t="s">
        <v>92</v>
      </c>
      <c r="G22" s="10">
        <v>-6440</v>
      </c>
      <c r="H22" s="10">
        <f t="shared" si="0"/>
        <v>0</v>
      </c>
    </row>
    <row r="23" spans="5:8" x14ac:dyDescent="0.25">
      <c r="E23" s="8">
        <v>45960</v>
      </c>
      <c r="F23" s="9" t="s">
        <v>3</v>
      </c>
      <c r="G23" s="10">
        <v>1740</v>
      </c>
      <c r="H23" s="10">
        <f t="shared" si="0"/>
        <v>1740</v>
      </c>
    </row>
    <row r="24" spans="5:8" x14ac:dyDescent="0.25">
      <c r="E24" s="8">
        <v>45960</v>
      </c>
      <c r="F24" s="9" t="s">
        <v>178</v>
      </c>
      <c r="G24" s="10">
        <v>-1740</v>
      </c>
      <c r="H24" s="10">
        <f t="shared" si="0"/>
        <v>0</v>
      </c>
    </row>
    <row r="25" spans="5:8" x14ac:dyDescent="0.25">
      <c r="E25" s="8">
        <v>45962</v>
      </c>
      <c r="F25" s="9" t="s">
        <v>3</v>
      </c>
      <c r="G25" s="10">
        <v>2910</v>
      </c>
      <c r="H25" s="10">
        <f t="shared" si="0"/>
        <v>2910</v>
      </c>
    </row>
    <row r="26" spans="5:8" x14ac:dyDescent="0.25">
      <c r="E26" s="8">
        <v>45964</v>
      </c>
      <c r="F26" s="9" t="s">
        <v>3</v>
      </c>
      <c r="G26" s="10">
        <v>1300</v>
      </c>
      <c r="H26" s="10">
        <f t="shared" si="0"/>
        <v>4210</v>
      </c>
    </row>
    <row r="27" spans="5:8" x14ac:dyDescent="0.25">
      <c r="E27" s="8">
        <v>45964</v>
      </c>
      <c r="F27" s="9" t="s">
        <v>178</v>
      </c>
      <c r="G27" s="10">
        <v>-4210</v>
      </c>
      <c r="H27" s="10">
        <f t="shared" si="0"/>
        <v>0</v>
      </c>
    </row>
    <row r="28" spans="5:8" x14ac:dyDescent="0.25">
      <c r="E28" s="8">
        <v>45967</v>
      </c>
      <c r="F28" s="9" t="s">
        <v>3</v>
      </c>
      <c r="G28" s="10">
        <v>1220</v>
      </c>
      <c r="H28" s="10">
        <f t="shared" si="0"/>
        <v>1220</v>
      </c>
    </row>
    <row r="29" spans="5:8" x14ac:dyDescent="0.25">
      <c r="E29" s="8">
        <v>45967</v>
      </c>
      <c r="F29" s="9" t="s">
        <v>178</v>
      </c>
      <c r="G29" s="10">
        <v>-1220</v>
      </c>
      <c r="H29" s="10">
        <f t="shared" si="0"/>
        <v>0</v>
      </c>
    </row>
    <row r="30" spans="5:8" x14ac:dyDescent="0.25">
      <c r="E30" s="8">
        <v>45971</v>
      </c>
      <c r="F30" s="9" t="s">
        <v>3</v>
      </c>
      <c r="G30" s="10">
        <v>1460</v>
      </c>
      <c r="H30" s="10">
        <f t="shared" si="0"/>
        <v>1460</v>
      </c>
    </row>
    <row r="31" spans="5:8" x14ac:dyDescent="0.25">
      <c r="E31" s="8">
        <v>45971</v>
      </c>
      <c r="F31" s="9" t="s">
        <v>178</v>
      </c>
      <c r="G31" s="10">
        <v>-1460</v>
      </c>
      <c r="H31" s="10">
        <f t="shared" si="0"/>
        <v>0</v>
      </c>
    </row>
    <row r="32" spans="5:8" x14ac:dyDescent="0.25">
      <c r="E32" s="8">
        <v>45974</v>
      </c>
      <c r="F32" s="9" t="s">
        <v>3</v>
      </c>
      <c r="G32" s="10">
        <v>620</v>
      </c>
      <c r="H32" s="10">
        <f t="shared" si="0"/>
        <v>620</v>
      </c>
    </row>
    <row r="33" spans="5:8" x14ac:dyDescent="0.25">
      <c r="E33" s="8">
        <v>45974</v>
      </c>
      <c r="F33" s="9" t="s">
        <v>178</v>
      </c>
      <c r="G33" s="10">
        <v>-620</v>
      </c>
      <c r="H33" s="10">
        <f t="shared" si="0"/>
        <v>0</v>
      </c>
    </row>
    <row r="34" spans="5:8" x14ac:dyDescent="0.25">
      <c r="E34" s="8">
        <v>45978</v>
      </c>
      <c r="F34" s="9" t="s">
        <v>3</v>
      </c>
      <c r="G34" s="10">
        <v>760</v>
      </c>
      <c r="H34" s="10">
        <f t="shared" si="0"/>
        <v>760</v>
      </c>
    </row>
    <row r="35" spans="5:8" x14ac:dyDescent="0.25">
      <c r="E35" s="8">
        <v>45978</v>
      </c>
      <c r="F35" s="9" t="s">
        <v>178</v>
      </c>
      <c r="G35" s="10">
        <v>-760</v>
      </c>
      <c r="H35" s="10">
        <f t="shared" si="0"/>
        <v>0</v>
      </c>
    </row>
    <row r="36" spans="5:8" x14ac:dyDescent="0.25">
      <c r="E36" s="8">
        <v>45981</v>
      </c>
      <c r="F36" s="9" t="s">
        <v>3</v>
      </c>
      <c r="G36" s="10">
        <v>1970</v>
      </c>
      <c r="H36" s="10">
        <f t="shared" si="0"/>
        <v>1970</v>
      </c>
    </row>
    <row r="37" spans="5:8" x14ac:dyDescent="0.25">
      <c r="E37" s="8">
        <v>45981</v>
      </c>
      <c r="F37" s="9" t="s">
        <v>92</v>
      </c>
      <c r="G37" s="10">
        <v>-1970</v>
      </c>
      <c r="H37" s="10">
        <f t="shared" si="0"/>
        <v>0</v>
      </c>
    </row>
    <row r="38" spans="5:8" x14ac:dyDescent="0.25">
      <c r="E38" s="8">
        <v>45985</v>
      </c>
      <c r="F38" s="9" t="s">
        <v>3</v>
      </c>
      <c r="G38" s="10">
        <v>3420</v>
      </c>
      <c r="H38" s="10">
        <f t="shared" si="0"/>
        <v>3420</v>
      </c>
    </row>
    <row r="39" spans="5:8" x14ac:dyDescent="0.25">
      <c r="E39" s="8">
        <v>45985</v>
      </c>
      <c r="F39" s="9" t="s">
        <v>92</v>
      </c>
      <c r="G39" s="10">
        <v>-3690</v>
      </c>
      <c r="H39" s="10">
        <f t="shared" si="0"/>
        <v>-270</v>
      </c>
    </row>
    <row r="40" spans="5:8" x14ac:dyDescent="0.25">
      <c r="E40" s="8">
        <v>45988</v>
      </c>
      <c r="F40" s="9" t="s">
        <v>3</v>
      </c>
      <c r="G40" s="10">
        <v>1420</v>
      </c>
      <c r="H40" s="10">
        <f t="shared" ref="H40:H71" si="1">H39+G40</f>
        <v>1150</v>
      </c>
    </row>
    <row r="41" spans="5:8" x14ac:dyDescent="0.25">
      <c r="E41" s="8">
        <v>45992</v>
      </c>
      <c r="F41" s="9" t="s">
        <v>92</v>
      </c>
      <c r="G41" s="10">
        <v>-1150</v>
      </c>
      <c r="H41" s="10">
        <f t="shared" si="1"/>
        <v>0</v>
      </c>
    </row>
    <row r="42" spans="5:8" x14ac:dyDescent="0.25">
      <c r="E42" s="8">
        <v>45996</v>
      </c>
      <c r="F42" s="9" t="s">
        <v>3</v>
      </c>
      <c r="G42" s="10">
        <v>2990</v>
      </c>
      <c r="H42" s="10">
        <f t="shared" si="1"/>
        <v>2990</v>
      </c>
    </row>
    <row r="43" spans="5:8" x14ac:dyDescent="0.25">
      <c r="E43" s="8">
        <v>45996</v>
      </c>
      <c r="F43" s="9" t="s">
        <v>92</v>
      </c>
      <c r="G43" s="10">
        <v>-2990</v>
      </c>
      <c r="H43" s="10">
        <f t="shared" si="1"/>
        <v>0</v>
      </c>
    </row>
    <row r="44" spans="5:8" x14ac:dyDescent="0.25">
      <c r="E44" s="8">
        <v>45999</v>
      </c>
      <c r="F44" s="9" t="s">
        <v>3</v>
      </c>
      <c r="G44" s="10">
        <v>2300</v>
      </c>
      <c r="H44" s="10">
        <f t="shared" si="1"/>
        <v>2300</v>
      </c>
    </row>
    <row r="45" spans="5:8" x14ac:dyDescent="0.25">
      <c r="E45" s="8">
        <v>45999</v>
      </c>
      <c r="F45" s="9" t="s">
        <v>92</v>
      </c>
      <c r="G45" s="10">
        <v>-2300</v>
      </c>
      <c r="H45" s="10">
        <f t="shared" si="1"/>
        <v>0</v>
      </c>
    </row>
    <row r="46" spans="5:8" x14ac:dyDescent="0.25">
      <c r="E46" s="8">
        <v>46006</v>
      </c>
      <c r="F46" s="9" t="s">
        <v>3</v>
      </c>
      <c r="G46" s="10">
        <v>5550</v>
      </c>
      <c r="H46" s="10">
        <f t="shared" si="1"/>
        <v>5550</v>
      </c>
    </row>
    <row r="47" spans="5:8" x14ac:dyDescent="0.25">
      <c r="E47" s="8">
        <v>46006</v>
      </c>
      <c r="F47" s="9" t="s">
        <v>92</v>
      </c>
      <c r="G47" s="10">
        <v>-5550</v>
      </c>
      <c r="H47" s="10">
        <f t="shared" si="1"/>
        <v>0</v>
      </c>
    </row>
    <row r="48" spans="5:8" x14ac:dyDescent="0.25">
      <c r="E48" s="8">
        <v>46009</v>
      </c>
      <c r="F48" s="9" t="s">
        <v>3</v>
      </c>
      <c r="G48" s="10">
        <v>1880</v>
      </c>
      <c r="H48" s="10">
        <f t="shared" si="1"/>
        <v>1880</v>
      </c>
    </row>
    <row r="49" spans="5:8" x14ac:dyDescent="0.25">
      <c r="E49" s="8">
        <v>46009</v>
      </c>
      <c r="F49" s="9" t="s">
        <v>178</v>
      </c>
      <c r="G49" s="10">
        <v>-1880</v>
      </c>
      <c r="H49" s="10">
        <f t="shared" si="1"/>
        <v>0</v>
      </c>
    </row>
    <row r="50" spans="5:8" x14ac:dyDescent="0.25">
      <c r="E50" s="8">
        <v>46017</v>
      </c>
      <c r="F50" s="9" t="s">
        <v>3</v>
      </c>
      <c r="G50" s="10">
        <v>3980</v>
      </c>
      <c r="H50" s="10">
        <f t="shared" si="1"/>
        <v>3980</v>
      </c>
    </row>
    <row r="51" spans="5:8" x14ac:dyDescent="0.25">
      <c r="E51" s="8">
        <v>46017</v>
      </c>
      <c r="F51" s="9" t="s">
        <v>178</v>
      </c>
      <c r="G51" s="10">
        <v>-3980</v>
      </c>
      <c r="H51" s="10">
        <f t="shared" si="1"/>
        <v>0</v>
      </c>
    </row>
    <row r="52" spans="5:8" x14ac:dyDescent="0.25">
      <c r="E52" s="8">
        <v>46027</v>
      </c>
      <c r="F52" s="9" t="s">
        <v>3</v>
      </c>
      <c r="G52" s="10">
        <v>1800</v>
      </c>
      <c r="H52" s="10">
        <f t="shared" si="1"/>
        <v>1800</v>
      </c>
    </row>
    <row r="53" spans="5:8" x14ac:dyDescent="0.25">
      <c r="E53" s="8">
        <v>46027</v>
      </c>
      <c r="F53" s="9" t="s">
        <v>178</v>
      </c>
      <c r="G53" s="10">
        <v>-1800</v>
      </c>
      <c r="H53" s="10">
        <f t="shared" si="1"/>
        <v>0</v>
      </c>
    </row>
    <row r="54" spans="5:8" x14ac:dyDescent="0.25">
      <c r="E54" s="8">
        <v>46030</v>
      </c>
      <c r="F54" s="9" t="s">
        <v>3</v>
      </c>
      <c r="G54" s="10">
        <v>1370</v>
      </c>
      <c r="H54" s="10">
        <f t="shared" si="1"/>
        <v>1370</v>
      </c>
    </row>
    <row r="55" spans="5:8" x14ac:dyDescent="0.25">
      <c r="E55" s="8">
        <v>46030</v>
      </c>
      <c r="F55" s="9" t="s">
        <v>178</v>
      </c>
      <c r="G55" s="10">
        <v>-1370</v>
      </c>
      <c r="H55" s="10">
        <f t="shared" si="1"/>
        <v>0</v>
      </c>
    </row>
    <row r="56" spans="5:8" x14ac:dyDescent="0.25">
      <c r="E56" s="8">
        <v>45669</v>
      </c>
      <c r="F56" s="9" t="s">
        <v>3</v>
      </c>
      <c r="G56" s="10">
        <v>3670</v>
      </c>
      <c r="H56" s="10">
        <f t="shared" si="1"/>
        <v>3670</v>
      </c>
    </row>
    <row r="57" spans="5:8" x14ac:dyDescent="0.25">
      <c r="E57" s="8">
        <v>46034</v>
      </c>
      <c r="F57" s="9" t="s">
        <v>178</v>
      </c>
      <c r="G57" s="10">
        <v>-3670</v>
      </c>
      <c r="H57" s="10">
        <f t="shared" si="1"/>
        <v>0</v>
      </c>
    </row>
    <row r="58" spans="5:8" x14ac:dyDescent="0.25">
      <c r="E58" s="8">
        <v>46037</v>
      </c>
      <c r="F58" s="9" t="s">
        <v>3</v>
      </c>
      <c r="G58" s="10">
        <v>1410</v>
      </c>
      <c r="H58" s="10">
        <f t="shared" si="1"/>
        <v>1410</v>
      </c>
    </row>
    <row r="59" spans="5:8" x14ac:dyDescent="0.25">
      <c r="E59" s="8">
        <v>46037</v>
      </c>
      <c r="F59" s="9" t="s">
        <v>178</v>
      </c>
      <c r="G59" s="10">
        <v>-1410</v>
      </c>
      <c r="H59" s="10">
        <f t="shared" si="1"/>
        <v>0</v>
      </c>
    </row>
    <row r="60" spans="5:8" x14ac:dyDescent="0.25">
      <c r="E60" s="8">
        <v>46041</v>
      </c>
      <c r="F60" s="9" t="s">
        <v>3</v>
      </c>
      <c r="G60" s="10">
        <v>2610</v>
      </c>
      <c r="H60" s="10">
        <f t="shared" si="1"/>
        <v>2610</v>
      </c>
    </row>
    <row r="61" spans="5:8" x14ac:dyDescent="0.25">
      <c r="E61" s="8">
        <v>46041</v>
      </c>
      <c r="F61" s="9" t="s">
        <v>178</v>
      </c>
      <c r="G61" s="10">
        <v>-2610</v>
      </c>
      <c r="H61" s="10">
        <f t="shared" si="1"/>
        <v>0</v>
      </c>
    </row>
    <row r="62" spans="5:8" x14ac:dyDescent="0.25">
      <c r="E62" s="8">
        <v>46044</v>
      </c>
      <c r="F62" s="9" t="s">
        <v>3</v>
      </c>
      <c r="G62" s="10">
        <v>2920</v>
      </c>
      <c r="H62" s="10">
        <f t="shared" si="1"/>
        <v>2920</v>
      </c>
    </row>
    <row r="63" spans="5:8" x14ac:dyDescent="0.25">
      <c r="E63" s="8">
        <v>46044</v>
      </c>
      <c r="F63" s="9" t="s">
        <v>178</v>
      </c>
      <c r="G63" s="10">
        <v>-2500</v>
      </c>
      <c r="H63" s="10">
        <f t="shared" si="1"/>
        <v>420</v>
      </c>
    </row>
    <row r="64" spans="5:8" x14ac:dyDescent="0.25">
      <c r="E64" s="8">
        <v>46048</v>
      </c>
      <c r="F64" s="9" t="s">
        <v>3</v>
      </c>
      <c r="G64" s="10">
        <v>1660</v>
      </c>
      <c r="H64" s="10">
        <f t="shared" si="1"/>
        <v>2080</v>
      </c>
    </row>
    <row r="65" spans="5:8" x14ac:dyDescent="0.25">
      <c r="E65" s="22">
        <v>46048</v>
      </c>
      <c r="F65" s="9" t="s">
        <v>178</v>
      </c>
      <c r="G65" s="10">
        <v>-2080</v>
      </c>
      <c r="H65" s="10">
        <f t="shared" si="1"/>
        <v>0</v>
      </c>
    </row>
    <row r="66" spans="5:8" x14ac:dyDescent="0.25">
      <c r="E66" s="8">
        <v>46051</v>
      </c>
      <c r="F66" s="9" t="s">
        <v>3</v>
      </c>
      <c r="G66" s="10">
        <v>2610</v>
      </c>
      <c r="H66" s="10">
        <f t="shared" si="1"/>
        <v>2610</v>
      </c>
    </row>
    <row r="67" spans="5:8" x14ac:dyDescent="0.25">
      <c r="E67" s="8">
        <v>46051</v>
      </c>
      <c r="F67" s="9" t="s">
        <v>178</v>
      </c>
      <c r="G67" s="10">
        <v>-2610</v>
      </c>
      <c r="H67" s="10">
        <f t="shared" si="1"/>
        <v>0</v>
      </c>
    </row>
    <row r="68" spans="5:8" x14ac:dyDescent="0.25">
      <c r="E68" s="8">
        <v>46055</v>
      </c>
      <c r="F68" s="9" t="s">
        <v>3</v>
      </c>
      <c r="G68" s="10">
        <v>3010</v>
      </c>
      <c r="H68" s="10">
        <f t="shared" si="1"/>
        <v>3010</v>
      </c>
    </row>
    <row r="69" spans="5:8" x14ac:dyDescent="0.25">
      <c r="E69" s="8">
        <v>46055</v>
      </c>
      <c r="F69" s="9" t="s">
        <v>178</v>
      </c>
      <c r="G69" s="10">
        <v>-3010</v>
      </c>
      <c r="H69" s="10">
        <f t="shared" si="1"/>
        <v>0</v>
      </c>
    </row>
    <row r="70" spans="5:8" x14ac:dyDescent="0.25">
      <c r="E70" s="8">
        <v>46059</v>
      </c>
      <c r="F70" s="9" t="s">
        <v>3</v>
      </c>
      <c r="G70" s="10">
        <v>1180</v>
      </c>
      <c r="H70" s="10">
        <f t="shared" si="1"/>
        <v>1180</v>
      </c>
    </row>
    <row r="71" spans="5:8" x14ac:dyDescent="0.25">
      <c r="E71" s="8">
        <v>46059</v>
      </c>
      <c r="F71" s="9" t="s">
        <v>178</v>
      </c>
      <c r="G71" s="10">
        <v>-1180</v>
      </c>
      <c r="H71" s="10">
        <f t="shared" si="1"/>
        <v>0</v>
      </c>
    </row>
    <row r="72" spans="5:8" x14ac:dyDescent="0.25">
      <c r="E72" s="8">
        <v>46069</v>
      </c>
      <c r="F72" s="9" t="s">
        <v>3</v>
      </c>
      <c r="G72" s="10">
        <v>5405</v>
      </c>
      <c r="H72" s="10">
        <f t="shared" ref="H72:H135" si="2">H71+G72</f>
        <v>5405</v>
      </c>
    </row>
    <row r="73" spans="5:8" x14ac:dyDescent="0.25">
      <c r="E73" s="8">
        <v>46069</v>
      </c>
      <c r="F73" s="9"/>
      <c r="G73" s="10">
        <v>-5405</v>
      </c>
      <c r="H73" s="10">
        <f t="shared" si="2"/>
        <v>0</v>
      </c>
    </row>
    <row r="74" spans="5:8" x14ac:dyDescent="0.25">
      <c r="E74" s="8">
        <v>46076</v>
      </c>
      <c r="F74" s="9" t="s">
        <v>3</v>
      </c>
      <c r="G74" s="10">
        <v>3700</v>
      </c>
      <c r="H74" s="10">
        <f t="shared" si="2"/>
        <v>3700</v>
      </c>
    </row>
    <row r="75" spans="5:8" x14ac:dyDescent="0.25">
      <c r="E75" s="8">
        <v>46076</v>
      </c>
      <c r="F75" s="9" t="s">
        <v>178</v>
      </c>
      <c r="G75" s="10">
        <v>-1730</v>
      </c>
      <c r="H75" s="10">
        <f t="shared" si="2"/>
        <v>1970</v>
      </c>
    </row>
    <row r="76" spans="5:8" x14ac:dyDescent="0.25">
      <c r="E76" s="8">
        <v>46079</v>
      </c>
      <c r="F76" s="9" t="s">
        <v>3</v>
      </c>
      <c r="G76" s="10">
        <v>1350</v>
      </c>
      <c r="H76" s="10">
        <f t="shared" si="2"/>
        <v>3320</v>
      </c>
    </row>
    <row r="77" spans="5:8" x14ac:dyDescent="0.25">
      <c r="E77" s="8">
        <v>46079</v>
      </c>
      <c r="F77" s="9" t="s">
        <v>178</v>
      </c>
      <c r="G77" s="10">
        <v>-3320</v>
      </c>
      <c r="H77" s="10">
        <f t="shared" si="2"/>
        <v>0</v>
      </c>
    </row>
    <row r="78" spans="5:8" x14ac:dyDescent="0.25">
      <c r="E78" s="8">
        <v>46083</v>
      </c>
      <c r="F78" s="9" t="s">
        <v>3</v>
      </c>
      <c r="G78" s="10">
        <v>2330</v>
      </c>
      <c r="H78" s="10">
        <f t="shared" si="2"/>
        <v>2330</v>
      </c>
    </row>
    <row r="79" spans="5:8" x14ac:dyDescent="0.25">
      <c r="E79" s="8">
        <v>46083</v>
      </c>
      <c r="F79" s="9" t="s">
        <v>178</v>
      </c>
      <c r="G79" s="10">
        <v>-2330</v>
      </c>
      <c r="H79" s="10">
        <f t="shared" si="2"/>
        <v>0</v>
      </c>
    </row>
    <row r="80" spans="5:8" x14ac:dyDescent="0.25">
      <c r="E80" s="8">
        <v>46086</v>
      </c>
      <c r="F80" s="9" t="s">
        <v>3</v>
      </c>
      <c r="G80" s="10">
        <v>600</v>
      </c>
      <c r="H80" s="10">
        <f t="shared" si="2"/>
        <v>600</v>
      </c>
    </row>
    <row r="81" spans="5:8" x14ac:dyDescent="0.25">
      <c r="E81" s="8">
        <v>46086</v>
      </c>
      <c r="F81" s="9" t="s">
        <v>178</v>
      </c>
      <c r="G81" s="10">
        <v>-600</v>
      </c>
      <c r="H81" s="10">
        <f t="shared" si="2"/>
        <v>0</v>
      </c>
    </row>
    <row r="82" spans="5:8" x14ac:dyDescent="0.25">
      <c r="E82" s="8">
        <v>46090</v>
      </c>
      <c r="F82" s="9" t="s">
        <v>3</v>
      </c>
      <c r="G82" s="10">
        <v>890</v>
      </c>
      <c r="H82" s="10">
        <f t="shared" si="2"/>
        <v>890</v>
      </c>
    </row>
    <row r="83" spans="5:8" x14ac:dyDescent="0.25">
      <c r="E83" s="8">
        <v>46090</v>
      </c>
      <c r="F83" s="9" t="s">
        <v>178</v>
      </c>
      <c r="G83" s="10">
        <v>-890</v>
      </c>
      <c r="H83" s="10">
        <f t="shared" si="2"/>
        <v>0</v>
      </c>
    </row>
    <row r="84" spans="5:8" x14ac:dyDescent="0.25">
      <c r="E84" s="8">
        <v>46100</v>
      </c>
      <c r="F84" s="9" t="s">
        <v>3</v>
      </c>
      <c r="G84" s="10">
        <v>2410</v>
      </c>
      <c r="H84" s="10">
        <f t="shared" si="2"/>
        <v>2410</v>
      </c>
    </row>
    <row r="85" spans="5:8" x14ac:dyDescent="0.25">
      <c r="E85" s="8">
        <v>46100</v>
      </c>
      <c r="F85" s="9" t="s">
        <v>178</v>
      </c>
      <c r="G85" s="10">
        <v>-2410</v>
      </c>
      <c r="H85" s="10">
        <f t="shared" si="2"/>
        <v>0</v>
      </c>
    </row>
    <row r="86" spans="5:8" x14ac:dyDescent="0.25">
      <c r="E86" s="8">
        <v>46104</v>
      </c>
      <c r="F86" s="9" t="s">
        <v>3</v>
      </c>
      <c r="G86" s="10">
        <v>2280</v>
      </c>
      <c r="H86" s="10">
        <f t="shared" si="2"/>
        <v>2280</v>
      </c>
    </row>
    <row r="87" spans="5:8" x14ac:dyDescent="0.25">
      <c r="E87" s="8">
        <v>46104</v>
      </c>
      <c r="F87" s="9" t="s">
        <v>178</v>
      </c>
      <c r="G87" s="10">
        <v>-2280</v>
      </c>
      <c r="H87" s="10">
        <f t="shared" si="2"/>
        <v>0</v>
      </c>
    </row>
    <row r="88" spans="5:8" x14ac:dyDescent="0.25">
      <c r="E88" s="8">
        <v>46118</v>
      </c>
      <c r="F88" s="9" t="s">
        <v>3</v>
      </c>
      <c r="G88" s="10">
        <v>2660</v>
      </c>
      <c r="H88" s="10">
        <f t="shared" si="2"/>
        <v>2660</v>
      </c>
    </row>
    <row r="89" spans="5:8" x14ac:dyDescent="0.25">
      <c r="E89" s="8">
        <v>46118</v>
      </c>
      <c r="F89" s="9" t="s">
        <v>178</v>
      </c>
      <c r="G89" s="10">
        <v>-2660</v>
      </c>
      <c r="H89" s="10">
        <f t="shared" si="2"/>
        <v>0</v>
      </c>
    </row>
    <row r="90" spans="5:8" x14ac:dyDescent="0.25">
      <c r="E90" s="8">
        <v>46121</v>
      </c>
      <c r="F90" s="9" t="s">
        <v>3</v>
      </c>
      <c r="G90" s="10">
        <v>860</v>
      </c>
      <c r="H90" s="10">
        <f t="shared" si="2"/>
        <v>860</v>
      </c>
    </row>
    <row r="91" spans="5:8" x14ac:dyDescent="0.25">
      <c r="E91" s="8">
        <v>46121</v>
      </c>
      <c r="F91" s="9" t="s">
        <v>178</v>
      </c>
      <c r="G91" s="10">
        <v>-860</v>
      </c>
      <c r="H91" s="10">
        <f t="shared" si="2"/>
        <v>0</v>
      </c>
    </row>
    <row r="92" spans="5:8" x14ac:dyDescent="0.25">
      <c r="E92" s="8">
        <v>46125</v>
      </c>
      <c r="F92" s="9" t="s">
        <v>3</v>
      </c>
      <c r="G92" s="10">
        <v>500</v>
      </c>
      <c r="H92" s="10">
        <f t="shared" si="2"/>
        <v>500</v>
      </c>
    </row>
    <row r="93" spans="5:8" x14ac:dyDescent="0.25">
      <c r="E93" s="8">
        <v>46125</v>
      </c>
      <c r="F93" s="9" t="s">
        <v>178</v>
      </c>
      <c r="G93" s="10">
        <v>-500</v>
      </c>
      <c r="H93" s="10">
        <f t="shared" si="2"/>
        <v>0</v>
      </c>
    </row>
    <row r="94" spans="5:8" x14ac:dyDescent="0.25">
      <c r="E94" s="8">
        <v>46128</v>
      </c>
      <c r="F94" s="9" t="s">
        <v>3</v>
      </c>
      <c r="G94" s="10">
        <v>2630</v>
      </c>
      <c r="H94" s="10">
        <f t="shared" si="2"/>
        <v>2630</v>
      </c>
    </row>
    <row r="95" spans="5:8" x14ac:dyDescent="0.25">
      <c r="E95" s="8">
        <v>46128</v>
      </c>
      <c r="F95" s="9" t="s">
        <v>178</v>
      </c>
      <c r="G95" s="10">
        <v>-2630</v>
      </c>
      <c r="H95" s="10">
        <f t="shared" si="2"/>
        <v>0</v>
      </c>
    </row>
    <row r="96" spans="5:8" x14ac:dyDescent="0.25">
      <c r="E96" s="8">
        <v>46139</v>
      </c>
      <c r="F96" s="9" t="s">
        <v>3</v>
      </c>
      <c r="G96" s="10">
        <v>1540</v>
      </c>
      <c r="H96" s="10">
        <f t="shared" si="2"/>
        <v>1540</v>
      </c>
    </row>
    <row r="97" spans="5:8" x14ac:dyDescent="0.25">
      <c r="E97" s="8">
        <v>46139</v>
      </c>
      <c r="F97" s="9" t="s">
        <v>178</v>
      </c>
      <c r="G97" s="10">
        <v>-1540</v>
      </c>
      <c r="H97" s="10">
        <f t="shared" si="2"/>
        <v>0</v>
      </c>
    </row>
    <row r="98" spans="5:8" x14ac:dyDescent="0.25">
      <c r="E98" s="8">
        <v>46156</v>
      </c>
      <c r="F98" s="9" t="s">
        <v>3</v>
      </c>
      <c r="G98" s="10">
        <v>1240</v>
      </c>
      <c r="H98" s="10">
        <f t="shared" si="2"/>
        <v>1240</v>
      </c>
    </row>
    <row r="99" spans="5:8" x14ac:dyDescent="0.25">
      <c r="E99" s="8">
        <v>46156</v>
      </c>
      <c r="F99" s="9" t="s">
        <v>178</v>
      </c>
      <c r="G99" s="10">
        <v>-1240</v>
      </c>
      <c r="H99" s="10">
        <f t="shared" si="2"/>
        <v>0</v>
      </c>
    </row>
    <row r="100" spans="5:8" x14ac:dyDescent="0.25">
      <c r="E100" s="8">
        <v>46212</v>
      </c>
      <c r="F100" s="9" t="s">
        <v>178</v>
      </c>
      <c r="G100" s="10">
        <v>-330</v>
      </c>
      <c r="H100" s="10">
        <f t="shared" si="2"/>
        <v>-330</v>
      </c>
    </row>
    <row r="101" spans="5:8" x14ac:dyDescent="0.25">
      <c r="E101" s="8">
        <v>46212</v>
      </c>
      <c r="F101" s="9" t="s">
        <v>3</v>
      </c>
      <c r="G101" s="10">
        <v>330</v>
      </c>
      <c r="H101" s="10">
        <f t="shared" si="2"/>
        <v>0</v>
      </c>
    </row>
    <row r="102" spans="5:8" x14ac:dyDescent="0.25">
      <c r="E102" s="8">
        <v>46226</v>
      </c>
      <c r="F102" s="9" t="s">
        <v>3</v>
      </c>
      <c r="G102" s="10">
        <v>300</v>
      </c>
      <c r="H102" s="10">
        <f t="shared" si="2"/>
        <v>300</v>
      </c>
    </row>
    <row r="103" spans="5:8" x14ac:dyDescent="0.25">
      <c r="E103" s="8">
        <v>46230</v>
      </c>
      <c r="F103" s="9" t="s">
        <v>487</v>
      </c>
      <c r="G103" s="10">
        <v>1420</v>
      </c>
      <c r="H103" s="10">
        <f t="shared" si="2"/>
        <v>1720</v>
      </c>
    </row>
    <row r="104" spans="5:8" x14ac:dyDescent="0.25">
      <c r="E104" s="8">
        <v>46230</v>
      </c>
      <c r="F104" s="9" t="s">
        <v>178</v>
      </c>
      <c r="G104" s="10">
        <v>-1420</v>
      </c>
      <c r="H104" s="10">
        <f t="shared" si="2"/>
        <v>300</v>
      </c>
    </row>
    <row r="105" spans="5:8" x14ac:dyDescent="0.25">
      <c r="E105" s="8">
        <v>46230</v>
      </c>
      <c r="F105" s="9" t="s">
        <v>178</v>
      </c>
      <c r="G105" s="10">
        <v>-300</v>
      </c>
      <c r="H105" s="10">
        <f t="shared" si="2"/>
        <v>0</v>
      </c>
    </row>
    <row r="106" spans="5:8" x14ac:dyDescent="0.25">
      <c r="E106" s="8">
        <v>46237</v>
      </c>
      <c r="F106" s="9" t="s">
        <v>3</v>
      </c>
      <c r="G106" s="10">
        <v>3120</v>
      </c>
      <c r="H106" s="10">
        <f t="shared" si="2"/>
        <v>3120</v>
      </c>
    </row>
    <row r="107" spans="5:8" x14ac:dyDescent="0.25">
      <c r="E107" s="8">
        <v>46237</v>
      </c>
      <c r="F107" s="9" t="s">
        <v>178</v>
      </c>
      <c r="G107" s="10">
        <v>-3120</v>
      </c>
      <c r="H107" s="10">
        <f t="shared" si="2"/>
        <v>0</v>
      </c>
    </row>
    <row r="108" spans="5:8" x14ac:dyDescent="0.25">
      <c r="E108" s="8">
        <v>46244</v>
      </c>
      <c r="F108" s="9" t="s">
        <v>3</v>
      </c>
      <c r="G108" s="10">
        <v>1910</v>
      </c>
      <c r="H108" s="10">
        <f t="shared" si="2"/>
        <v>1910</v>
      </c>
    </row>
    <row r="109" spans="5:8" x14ac:dyDescent="0.25">
      <c r="E109" s="8">
        <v>46244</v>
      </c>
      <c r="F109" s="9" t="s">
        <v>178</v>
      </c>
      <c r="G109" s="10">
        <v>-1910</v>
      </c>
      <c r="H109" s="10">
        <f t="shared" si="2"/>
        <v>0</v>
      </c>
    </row>
    <row r="110" spans="5:8" x14ac:dyDescent="0.25">
      <c r="E110" s="8">
        <v>46247</v>
      </c>
      <c r="F110" s="9" t="s">
        <v>3</v>
      </c>
      <c r="G110" s="10">
        <v>900</v>
      </c>
      <c r="H110" s="10">
        <f t="shared" si="2"/>
        <v>900</v>
      </c>
    </row>
    <row r="111" spans="5:8" x14ac:dyDescent="0.25">
      <c r="E111" s="8">
        <v>46251</v>
      </c>
      <c r="F111" s="9" t="s">
        <v>3</v>
      </c>
      <c r="G111" s="10">
        <v>1300</v>
      </c>
      <c r="H111" s="10">
        <f t="shared" si="2"/>
        <v>2200</v>
      </c>
    </row>
    <row r="112" spans="5:8" x14ac:dyDescent="0.25">
      <c r="E112" s="8">
        <v>46251</v>
      </c>
      <c r="F112" s="9" t="s">
        <v>178</v>
      </c>
      <c r="G112" s="10">
        <v>-2200</v>
      </c>
      <c r="H112" s="10">
        <f t="shared" si="2"/>
        <v>0</v>
      </c>
    </row>
    <row r="113" spans="5:8" x14ac:dyDescent="0.25">
      <c r="E113" s="8">
        <v>46254</v>
      </c>
      <c r="F113" s="9" t="s">
        <v>3</v>
      </c>
      <c r="G113" s="10">
        <v>3460</v>
      </c>
      <c r="H113" s="10">
        <f t="shared" si="2"/>
        <v>3460</v>
      </c>
    </row>
    <row r="114" spans="5:8" x14ac:dyDescent="0.25">
      <c r="E114" s="8">
        <v>46254</v>
      </c>
      <c r="F114" s="9" t="s">
        <v>178</v>
      </c>
      <c r="G114" s="10">
        <v>-3460</v>
      </c>
      <c r="H114" s="10">
        <f t="shared" si="2"/>
        <v>0</v>
      </c>
    </row>
    <row r="115" spans="5:8" x14ac:dyDescent="0.25">
      <c r="E115" s="8">
        <v>46258</v>
      </c>
      <c r="F115" s="9" t="s">
        <v>3</v>
      </c>
      <c r="G115" s="10">
        <v>1670</v>
      </c>
      <c r="H115" s="10">
        <f t="shared" si="2"/>
        <v>1670</v>
      </c>
    </row>
    <row r="116" spans="5:8" x14ac:dyDescent="0.25">
      <c r="E116" s="8">
        <v>46258</v>
      </c>
      <c r="F116" s="9" t="s">
        <v>178</v>
      </c>
      <c r="G116" s="10">
        <v>-1670</v>
      </c>
      <c r="H116" s="10">
        <f t="shared" si="2"/>
        <v>0</v>
      </c>
    </row>
    <row r="117" spans="5:8" x14ac:dyDescent="0.25">
      <c r="E117" s="8">
        <v>46261</v>
      </c>
      <c r="F117" s="9" t="s">
        <v>3</v>
      </c>
      <c r="G117" s="10">
        <v>3010</v>
      </c>
      <c r="H117" s="10">
        <f t="shared" si="2"/>
        <v>3010</v>
      </c>
    </row>
    <row r="118" spans="5:8" x14ac:dyDescent="0.25">
      <c r="E118" s="8">
        <v>46261</v>
      </c>
      <c r="F118" s="9" t="s">
        <v>178</v>
      </c>
      <c r="G118" s="10">
        <v>-3010</v>
      </c>
      <c r="H118" s="10">
        <f t="shared" si="2"/>
        <v>0</v>
      </c>
    </row>
    <row r="119" spans="5:8" x14ac:dyDescent="0.25">
      <c r="E119" s="8">
        <v>46268</v>
      </c>
      <c r="F119" s="9" t="s">
        <v>3</v>
      </c>
      <c r="G119" s="10">
        <v>720</v>
      </c>
      <c r="H119" s="10">
        <f t="shared" si="2"/>
        <v>720</v>
      </c>
    </row>
    <row r="120" spans="5:8" x14ac:dyDescent="0.25">
      <c r="E120" s="8">
        <v>46268</v>
      </c>
      <c r="F120" s="9" t="s">
        <v>178</v>
      </c>
      <c r="G120" s="10">
        <v>-720</v>
      </c>
      <c r="H120" s="10">
        <f t="shared" si="2"/>
        <v>0</v>
      </c>
    </row>
    <row r="121" spans="5:8" x14ac:dyDescent="0.25">
      <c r="E121" s="8">
        <v>46272</v>
      </c>
      <c r="F121" s="9" t="s">
        <v>3</v>
      </c>
      <c r="G121" s="10">
        <v>300</v>
      </c>
      <c r="H121" s="10">
        <f t="shared" si="2"/>
        <v>300</v>
      </c>
    </row>
    <row r="122" spans="5:8" x14ac:dyDescent="0.25">
      <c r="E122" s="8">
        <v>46272</v>
      </c>
      <c r="F122" s="9" t="s">
        <v>178</v>
      </c>
      <c r="G122" s="10">
        <v>-300</v>
      </c>
      <c r="H122" s="10">
        <f t="shared" si="2"/>
        <v>0</v>
      </c>
    </row>
    <row r="123" spans="5:8" x14ac:dyDescent="0.25">
      <c r="E123" s="8">
        <v>46275</v>
      </c>
      <c r="F123" s="9" t="s">
        <v>3</v>
      </c>
      <c r="G123" s="10">
        <v>1470</v>
      </c>
      <c r="H123" s="10">
        <f t="shared" si="2"/>
        <v>1470</v>
      </c>
    </row>
    <row r="124" spans="5:8" x14ac:dyDescent="0.25">
      <c r="E124" s="8">
        <v>46275</v>
      </c>
      <c r="F124" s="9" t="s">
        <v>178</v>
      </c>
      <c r="G124" s="10">
        <v>-1470</v>
      </c>
      <c r="H124" s="10">
        <f t="shared" si="2"/>
        <v>0</v>
      </c>
    </row>
    <row r="125" spans="5:8" x14ac:dyDescent="0.25">
      <c r="E125" s="8">
        <v>46279</v>
      </c>
      <c r="F125" s="9" t="s">
        <v>3</v>
      </c>
      <c r="G125" s="10">
        <v>1210</v>
      </c>
      <c r="H125" s="10">
        <f t="shared" si="2"/>
        <v>1210</v>
      </c>
    </row>
    <row r="126" spans="5:8" x14ac:dyDescent="0.25">
      <c r="E126" s="8">
        <v>46279</v>
      </c>
      <c r="F126" s="9" t="s">
        <v>178</v>
      </c>
      <c r="G126" s="10">
        <v>-1210</v>
      </c>
      <c r="H126" s="10">
        <f t="shared" si="2"/>
        <v>0</v>
      </c>
    </row>
    <row r="127" spans="5:8" x14ac:dyDescent="0.25">
      <c r="E127" s="8">
        <v>46286</v>
      </c>
      <c r="F127" s="9" t="s">
        <v>3</v>
      </c>
      <c r="G127" s="10">
        <v>1170</v>
      </c>
      <c r="H127" s="10">
        <f t="shared" si="2"/>
        <v>1170</v>
      </c>
    </row>
    <row r="128" spans="5:8" x14ac:dyDescent="0.25">
      <c r="E128" s="8">
        <v>46286</v>
      </c>
      <c r="F128" s="9" t="s">
        <v>178</v>
      </c>
      <c r="G128" s="10">
        <v>-1170</v>
      </c>
      <c r="H128" s="10">
        <f t="shared" si="2"/>
        <v>0</v>
      </c>
    </row>
    <row r="129" spans="5:8" x14ac:dyDescent="0.25">
      <c r="E129" s="8">
        <v>46289</v>
      </c>
      <c r="F129" s="9" t="s">
        <v>3</v>
      </c>
      <c r="G129" s="10">
        <v>1600</v>
      </c>
      <c r="H129" s="10">
        <f t="shared" si="2"/>
        <v>1600</v>
      </c>
    </row>
    <row r="130" spans="5:8" x14ac:dyDescent="0.25">
      <c r="E130" s="8">
        <v>46289</v>
      </c>
      <c r="F130" s="9" t="s">
        <v>178</v>
      </c>
      <c r="G130" s="10">
        <v>-1600</v>
      </c>
      <c r="H130" s="10">
        <f t="shared" si="2"/>
        <v>0</v>
      </c>
    </row>
    <row r="131" spans="5:8" x14ac:dyDescent="0.25">
      <c r="E131" s="8">
        <v>46293</v>
      </c>
      <c r="F131" s="9" t="s">
        <v>3</v>
      </c>
      <c r="G131" s="10">
        <v>1570</v>
      </c>
      <c r="H131" s="10">
        <f t="shared" si="2"/>
        <v>1570</v>
      </c>
    </row>
    <row r="132" spans="5:8" x14ac:dyDescent="0.25">
      <c r="E132" s="8">
        <v>46293</v>
      </c>
      <c r="F132" s="9" t="s">
        <v>178</v>
      </c>
      <c r="G132" s="10">
        <v>-1570</v>
      </c>
      <c r="H132" s="10">
        <f t="shared" si="2"/>
        <v>0</v>
      </c>
    </row>
    <row r="133" spans="5:8" x14ac:dyDescent="0.25">
      <c r="E133" s="8">
        <v>46300</v>
      </c>
      <c r="F133" s="9" t="s">
        <v>3</v>
      </c>
      <c r="G133" s="10">
        <v>1500</v>
      </c>
      <c r="H133" s="10">
        <f t="shared" si="2"/>
        <v>1500</v>
      </c>
    </row>
    <row r="134" spans="5:8" x14ac:dyDescent="0.25">
      <c r="E134" s="8">
        <v>46300</v>
      </c>
      <c r="F134" s="9" t="s">
        <v>178</v>
      </c>
      <c r="G134" s="10">
        <v>-1500</v>
      </c>
      <c r="H134" s="10">
        <f t="shared" si="2"/>
        <v>0</v>
      </c>
    </row>
    <row r="135" spans="5:8" x14ac:dyDescent="0.25">
      <c r="E135" s="9"/>
      <c r="F135" s="9"/>
      <c r="G135" s="10"/>
      <c r="H135" s="10">
        <f t="shared" si="2"/>
        <v>0</v>
      </c>
    </row>
    <row r="136" spans="5:8" x14ac:dyDescent="0.25">
      <c r="E136" s="9"/>
      <c r="F136" s="9"/>
      <c r="G136" s="10"/>
      <c r="H136" s="10">
        <f t="shared" ref="H136" si="3">H135+G136</f>
        <v>0</v>
      </c>
    </row>
    <row r="137" spans="5:8" x14ac:dyDescent="0.25">
      <c r="E137" s="9"/>
      <c r="F137" s="9"/>
      <c r="G137" s="10"/>
      <c r="H137" s="10"/>
    </row>
    <row r="138" spans="5:8" x14ac:dyDescent="0.25">
      <c r="E138" s="9"/>
      <c r="F138" s="9"/>
      <c r="G138" s="10"/>
      <c r="H138" s="10"/>
    </row>
    <row r="139" spans="5:8" x14ac:dyDescent="0.25">
      <c r="E139" s="9"/>
      <c r="F139" s="9"/>
      <c r="G139" s="10"/>
      <c r="H139" s="10"/>
    </row>
    <row r="140" spans="5:8" x14ac:dyDescent="0.25">
      <c r="E140" s="9"/>
      <c r="F140" s="9"/>
      <c r="G140" s="10"/>
      <c r="H140" s="10"/>
    </row>
    <row r="141" spans="5:8" x14ac:dyDescent="0.25">
      <c r="E141" s="9"/>
      <c r="F141" s="9"/>
      <c r="G141" s="10"/>
      <c r="H141" s="10"/>
    </row>
    <row r="142" spans="5:8" x14ac:dyDescent="0.25">
      <c r="E142" s="9"/>
      <c r="F142" s="9"/>
      <c r="G142" s="10"/>
      <c r="H142" s="10"/>
    </row>
    <row r="143" spans="5:8" x14ac:dyDescent="0.25">
      <c r="E143" s="9"/>
      <c r="F143" s="9"/>
      <c r="G143" s="10"/>
      <c r="H143" s="10"/>
    </row>
    <row r="144" spans="5:8" x14ac:dyDescent="0.25">
      <c r="E144" s="9"/>
      <c r="F144" s="9"/>
      <c r="G144" s="10"/>
      <c r="H144" s="10"/>
    </row>
    <row r="145" spans="5:8" x14ac:dyDescent="0.25">
      <c r="E145" s="9"/>
      <c r="F145" s="9"/>
      <c r="G145" s="10"/>
      <c r="H145" s="10"/>
    </row>
    <row r="146" spans="5:8" x14ac:dyDescent="0.25">
      <c r="E146" s="9"/>
      <c r="F146" s="9"/>
      <c r="G146" s="10"/>
      <c r="H146" s="10"/>
    </row>
    <row r="147" spans="5:8" x14ac:dyDescent="0.25">
      <c r="E147" s="9"/>
      <c r="F147" s="9"/>
      <c r="G147" s="10"/>
      <c r="H147" s="10"/>
    </row>
    <row r="148" spans="5:8" x14ac:dyDescent="0.25">
      <c r="E148" s="9"/>
      <c r="F148" s="9"/>
      <c r="G148" s="10"/>
      <c r="H148" s="10"/>
    </row>
    <row r="149" spans="5:8" x14ac:dyDescent="0.25">
      <c r="E149" s="9"/>
      <c r="F149" s="9"/>
      <c r="G149" s="10"/>
      <c r="H149" s="10"/>
    </row>
    <row r="150" spans="5:8" x14ac:dyDescent="0.25">
      <c r="E150" s="9"/>
      <c r="F150" s="9"/>
      <c r="G150" s="10"/>
      <c r="H150" s="10"/>
    </row>
    <row r="151" spans="5:8" x14ac:dyDescent="0.25">
      <c r="E151" s="9"/>
      <c r="F151" s="9"/>
      <c r="G151" s="10"/>
      <c r="H151" s="10"/>
    </row>
    <row r="152" spans="5:8" x14ac:dyDescent="0.25">
      <c r="E152" s="9"/>
      <c r="F152" s="9"/>
      <c r="G152" s="10"/>
      <c r="H152" s="10"/>
    </row>
    <row r="153" spans="5:8" x14ac:dyDescent="0.25">
      <c r="E153" s="9"/>
      <c r="F153" s="9"/>
      <c r="G153" s="10"/>
      <c r="H153" s="10"/>
    </row>
    <row r="154" spans="5:8" x14ac:dyDescent="0.25">
      <c r="E154" s="9"/>
      <c r="F154" s="9"/>
      <c r="G154" s="10"/>
      <c r="H154" s="10"/>
    </row>
    <row r="155" spans="5:8" x14ac:dyDescent="0.25">
      <c r="E155" s="9"/>
      <c r="F155" s="9"/>
      <c r="G155" s="10"/>
      <c r="H155" s="10"/>
    </row>
    <row r="156" spans="5:8" x14ac:dyDescent="0.25">
      <c r="E156" s="9"/>
      <c r="F156" s="9"/>
      <c r="G156" s="10"/>
      <c r="H156" s="10"/>
    </row>
    <row r="157" spans="5:8" x14ac:dyDescent="0.25">
      <c r="E157" s="9"/>
      <c r="F157" s="9"/>
      <c r="G157" s="10"/>
      <c r="H157" s="10"/>
    </row>
    <row r="158" spans="5:8" x14ac:dyDescent="0.25">
      <c r="E158" s="9"/>
      <c r="F158" s="9"/>
      <c r="G158" s="10"/>
      <c r="H158" s="10"/>
    </row>
  </sheetData>
  <mergeCells count="1">
    <mergeCell ref="F3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7B98-3747-4205-A1D0-7F7DD901A76E}">
  <sheetPr>
    <tabColor theme="5"/>
  </sheetPr>
  <dimension ref="A4:O331"/>
  <sheetViews>
    <sheetView topLeftCell="A295" workbookViewId="0">
      <selection activeCell="H308" sqref="H308"/>
    </sheetView>
  </sheetViews>
  <sheetFormatPr baseColWidth="10" defaultRowHeight="15" x14ac:dyDescent="0.25"/>
  <cols>
    <col min="1" max="1" width="28.28515625" customWidth="1"/>
    <col min="2" max="2" width="31" customWidth="1"/>
    <col min="3" max="3" width="23.42578125" style="6" customWidth="1"/>
    <col min="4" max="4" width="21.85546875" style="6" customWidth="1"/>
  </cols>
  <sheetData>
    <row r="4" spans="1:7" ht="18" x14ac:dyDescent="0.25">
      <c r="A4" s="98" t="s">
        <v>0</v>
      </c>
      <c r="B4" s="98"/>
      <c r="C4" s="98"/>
      <c r="D4" s="98"/>
      <c r="E4" s="1"/>
      <c r="F4" s="1"/>
      <c r="G4" s="1"/>
    </row>
    <row r="6" spans="1:7" x14ac:dyDescent="0.25">
      <c r="A6" s="2" t="s">
        <v>1</v>
      </c>
      <c r="B6" s="96" t="s">
        <v>10</v>
      </c>
      <c r="C6" s="97"/>
      <c r="D6" s="97"/>
    </row>
    <row r="7" spans="1:7" x14ac:dyDescent="0.25">
      <c r="A7" s="3" t="s">
        <v>11</v>
      </c>
      <c r="B7" s="4" t="s">
        <v>12</v>
      </c>
      <c r="C7" s="4"/>
      <c r="D7" s="4"/>
    </row>
    <row r="8" spans="1:7" x14ac:dyDescent="0.25">
      <c r="B8" s="5"/>
    </row>
    <row r="9" spans="1:7" x14ac:dyDescent="0.25">
      <c r="A9" s="2" t="s">
        <v>2</v>
      </c>
      <c r="B9" s="2" t="s">
        <v>3</v>
      </c>
      <c r="C9" s="7" t="s">
        <v>4</v>
      </c>
      <c r="D9" s="7" t="s">
        <v>5</v>
      </c>
    </row>
    <row r="10" spans="1:7" x14ac:dyDescent="0.25">
      <c r="A10" s="8">
        <v>45834</v>
      </c>
      <c r="B10" s="9" t="s">
        <v>6</v>
      </c>
      <c r="C10" s="10">
        <v>4320</v>
      </c>
      <c r="D10" s="10">
        <f>C10</f>
        <v>4320</v>
      </c>
    </row>
    <row r="11" spans="1:7" x14ac:dyDescent="0.25">
      <c r="A11" s="8">
        <v>45838</v>
      </c>
      <c r="B11" s="9" t="s">
        <v>7</v>
      </c>
      <c r="C11" s="10">
        <v>-4320</v>
      </c>
      <c r="D11" s="10">
        <f>D10+C11</f>
        <v>0</v>
      </c>
    </row>
    <row r="12" spans="1:7" x14ac:dyDescent="0.25">
      <c r="A12" s="8">
        <v>45838</v>
      </c>
      <c r="B12" s="9" t="s">
        <v>6</v>
      </c>
      <c r="C12" s="10">
        <v>4700</v>
      </c>
      <c r="D12" s="10">
        <f>D11+C12</f>
        <v>4700</v>
      </c>
    </row>
    <row r="13" spans="1:7" x14ac:dyDescent="0.25">
      <c r="A13" s="8">
        <v>45841</v>
      </c>
      <c r="B13" s="9" t="s">
        <v>6</v>
      </c>
      <c r="C13" s="10">
        <v>1110</v>
      </c>
      <c r="D13" s="10">
        <f t="shared" ref="D13:D31" si="0">D12+C13</f>
        <v>5810</v>
      </c>
    </row>
    <row r="14" spans="1:7" x14ac:dyDescent="0.25">
      <c r="A14" s="8">
        <v>45841</v>
      </c>
      <c r="B14" s="9" t="s">
        <v>45</v>
      </c>
      <c r="C14" s="10">
        <v>-4700</v>
      </c>
      <c r="D14" s="10">
        <f t="shared" si="0"/>
        <v>1110</v>
      </c>
    </row>
    <row r="15" spans="1:7" x14ac:dyDescent="0.25">
      <c r="A15" s="8">
        <v>45845</v>
      </c>
      <c r="B15" s="9" t="s">
        <v>55</v>
      </c>
      <c r="C15" s="10">
        <v>-1110</v>
      </c>
      <c r="D15" s="11">
        <f t="shared" si="0"/>
        <v>0</v>
      </c>
    </row>
    <row r="16" spans="1:7" x14ac:dyDescent="0.25">
      <c r="A16" s="8">
        <v>45845</v>
      </c>
      <c r="B16" s="9" t="s">
        <v>6</v>
      </c>
      <c r="C16" s="10">
        <v>3740</v>
      </c>
      <c r="D16" s="10">
        <f t="shared" si="0"/>
        <v>3740</v>
      </c>
    </row>
    <row r="17" spans="1:4" x14ac:dyDescent="0.25">
      <c r="A17" s="8">
        <v>45754</v>
      </c>
      <c r="B17" s="9" t="s">
        <v>7</v>
      </c>
      <c r="C17" s="10">
        <v>-2000</v>
      </c>
      <c r="D17" s="10">
        <f t="shared" si="0"/>
        <v>1740</v>
      </c>
    </row>
    <row r="18" spans="1:4" x14ac:dyDescent="0.25">
      <c r="A18" s="8">
        <v>45848</v>
      </c>
      <c r="B18" s="9" t="s">
        <v>7</v>
      </c>
      <c r="C18" s="10">
        <v>-1740</v>
      </c>
      <c r="D18" s="10">
        <f t="shared" si="0"/>
        <v>0</v>
      </c>
    </row>
    <row r="19" spans="1:4" x14ac:dyDescent="0.25">
      <c r="A19" s="8">
        <v>45852</v>
      </c>
      <c r="B19" s="9" t="s">
        <v>6</v>
      </c>
      <c r="C19" s="10">
        <v>1990</v>
      </c>
      <c r="D19" s="10">
        <f t="shared" si="0"/>
        <v>1990</v>
      </c>
    </row>
    <row r="20" spans="1:4" x14ac:dyDescent="0.25">
      <c r="A20" s="8">
        <v>45855</v>
      </c>
      <c r="B20" s="9" t="s">
        <v>56</v>
      </c>
      <c r="C20" s="10">
        <v>-1990</v>
      </c>
      <c r="D20" s="10">
        <f t="shared" si="0"/>
        <v>0</v>
      </c>
    </row>
    <row r="21" spans="1:4" x14ac:dyDescent="0.25">
      <c r="A21" s="8">
        <v>45859</v>
      </c>
      <c r="B21" s="9" t="s">
        <v>6</v>
      </c>
      <c r="C21" s="10">
        <v>1770</v>
      </c>
      <c r="D21" s="10">
        <f t="shared" si="0"/>
        <v>1770</v>
      </c>
    </row>
    <row r="22" spans="1:4" x14ac:dyDescent="0.25">
      <c r="A22" s="8">
        <v>45862</v>
      </c>
      <c r="B22" s="9" t="s">
        <v>7</v>
      </c>
      <c r="C22" s="10">
        <v>-1770</v>
      </c>
      <c r="D22" s="10">
        <f t="shared" si="0"/>
        <v>0</v>
      </c>
    </row>
    <row r="23" spans="1:4" x14ac:dyDescent="0.25">
      <c r="A23" s="8">
        <v>45862</v>
      </c>
      <c r="B23" s="9" t="s">
        <v>6</v>
      </c>
      <c r="C23" s="10">
        <v>3070</v>
      </c>
      <c r="D23" s="10">
        <f t="shared" si="0"/>
        <v>3070</v>
      </c>
    </row>
    <row r="24" spans="1:4" x14ac:dyDescent="0.25">
      <c r="A24" s="8">
        <v>45864</v>
      </c>
      <c r="B24" s="9" t="s">
        <v>6</v>
      </c>
      <c r="C24" s="10">
        <v>3260</v>
      </c>
      <c r="D24" s="10">
        <f t="shared" si="0"/>
        <v>6330</v>
      </c>
    </row>
    <row r="25" spans="1:4" x14ac:dyDescent="0.25">
      <c r="A25" s="8">
        <v>45865</v>
      </c>
      <c r="B25" s="9" t="s">
        <v>56</v>
      </c>
      <c r="C25" s="10">
        <v>-3070</v>
      </c>
      <c r="D25" s="10">
        <f>D24+C25</f>
        <v>3260</v>
      </c>
    </row>
    <row r="26" spans="1:4" x14ac:dyDescent="0.25">
      <c r="A26" s="8">
        <v>45836</v>
      </c>
      <c r="B26" s="9" t="s">
        <v>6</v>
      </c>
      <c r="C26" s="10">
        <v>2230</v>
      </c>
      <c r="D26" s="10">
        <f t="shared" si="0"/>
        <v>5490</v>
      </c>
    </row>
    <row r="27" spans="1:4" x14ac:dyDescent="0.25">
      <c r="A27" s="8">
        <v>45869</v>
      </c>
      <c r="B27" s="9" t="s">
        <v>6</v>
      </c>
      <c r="C27" s="10">
        <v>4810</v>
      </c>
      <c r="D27" s="10">
        <f t="shared" si="0"/>
        <v>10300</v>
      </c>
    </row>
    <row r="28" spans="1:4" x14ac:dyDescent="0.25">
      <c r="A28" s="8">
        <v>45869</v>
      </c>
      <c r="B28" s="9" t="s">
        <v>7</v>
      </c>
      <c r="C28" s="10">
        <v>-5000</v>
      </c>
      <c r="D28" s="10">
        <f t="shared" si="0"/>
        <v>5300</v>
      </c>
    </row>
    <row r="29" spans="1:4" x14ac:dyDescent="0.25">
      <c r="A29" s="8">
        <v>45873</v>
      </c>
      <c r="B29" s="9" t="s">
        <v>6</v>
      </c>
      <c r="C29" s="10">
        <v>3550</v>
      </c>
      <c r="D29" s="10">
        <f t="shared" si="0"/>
        <v>8850</v>
      </c>
    </row>
    <row r="30" spans="1:4" x14ac:dyDescent="0.25">
      <c r="A30" s="8">
        <v>45873</v>
      </c>
      <c r="B30" s="9" t="s">
        <v>55</v>
      </c>
      <c r="C30" s="10">
        <v>-2990</v>
      </c>
      <c r="D30" s="10">
        <f t="shared" si="0"/>
        <v>5860</v>
      </c>
    </row>
    <row r="31" spans="1:4" x14ac:dyDescent="0.25">
      <c r="A31" s="8">
        <v>45875</v>
      </c>
      <c r="B31" s="9" t="s">
        <v>56</v>
      </c>
      <c r="C31" s="10">
        <v>-2310</v>
      </c>
      <c r="D31" s="10">
        <f t="shared" si="0"/>
        <v>3550</v>
      </c>
    </row>
    <row r="32" spans="1:4" x14ac:dyDescent="0.25">
      <c r="A32" s="8">
        <v>45876</v>
      </c>
      <c r="B32" s="9" t="s">
        <v>6</v>
      </c>
      <c r="C32" s="10">
        <v>1940</v>
      </c>
      <c r="D32" s="10">
        <f>D31+C32</f>
        <v>5490</v>
      </c>
    </row>
    <row r="33" spans="1:7" x14ac:dyDescent="0.25">
      <c r="A33" s="8">
        <v>45876</v>
      </c>
      <c r="B33" s="9" t="s">
        <v>55</v>
      </c>
      <c r="C33" s="10">
        <v>-1500</v>
      </c>
      <c r="D33" s="10">
        <f t="shared" ref="D33:D98" si="1">D32+C33</f>
        <v>3990</v>
      </c>
    </row>
    <row r="34" spans="1:7" x14ac:dyDescent="0.25">
      <c r="A34" s="8">
        <v>45877</v>
      </c>
      <c r="B34" s="9" t="s">
        <v>56</v>
      </c>
      <c r="C34" s="10">
        <v>-2000</v>
      </c>
      <c r="D34" s="10">
        <f t="shared" si="1"/>
        <v>1990</v>
      </c>
    </row>
    <row r="35" spans="1:7" x14ac:dyDescent="0.25">
      <c r="A35" s="8">
        <v>45879</v>
      </c>
      <c r="B35" s="9" t="s">
        <v>56</v>
      </c>
      <c r="C35" s="10">
        <v>-1990</v>
      </c>
      <c r="D35" s="10">
        <f t="shared" si="1"/>
        <v>0</v>
      </c>
    </row>
    <row r="36" spans="1:7" x14ac:dyDescent="0.25">
      <c r="A36" s="8">
        <v>45881</v>
      </c>
      <c r="B36" s="9" t="s">
        <v>6</v>
      </c>
      <c r="C36" s="10">
        <v>5390</v>
      </c>
      <c r="D36" s="10">
        <f t="shared" si="1"/>
        <v>5390</v>
      </c>
    </row>
    <row r="37" spans="1:7" x14ac:dyDescent="0.25">
      <c r="A37" s="8">
        <v>45883</v>
      </c>
      <c r="B37" s="9" t="s">
        <v>6</v>
      </c>
      <c r="C37" s="10">
        <v>3920</v>
      </c>
      <c r="D37" s="10">
        <f t="shared" si="1"/>
        <v>9310</v>
      </c>
    </row>
    <row r="38" spans="1:7" x14ac:dyDescent="0.25">
      <c r="A38" s="8">
        <v>45884</v>
      </c>
      <c r="B38" s="9" t="s">
        <v>56</v>
      </c>
      <c r="C38" s="10">
        <v>-5000</v>
      </c>
      <c r="D38" s="10">
        <f t="shared" si="1"/>
        <v>4310</v>
      </c>
    </row>
    <row r="39" spans="1:7" x14ac:dyDescent="0.25">
      <c r="A39" s="8">
        <v>45885</v>
      </c>
      <c r="B39" s="9" t="s">
        <v>6</v>
      </c>
      <c r="C39" s="10">
        <v>4200</v>
      </c>
      <c r="D39" s="10">
        <f t="shared" si="1"/>
        <v>8510</v>
      </c>
    </row>
    <row r="40" spans="1:7" x14ac:dyDescent="0.25">
      <c r="A40" s="8">
        <v>45887</v>
      </c>
      <c r="B40" s="9" t="s">
        <v>94</v>
      </c>
      <c r="C40" s="10">
        <v>-4280</v>
      </c>
      <c r="D40" s="10">
        <f t="shared" si="1"/>
        <v>4230</v>
      </c>
    </row>
    <row r="41" spans="1:7" x14ac:dyDescent="0.25">
      <c r="A41" s="8">
        <v>45887</v>
      </c>
      <c r="B41" s="9" t="s">
        <v>6</v>
      </c>
      <c r="C41" s="10">
        <v>5260</v>
      </c>
      <c r="D41" s="10">
        <f t="shared" si="1"/>
        <v>9490</v>
      </c>
    </row>
    <row r="42" spans="1:7" x14ac:dyDescent="0.25">
      <c r="A42" s="8">
        <v>45891</v>
      </c>
      <c r="B42" s="9" t="s">
        <v>56</v>
      </c>
      <c r="C42" s="10">
        <v>-3910</v>
      </c>
      <c r="D42" s="10">
        <f t="shared" si="1"/>
        <v>5580</v>
      </c>
    </row>
    <row r="43" spans="1:7" x14ac:dyDescent="0.25">
      <c r="A43" s="8">
        <v>45890</v>
      </c>
      <c r="B43" s="9" t="s">
        <v>46</v>
      </c>
      <c r="C43" s="10">
        <v>-5000</v>
      </c>
      <c r="D43" s="10">
        <f t="shared" si="1"/>
        <v>580</v>
      </c>
    </row>
    <row r="44" spans="1:7" x14ac:dyDescent="0.25">
      <c r="A44" s="8">
        <v>45890</v>
      </c>
      <c r="B44" s="9" t="s">
        <v>6</v>
      </c>
      <c r="C44" s="10">
        <v>3630</v>
      </c>
      <c r="D44" s="10">
        <f t="shared" si="1"/>
        <v>4210</v>
      </c>
    </row>
    <row r="45" spans="1:7" x14ac:dyDescent="0.25">
      <c r="A45" s="8">
        <v>45897</v>
      </c>
      <c r="B45" s="9" t="s">
        <v>6</v>
      </c>
      <c r="C45" s="10">
        <v>6850</v>
      </c>
      <c r="D45" s="10">
        <f t="shared" si="1"/>
        <v>11060</v>
      </c>
    </row>
    <row r="46" spans="1:7" x14ac:dyDescent="0.25">
      <c r="A46" s="8">
        <v>45901</v>
      </c>
      <c r="B46" s="9" t="s">
        <v>6</v>
      </c>
      <c r="C46" s="10">
        <v>3450</v>
      </c>
      <c r="D46" s="10">
        <f t="shared" si="1"/>
        <v>14510</v>
      </c>
    </row>
    <row r="47" spans="1:7" x14ac:dyDescent="0.25">
      <c r="A47" s="8">
        <v>45903</v>
      </c>
      <c r="B47" s="9" t="s">
        <v>56</v>
      </c>
      <c r="C47" s="10">
        <v>-5000</v>
      </c>
      <c r="D47" s="10">
        <f t="shared" si="1"/>
        <v>9510</v>
      </c>
      <c r="F47" s="16"/>
      <c r="G47" s="16"/>
    </row>
    <row r="48" spans="1:7" x14ac:dyDescent="0.25">
      <c r="A48" s="8">
        <v>45908</v>
      </c>
      <c r="B48" s="9" t="s">
        <v>6</v>
      </c>
      <c r="C48" s="10">
        <v>5620</v>
      </c>
      <c r="D48" s="10">
        <f t="shared" si="1"/>
        <v>15130</v>
      </c>
    </row>
    <row r="49" spans="1:7" x14ac:dyDescent="0.25">
      <c r="A49" s="8">
        <v>45908</v>
      </c>
      <c r="B49" s="9" t="s">
        <v>56</v>
      </c>
      <c r="C49" s="10">
        <v>-4820</v>
      </c>
      <c r="D49" s="10">
        <f t="shared" si="1"/>
        <v>10310</v>
      </c>
      <c r="F49" s="17"/>
      <c r="G49" s="17"/>
    </row>
    <row r="50" spans="1:7" x14ac:dyDescent="0.25">
      <c r="A50" s="8">
        <v>45908</v>
      </c>
      <c r="B50" s="9" t="s">
        <v>108</v>
      </c>
      <c r="C50" s="10">
        <v>-3000</v>
      </c>
      <c r="D50" s="10">
        <f t="shared" si="1"/>
        <v>7310</v>
      </c>
    </row>
    <row r="51" spans="1:7" x14ac:dyDescent="0.25">
      <c r="A51" s="8">
        <v>45911</v>
      </c>
      <c r="B51" s="9" t="s">
        <v>6</v>
      </c>
      <c r="C51" s="10">
        <v>5950</v>
      </c>
      <c r="D51" s="10">
        <f t="shared" si="1"/>
        <v>13260</v>
      </c>
    </row>
    <row r="52" spans="1:7" x14ac:dyDescent="0.25">
      <c r="A52" s="8">
        <v>11</v>
      </c>
      <c r="B52" s="9" t="s">
        <v>6</v>
      </c>
      <c r="C52" s="10">
        <v>-7370</v>
      </c>
      <c r="D52" s="10">
        <f t="shared" si="1"/>
        <v>5890</v>
      </c>
    </row>
    <row r="53" spans="1:7" x14ac:dyDescent="0.25">
      <c r="A53" s="8">
        <v>45915</v>
      </c>
      <c r="B53" s="9" t="s">
        <v>6</v>
      </c>
      <c r="C53" s="10">
        <v>7180</v>
      </c>
      <c r="D53" s="10">
        <f t="shared" si="1"/>
        <v>13070</v>
      </c>
    </row>
    <row r="54" spans="1:7" x14ac:dyDescent="0.25">
      <c r="A54" s="8">
        <v>45915</v>
      </c>
      <c r="B54" s="9" t="s">
        <v>56</v>
      </c>
      <c r="C54" s="10">
        <v>-2180</v>
      </c>
      <c r="D54" s="10">
        <f t="shared" si="1"/>
        <v>10890</v>
      </c>
    </row>
    <row r="55" spans="1:7" x14ac:dyDescent="0.25">
      <c r="A55" s="8">
        <v>45915</v>
      </c>
      <c r="B55" s="9" t="s">
        <v>75</v>
      </c>
      <c r="C55" s="10">
        <v>-5950</v>
      </c>
      <c r="D55" s="10">
        <f t="shared" si="1"/>
        <v>4940</v>
      </c>
    </row>
    <row r="56" spans="1:7" x14ac:dyDescent="0.25">
      <c r="A56" s="8">
        <v>45916</v>
      </c>
      <c r="B56" s="9" t="s">
        <v>6</v>
      </c>
      <c r="C56" s="10">
        <v>3260</v>
      </c>
      <c r="D56" s="10">
        <f t="shared" si="1"/>
        <v>8200</v>
      </c>
    </row>
    <row r="57" spans="1:7" x14ac:dyDescent="0.25">
      <c r="A57" s="8">
        <v>45917</v>
      </c>
      <c r="B57" s="9" t="s">
        <v>56</v>
      </c>
      <c r="C57" s="10">
        <v>-4000</v>
      </c>
      <c r="D57" s="10">
        <f t="shared" si="1"/>
        <v>4200</v>
      </c>
    </row>
    <row r="58" spans="1:7" x14ac:dyDescent="0.25">
      <c r="A58" s="8">
        <v>45918</v>
      </c>
      <c r="B58" s="9" t="s">
        <v>74</v>
      </c>
      <c r="C58" s="10">
        <v>-1000</v>
      </c>
      <c r="D58" s="10">
        <f t="shared" si="1"/>
        <v>3200</v>
      </c>
    </row>
    <row r="59" spans="1:7" x14ac:dyDescent="0.25">
      <c r="A59" s="8">
        <v>45918</v>
      </c>
      <c r="B59" s="9" t="s">
        <v>56</v>
      </c>
      <c r="C59" s="10">
        <v>-3260</v>
      </c>
      <c r="D59" s="10">
        <f t="shared" si="1"/>
        <v>-60</v>
      </c>
    </row>
    <row r="60" spans="1:7" x14ac:dyDescent="0.25">
      <c r="A60" s="8">
        <v>45918</v>
      </c>
      <c r="B60" s="9" t="s">
        <v>6</v>
      </c>
      <c r="C60" s="10">
        <v>27410</v>
      </c>
      <c r="D60" s="10">
        <f t="shared" si="1"/>
        <v>27350</v>
      </c>
    </row>
    <row r="61" spans="1:7" x14ac:dyDescent="0.25">
      <c r="A61" s="8">
        <v>45922</v>
      </c>
      <c r="B61" s="9" t="s">
        <v>6</v>
      </c>
      <c r="C61" s="10">
        <v>1880</v>
      </c>
      <c r="D61" s="10">
        <f t="shared" si="1"/>
        <v>29230</v>
      </c>
    </row>
    <row r="62" spans="1:7" x14ac:dyDescent="0.25">
      <c r="A62" s="8">
        <v>45922</v>
      </c>
      <c r="B62" s="9" t="s">
        <v>75</v>
      </c>
      <c r="C62" s="10">
        <v>-26000</v>
      </c>
      <c r="D62" s="10">
        <f t="shared" si="1"/>
        <v>3230</v>
      </c>
    </row>
    <row r="63" spans="1:7" x14ac:dyDescent="0.25">
      <c r="A63" s="8">
        <v>45920</v>
      </c>
      <c r="B63" s="9" t="s">
        <v>6</v>
      </c>
      <c r="C63" s="10">
        <v>2430</v>
      </c>
      <c r="D63" s="10">
        <f t="shared" si="1"/>
        <v>5660</v>
      </c>
    </row>
    <row r="64" spans="1:7" x14ac:dyDescent="0.25">
      <c r="A64" s="8">
        <v>45924</v>
      </c>
      <c r="B64" s="9" t="s">
        <v>130</v>
      </c>
      <c r="C64" s="10">
        <v>-4540</v>
      </c>
      <c r="D64" s="10">
        <f t="shared" si="1"/>
        <v>1120</v>
      </c>
    </row>
    <row r="65" spans="1:4" x14ac:dyDescent="0.25">
      <c r="A65" s="8">
        <v>45925</v>
      </c>
      <c r="B65" s="9" t="s">
        <v>6</v>
      </c>
      <c r="C65" s="10">
        <v>2180</v>
      </c>
      <c r="D65" s="10">
        <f t="shared" si="1"/>
        <v>3300</v>
      </c>
    </row>
    <row r="66" spans="1:4" x14ac:dyDescent="0.25">
      <c r="A66" s="8">
        <v>45930</v>
      </c>
      <c r="B66" s="9" t="s">
        <v>6</v>
      </c>
      <c r="C66" s="10">
        <v>3550</v>
      </c>
      <c r="D66" s="10">
        <f t="shared" si="1"/>
        <v>6850</v>
      </c>
    </row>
    <row r="67" spans="1:4" x14ac:dyDescent="0.25">
      <c r="A67" s="8">
        <v>45930</v>
      </c>
      <c r="B67" s="9" t="s">
        <v>130</v>
      </c>
      <c r="C67" s="10">
        <v>-2180</v>
      </c>
      <c r="D67" s="10">
        <f t="shared" si="1"/>
        <v>4670</v>
      </c>
    </row>
    <row r="68" spans="1:4" x14ac:dyDescent="0.25">
      <c r="A68" s="8">
        <v>45936</v>
      </c>
      <c r="B68" s="9" t="s">
        <v>6</v>
      </c>
      <c r="C68" s="10">
        <v>4940</v>
      </c>
      <c r="D68" s="10">
        <f t="shared" si="1"/>
        <v>9610</v>
      </c>
    </row>
    <row r="69" spans="1:4" x14ac:dyDescent="0.25">
      <c r="A69" s="8">
        <v>45936</v>
      </c>
      <c r="B69" s="9" t="s">
        <v>130</v>
      </c>
      <c r="C69" s="10">
        <v>-1980</v>
      </c>
      <c r="D69" s="10">
        <f t="shared" si="1"/>
        <v>7630</v>
      </c>
    </row>
    <row r="70" spans="1:4" x14ac:dyDescent="0.25">
      <c r="A70" s="8">
        <v>45936</v>
      </c>
      <c r="B70" s="9" t="s">
        <v>177</v>
      </c>
      <c r="C70" s="10">
        <v>-3550</v>
      </c>
      <c r="D70" s="10">
        <f t="shared" si="1"/>
        <v>4080</v>
      </c>
    </row>
    <row r="71" spans="1:4" x14ac:dyDescent="0.25">
      <c r="A71" s="8">
        <v>45937</v>
      </c>
      <c r="B71" s="9" t="s">
        <v>6</v>
      </c>
      <c r="C71" s="10">
        <v>2260</v>
      </c>
      <c r="D71" s="10">
        <f t="shared" si="1"/>
        <v>6340</v>
      </c>
    </row>
    <row r="72" spans="1:4" x14ac:dyDescent="0.25">
      <c r="A72" s="8">
        <v>45939</v>
      </c>
      <c r="B72" s="9" t="s">
        <v>6</v>
      </c>
      <c r="C72" s="10">
        <v>3100</v>
      </c>
      <c r="D72" s="10">
        <f t="shared" si="1"/>
        <v>9440</v>
      </c>
    </row>
    <row r="73" spans="1:4" x14ac:dyDescent="0.25">
      <c r="A73" s="8">
        <v>45939</v>
      </c>
      <c r="B73" s="9" t="s">
        <v>178</v>
      </c>
      <c r="C73" s="10">
        <v>-4000</v>
      </c>
      <c r="D73" s="10">
        <f t="shared" si="1"/>
        <v>5440</v>
      </c>
    </row>
    <row r="74" spans="1:4" x14ac:dyDescent="0.25">
      <c r="A74" s="8">
        <v>45940</v>
      </c>
      <c r="B74" s="9" t="s">
        <v>189</v>
      </c>
      <c r="C74" s="10">
        <v>-3200</v>
      </c>
      <c r="D74" s="10">
        <f t="shared" si="1"/>
        <v>2240</v>
      </c>
    </row>
    <row r="75" spans="1:4" x14ac:dyDescent="0.25">
      <c r="A75" s="8">
        <v>45943</v>
      </c>
      <c r="B75" s="9" t="s">
        <v>6</v>
      </c>
      <c r="C75" s="10">
        <v>4810</v>
      </c>
      <c r="D75" s="10">
        <f t="shared" si="1"/>
        <v>7050</v>
      </c>
    </row>
    <row r="76" spans="1:4" x14ac:dyDescent="0.25">
      <c r="A76" s="8">
        <v>45943</v>
      </c>
      <c r="B76" s="9" t="s">
        <v>143</v>
      </c>
      <c r="C76" s="10">
        <v>2500</v>
      </c>
      <c r="D76" s="10">
        <f t="shared" si="1"/>
        <v>9550</v>
      </c>
    </row>
    <row r="77" spans="1:4" x14ac:dyDescent="0.25">
      <c r="A77" s="8">
        <v>45943</v>
      </c>
      <c r="B77" s="9" t="s">
        <v>178</v>
      </c>
      <c r="C77" s="10">
        <v>-3170</v>
      </c>
      <c r="D77" s="10">
        <f t="shared" si="1"/>
        <v>6380</v>
      </c>
    </row>
    <row r="78" spans="1:4" x14ac:dyDescent="0.25">
      <c r="A78" s="8">
        <v>45946</v>
      </c>
      <c r="B78" s="9" t="s">
        <v>6</v>
      </c>
      <c r="C78" s="10">
        <v>1320</v>
      </c>
      <c r="D78" s="10">
        <f t="shared" si="1"/>
        <v>7700</v>
      </c>
    </row>
    <row r="79" spans="1:4" x14ac:dyDescent="0.25">
      <c r="A79" s="8">
        <v>45946</v>
      </c>
      <c r="B79" s="9" t="s">
        <v>189</v>
      </c>
      <c r="C79" s="10">
        <v>-3820</v>
      </c>
      <c r="D79" s="10">
        <f t="shared" si="1"/>
        <v>3880</v>
      </c>
    </row>
    <row r="80" spans="1:4" x14ac:dyDescent="0.25">
      <c r="A80" s="8">
        <v>45950</v>
      </c>
      <c r="B80" s="9" t="s">
        <v>3</v>
      </c>
      <c r="C80" s="10">
        <v>3260</v>
      </c>
      <c r="D80" s="10">
        <f t="shared" si="1"/>
        <v>7140</v>
      </c>
    </row>
    <row r="81" spans="1:4" x14ac:dyDescent="0.25">
      <c r="A81" s="8">
        <v>45950</v>
      </c>
      <c r="B81" s="9" t="s">
        <v>196</v>
      </c>
      <c r="C81" s="10">
        <v>-4740</v>
      </c>
      <c r="D81" s="10">
        <f t="shared" si="1"/>
        <v>2400</v>
      </c>
    </row>
    <row r="82" spans="1:4" x14ac:dyDescent="0.25">
      <c r="A82" s="8">
        <v>45953</v>
      </c>
      <c r="B82" s="9" t="s">
        <v>3</v>
      </c>
      <c r="C82" s="10">
        <v>2360</v>
      </c>
      <c r="D82" s="10">
        <f t="shared" si="1"/>
        <v>4760</v>
      </c>
    </row>
    <row r="83" spans="1:4" x14ac:dyDescent="0.25">
      <c r="A83" s="8">
        <v>45957</v>
      </c>
      <c r="B83" s="9" t="s">
        <v>3</v>
      </c>
      <c r="C83" s="10">
        <v>3580</v>
      </c>
      <c r="D83" s="10">
        <f t="shared" si="1"/>
        <v>8340</v>
      </c>
    </row>
    <row r="84" spans="1:4" x14ac:dyDescent="0.25">
      <c r="A84" s="8">
        <v>45957</v>
      </c>
      <c r="B84" s="9" t="s">
        <v>178</v>
      </c>
      <c r="C84" s="10">
        <v>-7000</v>
      </c>
      <c r="D84" s="10">
        <f t="shared" si="1"/>
        <v>1340</v>
      </c>
    </row>
    <row r="85" spans="1:4" x14ac:dyDescent="0.25">
      <c r="A85" s="8">
        <v>45958</v>
      </c>
      <c r="B85" s="9" t="s">
        <v>3</v>
      </c>
      <c r="C85" s="10">
        <v>5230</v>
      </c>
      <c r="D85" s="10">
        <f t="shared" si="1"/>
        <v>6570</v>
      </c>
    </row>
    <row r="86" spans="1:4" x14ac:dyDescent="0.25">
      <c r="A86" s="8">
        <v>45959</v>
      </c>
      <c r="B86" s="9" t="s">
        <v>189</v>
      </c>
      <c r="C86" s="10">
        <v>-2260</v>
      </c>
      <c r="D86" s="10">
        <f t="shared" si="1"/>
        <v>4310</v>
      </c>
    </row>
    <row r="87" spans="1:4" x14ac:dyDescent="0.25">
      <c r="A87" s="8">
        <v>45959</v>
      </c>
      <c r="B87" s="9" t="s">
        <v>189</v>
      </c>
      <c r="C87" s="10">
        <v>-3580</v>
      </c>
      <c r="D87" s="10">
        <f t="shared" si="1"/>
        <v>730</v>
      </c>
    </row>
    <row r="88" spans="1:4" x14ac:dyDescent="0.25">
      <c r="A88" s="8">
        <v>45960</v>
      </c>
      <c r="B88" s="9" t="s">
        <v>3</v>
      </c>
      <c r="C88" s="10">
        <v>4640</v>
      </c>
      <c r="D88" s="10">
        <f t="shared" si="1"/>
        <v>5370</v>
      </c>
    </row>
    <row r="89" spans="1:4" x14ac:dyDescent="0.25">
      <c r="A89" s="8">
        <v>45962</v>
      </c>
      <c r="B89" s="9" t="s">
        <v>189</v>
      </c>
      <c r="C89" s="10">
        <v>-5230</v>
      </c>
      <c r="D89" s="10">
        <f t="shared" si="1"/>
        <v>140</v>
      </c>
    </row>
    <row r="90" spans="1:4" x14ac:dyDescent="0.25">
      <c r="A90" s="8">
        <v>45963</v>
      </c>
      <c r="B90" s="9" t="s">
        <v>3</v>
      </c>
      <c r="C90" s="10">
        <v>3160</v>
      </c>
      <c r="D90" s="10">
        <f t="shared" si="1"/>
        <v>3300</v>
      </c>
    </row>
    <row r="91" spans="1:4" x14ac:dyDescent="0.25">
      <c r="A91" s="8">
        <v>45963</v>
      </c>
      <c r="B91" s="9" t="s">
        <v>189</v>
      </c>
      <c r="C91" s="10">
        <v>-3160</v>
      </c>
      <c r="D91" s="10">
        <f t="shared" si="1"/>
        <v>140</v>
      </c>
    </row>
    <row r="92" spans="1:4" x14ac:dyDescent="0.25">
      <c r="A92" s="8">
        <v>45964</v>
      </c>
      <c r="B92" s="9" t="s">
        <v>3</v>
      </c>
      <c r="C92" s="10">
        <v>3080</v>
      </c>
      <c r="D92" s="10">
        <f t="shared" si="1"/>
        <v>3220</v>
      </c>
    </row>
    <row r="93" spans="1:4" x14ac:dyDescent="0.25">
      <c r="A93" s="8">
        <v>45967</v>
      </c>
      <c r="B93" s="9" t="s">
        <v>149</v>
      </c>
      <c r="C93" s="10">
        <v>2090</v>
      </c>
      <c r="D93" s="10">
        <f t="shared" si="1"/>
        <v>5310</v>
      </c>
    </row>
    <row r="94" spans="1:4" x14ac:dyDescent="0.25">
      <c r="A94" s="8">
        <v>45971</v>
      </c>
      <c r="B94" s="9" t="s">
        <v>3</v>
      </c>
      <c r="C94" s="10">
        <v>2630</v>
      </c>
      <c r="D94" s="10">
        <f t="shared" si="1"/>
        <v>7940</v>
      </c>
    </row>
    <row r="95" spans="1:4" x14ac:dyDescent="0.25">
      <c r="A95" s="8">
        <v>45971</v>
      </c>
      <c r="B95" s="9" t="s">
        <v>177</v>
      </c>
      <c r="C95" s="10">
        <v>-5310</v>
      </c>
      <c r="D95" s="10">
        <f t="shared" si="1"/>
        <v>2630</v>
      </c>
    </row>
    <row r="96" spans="1:4" x14ac:dyDescent="0.25">
      <c r="A96" s="8">
        <v>45973</v>
      </c>
      <c r="B96" s="9" t="s">
        <v>228</v>
      </c>
      <c r="C96" s="10">
        <v>5650</v>
      </c>
      <c r="D96" s="10">
        <f t="shared" si="1"/>
        <v>8280</v>
      </c>
    </row>
    <row r="97" spans="1:4" x14ac:dyDescent="0.25">
      <c r="A97" s="8">
        <v>45974</v>
      </c>
      <c r="B97" s="9" t="s">
        <v>3</v>
      </c>
      <c r="C97" s="10">
        <v>1080</v>
      </c>
      <c r="D97" s="10">
        <f t="shared" si="1"/>
        <v>9360</v>
      </c>
    </row>
    <row r="98" spans="1:4" x14ac:dyDescent="0.25">
      <c r="A98" s="8">
        <v>45974</v>
      </c>
      <c r="B98" s="9" t="s">
        <v>177</v>
      </c>
      <c r="C98" s="10">
        <v>-3000</v>
      </c>
      <c r="D98" s="10">
        <f t="shared" si="1"/>
        <v>6360</v>
      </c>
    </row>
    <row r="99" spans="1:4" x14ac:dyDescent="0.25">
      <c r="A99" s="8">
        <v>45976</v>
      </c>
      <c r="B99" s="9" t="s">
        <v>129</v>
      </c>
      <c r="C99" s="10">
        <v>2800</v>
      </c>
      <c r="D99" s="10">
        <f t="shared" ref="D99:D163" si="2">D98+C99</f>
        <v>9160</v>
      </c>
    </row>
    <row r="100" spans="1:4" x14ac:dyDescent="0.25">
      <c r="A100" s="8">
        <v>45976</v>
      </c>
      <c r="B100" s="9" t="s">
        <v>227</v>
      </c>
      <c r="C100" s="10">
        <v>-5650</v>
      </c>
      <c r="D100" s="10">
        <f t="shared" si="2"/>
        <v>3510</v>
      </c>
    </row>
    <row r="101" spans="1:4" x14ac:dyDescent="0.25">
      <c r="A101" s="8">
        <v>45978</v>
      </c>
      <c r="B101" s="9" t="s">
        <v>3</v>
      </c>
      <c r="C101" s="10">
        <v>3410</v>
      </c>
      <c r="D101" s="10">
        <f t="shared" si="2"/>
        <v>6920</v>
      </c>
    </row>
    <row r="102" spans="1:4" x14ac:dyDescent="0.25">
      <c r="A102" s="8">
        <v>45978</v>
      </c>
      <c r="B102" s="9" t="s">
        <v>177</v>
      </c>
      <c r="C102" s="10">
        <v>-1360</v>
      </c>
      <c r="D102" s="10">
        <f t="shared" si="2"/>
        <v>5560</v>
      </c>
    </row>
    <row r="103" spans="1:4" x14ac:dyDescent="0.25">
      <c r="A103" s="8">
        <v>45981</v>
      </c>
      <c r="B103" s="9" t="s">
        <v>3</v>
      </c>
      <c r="C103" s="10">
        <v>4440</v>
      </c>
      <c r="D103" s="10">
        <f t="shared" si="2"/>
        <v>10000</v>
      </c>
    </row>
    <row r="104" spans="1:4" x14ac:dyDescent="0.25">
      <c r="A104" s="8">
        <v>45981</v>
      </c>
      <c r="B104" s="9" t="s">
        <v>177</v>
      </c>
      <c r="C104" s="10">
        <v>-5000</v>
      </c>
      <c r="D104" s="10">
        <f t="shared" si="2"/>
        <v>5000</v>
      </c>
    </row>
    <row r="105" spans="1:4" x14ac:dyDescent="0.25">
      <c r="A105" s="8">
        <v>45985</v>
      </c>
      <c r="B105" s="9" t="s">
        <v>3</v>
      </c>
      <c r="C105" s="10">
        <v>3930</v>
      </c>
      <c r="D105" s="10">
        <f t="shared" si="2"/>
        <v>8930</v>
      </c>
    </row>
    <row r="106" spans="1:4" x14ac:dyDescent="0.25">
      <c r="A106" s="8">
        <v>45985</v>
      </c>
      <c r="B106" s="9" t="s">
        <v>7</v>
      </c>
      <c r="C106" s="10">
        <v>-5000</v>
      </c>
      <c r="D106" s="10">
        <f t="shared" si="2"/>
        <v>3930</v>
      </c>
    </row>
    <row r="107" spans="1:4" x14ac:dyDescent="0.25">
      <c r="A107" s="8">
        <v>45988</v>
      </c>
      <c r="B107" s="9" t="s">
        <v>3</v>
      </c>
      <c r="C107" s="10">
        <v>160</v>
      </c>
      <c r="D107" s="10">
        <f t="shared" si="2"/>
        <v>4090</v>
      </c>
    </row>
    <row r="108" spans="1:4" x14ac:dyDescent="0.25">
      <c r="A108" s="8">
        <v>45992</v>
      </c>
      <c r="B108" s="9" t="s">
        <v>3</v>
      </c>
      <c r="C108" s="10">
        <v>5610</v>
      </c>
      <c r="D108" s="10">
        <f t="shared" si="2"/>
        <v>9700</v>
      </c>
    </row>
    <row r="109" spans="1:4" x14ac:dyDescent="0.25">
      <c r="A109" s="8">
        <v>45995</v>
      </c>
      <c r="B109" s="9" t="s">
        <v>3</v>
      </c>
      <c r="C109" s="10">
        <v>11660</v>
      </c>
      <c r="D109" s="10">
        <f t="shared" si="2"/>
        <v>21360</v>
      </c>
    </row>
    <row r="110" spans="1:4" x14ac:dyDescent="0.25">
      <c r="A110" s="9"/>
      <c r="B110" s="9" t="s">
        <v>254</v>
      </c>
      <c r="C110" s="10">
        <v>-5610</v>
      </c>
      <c r="D110" s="10">
        <f t="shared" si="2"/>
        <v>15750</v>
      </c>
    </row>
    <row r="111" spans="1:4" x14ac:dyDescent="0.25">
      <c r="A111" s="8">
        <v>45969</v>
      </c>
      <c r="B111" s="9" t="s">
        <v>3</v>
      </c>
      <c r="C111" s="10">
        <v>6160</v>
      </c>
      <c r="D111" s="10">
        <f t="shared" si="2"/>
        <v>21910</v>
      </c>
    </row>
    <row r="112" spans="1:4" x14ac:dyDescent="0.25">
      <c r="A112" s="9"/>
      <c r="B112" s="9" t="s">
        <v>7</v>
      </c>
      <c r="C112" s="10">
        <v>-7000</v>
      </c>
      <c r="D112" s="10">
        <f t="shared" si="2"/>
        <v>14910</v>
      </c>
    </row>
    <row r="113" spans="1:4" x14ac:dyDescent="0.25">
      <c r="A113" s="8">
        <v>46002</v>
      </c>
      <c r="B113" s="9" t="s">
        <v>3</v>
      </c>
      <c r="C113" s="10">
        <v>3970</v>
      </c>
      <c r="D113" s="10">
        <f t="shared" si="2"/>
        <v>18880</v>
      </c>
    </row>
    <row r="114" spans="1:4" x14ac:dyDescent="0.25">
      <c r="A114" s="8">
        <v>46002</v>
      </c>
      <c r="B114" s="9" t="s">
        <v>255</v>
      </c>
      <c r="C114" s="10">
        <v>-7900</v>
      </c>
      <c r="D114" s="10">
        <f t="shared" si="2"/>
        <v>10980</v>
      </c>
    </row>
    <row r="115" spans="1:4" x14ac:dyDescent="0.25">
      <c r="A115" s="8">
        <v>46002</v>
      </c>
      <c r="B115" s="9" t="s">
        <v>46</v>
      </c>
      <c r="C115" s="10">
        <v>-3660</v>
      </c>
      <c r="D115" s="10">
        <f t="shared" si="2"/>
        <v>7320</v>
      </c>
    </row>
    <row r="116" spans="1:4" x14ac:dyDescent="0.25">
      <c r="A116" s="8">
        <v>46006</v>
      </c>
      <c r="B116" s="9" t="s">
        <v>3</v>
      </c>
      <c r="C116" s="10">
        <v>4500</v>
      </c>
      <c r="D116" s="10">
        <f t="shared" si="2"/>
        <v>11820</v>
      </c>
    </row>
    <row r="117" spans="1:4" x14ac:dyDescent="0.25">
      <c r="A117" s="8">
        <v>46006</v>
      </c>
      <c r="B117" s="9" t="s">
        <v>177</v>
      </c>
      <c r="C117" s="10">
        <v>-7000</v>
      </c>
      <c r="D117" s="10">
        <f t="shared" si="2"/>
        <v>4820</v>
      </c>
    </row>
    <row r="118" spans="1:4" x14ac:dyDescent="0.25">
      <c r="A118" s="8">
        <v>46009</v>
      </c>
      <c r="B118" s="9" t="s">
        <v>177</v>
      </c>
      <c r="C118" s="10">
        <v>-3000</v>
      </c>
      <c r="D118" s="10">
        <f t="shared" si="2"/>
        <v>1820</v>
      </c>
    </row>
    <row r="119" spans="1:4" x14ac:dyDescent="0.25">
      <c r="A119" s="8">
        <v>46009</v>
      </c>
      <c r="B119" s="9" t="s">
        <v>3</v>
      </c>
      <c r="C119" s="10">
        <v>4340</v>
      </c>
      <c r="D119" s="10">
        <f t="shared" si="2"/>
        <v>6160</v>
      </c>
    </row>
    <row r="120" spans="1:4" x14ac:dyDescent="0.25">
      <c r="A120" s="8">
        <v>46020</v>
      </c>
      <c r="B120" s="9" t="s">
        <v>3</v>
      </c>
      <c r="C120" s="10">
        <v>6700</v>
      </c>
      <c r="D120" s="10">
        <f t="shared" si="2"/>
        <v>12860</v>
      </c>
    </row>
    <row r="121" spans="1:4" x14ac:dyDescent="0.25">
      <c r="A121" s="8">
        <v>46051</v>
      </c>
      <c r="B121" s="9" t="s">
        <v>178</v>
      </c>
      <c r="C121" s="10">
        <v>-10860</v>
      </c>
      <c r="D121" s="10">
        <f t="shared" si="2"/>
        <v>2000</v>
      </c>
    </row>
    <row r="122" spans="1:4" x14ac:dyDescent="0.25">
      <c r="A122" s="8">
        <v>46024</v>
      </c>
      <c r="B122" s="9" t="s">
        <v>178</v>
      </c>
      <c r="C122" s="10">
        <v>-3500</v>
      </c>
      <c r="D122" s="10">
        <f t="shared" si="2"/>
        <v>-1500</v>
      </c>
    </row>
    <row r="123" spans="1:4" x14ac:dyDescent="0.25">
      <c r="A123" s="8">
        <v>46024</v>
      </c>
      <c r="B123" s="9" t="s">
        <v>3</v>
      </c>
      <c r="C123" s="10">
        <v>3740</v>
      </c>
      <c r="D123" s="10">
        <f t="shared" si="2"/>
        <v>2240</v>
      </c>
    </row>
    <row r="124" spans="1:4" x14ac:dyDescent="0.25">
      <c r="A124" s="8">
        <v>46027</v>
      </c>
      <c r="B124" s="9" t="s">
        <v>3</v>
      </c>
      <c r="C124" s="10">
        <v>2480</v>
      </c>
      <c r="D124" s="10">
        <f t="shared" si="2"/>
        <v>4720</v>
      </c>
    </row>
    <row r="125" spans="1:4" x14ac:dyDescent="0.25">
      <c r="A125" s="8">
        <v>46027</v>
      </c>
      <c r="B125" s="9" t="s">
        <v>178</v>
      </c>
      <c r="C125" s="10">
        <v>-5000</v>
      </c>
      <c r="D125" s="10">
        <f t="shared" si="2"/>
        <v>-280</v>
      </c>
    </row>
    <row r="126" spans="1:4" x14ac:dyDescent="0.25">
      <c r="A126" s="8">
        <v>46030</v>
      </c>
      <c r="B126" s="9" t="s">
        <v>3</v>
      </c>
      <c r="C126" s="10">
        <v>5420</v>
      </c>
      <c r="D126" s="10">
        <f t="shared" si="2"/>
        <v>5140</v>
      </c>
    </row>
    <row r="127" spans="1:4" x14ac:dyDescent="0.25">
      <c r="A127" s="8">
        <v>46030</v>
      </c>
      <c r="B127" s="9" t="s">
        <v>227</v>
      </c>
      <c r="C127" s="10">
        <v>-2000</v>
      </c>
      <c r="D127" s="10">
        <f t="shared" si="2"/>
        <v>3140</v>
      </c>
    </row>
    <row r="128" spans="1:4" x14ac:dyDescent="0.25">
      <c r="A128" s="8">
        <v>46030</v>
      </c>
      <c r="B128" s="9" t="s">
        <v>178</v>
      </c>
      <c r="C128" s="10">
        <v>-1600</v>
      </c>
      <c r="D128" s="10">
        <f t="shared" si="2"/>
        <v>1540</v>
      </c>
    </row>
    <row r="129" spans="1:4" x14ac:dyDescent="0.25">
      <c r="A129" s="8">
        <v>46032</v>
      </c>
      <c r="B129" s="9" t="s">
        <v>189</v>
      </c>
      <c r="C129" s="10">
        <v>-3000</v>
      </c>
      <c r="D129" s="10">
        <f t="shared" si="2"/>
        <v>-1460</v>
      </c>
    </row>
    <row r="130" spans="1:4" x14ac:dyDescent="0.25">
      <c r="A130" s="8">
        <v>46030</v>
      </c>
      <c r="B130" s="9" t="s">
        <v>3</v>
      </c>
      <c r="C130" s="10">
        <v>6400</v>
      </c>
      <c r="D130" s="10">
        <f t="shared" si="2"/>
        <v>4940</v>
      </c>
    </row>
    <row r="131" spans="1:4" x14ac:dyDescent="0.25">
      <c r="A131" s="8">
        <v>46034</v>
      </c>
      <c r="B131" s="9" t="s">
        <v>3</v>
      </c>
      <c r="C131" s="10">
        <v>6590</v>
      </c>
      <c r="D131" s="10">
        <f t="shared" si="2"/>
        <v>11530</v>
      </c>
    </row>
    <row r="132" spans="1:4" x14ac:dyDescent="0.25">
      <c r="A132" s="8">
        <v>46034</v>
      </c>
      <c r="B132" s="9" t="s">
        <v>178</v>
      </c>
      <c r="C132" s="10">
        <v>-2600</v>
      </c>
      <c r="D132" s="10">
        <f t="shared" si="2"/>
        <v>8930</v>
      </c>
    </row>
    <row r="133" spans="1:4" x14ac:dyDescent="0.25">
      <c r="A133" s="8">
        <v>46036</v>
      </c>
      <c r="B133" s="9" t="s">
        <v>148</v>
      </c>
      <c r="C133" s="10">
        <v>5400</v>
      </c>
      <c r="D133" s="10">
        <f t="shared" si="2"/>
        <v>14330</v>
      </c>
    </row>
    <row r="134" spans="1:4" x14ac:dyDescent="0.25">
      <c r="A134" s="8">
        <v>46037</v>
      </c>
      <c r="B134" s="9" t="s">
        <v>3</v>
      </c>
      <c r="C134" s="10">
        <v>3980</v>
      </c>
      <c r="D134" s="10">
        <f t="shared" si="2"/>
        <v>18310</v>
      </c>
    </row>
    <row r="135" spans="1:4" x14ac:dyDescent="0.25">
      <c r="A135" s="8">
        <v>46037</v>
      </c>
      <c r="B135" s="9" t="s">
        <v>178</v>
      </c>
      <c r="C135" s="10">
        <v>-3960</v>
      </c>
      <c r="D135" s="10">
        <f t="shared" si="2"/>
        <v>14350</v>
      </c>
    </row>
    <row r="136" spans="1:4" x14ac:dyDescent="0.25">
      <c r="A136" s="8">
        <v>46037</v>
      </c>
      <c r="B136" s="9" t="s">
        <v>293</v>
      </c>
      <c r="C136" s="10">
        <v>2860</v>
      </c>
      <c r="D136" s="10">
        <f t="shared" si="2"/>
        <v>17210</v>
      </c>
    </row>
    <row r="137" spans="1:4" x14ac:dyDescent="0.25">
      <c r="A137" s="8">
        <v>46038</v>
      </c>
      <c r="B137" s="9" t="s">
        <v>130</v>
      </c>
      <c r="C137" s="10">
        <v>-2000</v>
      </c>
      <c r="D137" s="10">
        <f t="shared" si="2"/>
        <v>15210</v>
      </c>
    </row>
    <row r="138" spans="1:4" x14ac:dyDescent="0.25">
      <c r="A138" s="27">
        <v>46040</v>
      </c>
      <c r="B138" s="9" t="s">
        <v>130</v>
      </c>
      <c r="C138" s="10">
        <v>-5400</v>
      </c>
      <c r="D138" s="10">
        <f t="shared" si="2"/>
        <v>9810</v>
      </c>
    </row>
    <row r="139" spans="1:4" x14ac:dyDescent="0.25">
      <c r="A139" s="8">
        <v>46041</v>
      </c>
      <c r="B139" s="9" t="s">
        <v>3</v>
      </c>
      <c r="C139" s="10">
        <v>8680</v>
      </c>
      <c r="D139" s="10">
        <f t="shared" si="2"/>
        <v>18490</v>
      </c>
    </row>
    <row r="140" spans="1:4" x14ac:dyDescent="0.25">
      <c r="A140" s="8">
        <v>46041</v>
      </c>
      <c r="B140" s="9" t="s">
        <v>178</v>
      </c>
      <c r="C140" s="10">
        <v>-4500</v>
      </c>
      <c r="D140" s="10">
        <f t="shared" si="2"/>
        <v>13990</v>
      </c>
    </row>
    <row r="141" spans="1:4" x14ac:dyDescent="0.25">
      <c r="A141" s="8">
        <v>46042</v>
      </c>
      <c r="B141" s="9" t="s">
        <v>189</v>
      </c>
      <c r="C141" s="10">
        <v>-10000</v>
      </c>
      <c r="D141" s="10">
        <f t="shared" si="2"/>
        <v>3990</v>
      </c>
    </row>
    <row r="142" spans="1:4" x14ac:dyDescent="0.25">
      <c r="A142" s="8">
        <v>46044</v>
      </c>
      <c r="B142" s="9" t="s">
        <v>3</v>
      </c>
      <c r="C142" s="10">
        <v>10640</v>
      </c>
      <c r="D142" s="10">
        <f t="shared" si="2"/>
        <v>14630</v>
      </c>
    </row>
    <row r="143" spans="1:4" x14ac:dyDescent="0.25">
      <c r="A143" s="8">
        <v>46048</v>
      </c>
      <c r="B143" s="9" t="s">
        <v>3</v>
      </c>
      <c r="C143" s="10">
        <v>5050</v>
      </c>
      <c r="D143" s="10">
        <f t="shared" si="2"/>
        <v>19680</v>
      </c>
    </row>
    <row r="144" spans="1:4" x14ac:dyDescent="0.25">
      <c r="A144" s="8">
        <v>46048</v>
      </c>
      <c r="B144" s="9" t="s">
        <v>178</v>
      </c>
      <c r="C144" s="10">
        <v>-7000</v>
      </c>
      <c r="D144" s="10">
        <f t="shared" si="2"/>
        <v>12680</v>
      </c>
    </row>
    <row r="145" spans="1:4" x14ac:dyDescent="0.25">
      <c r="A145" s="8">
        <v>46050</v>
      </c>
      <c r="B145" s="9" t="s">
        <v>227</v>
      </c>
      <c r="C145" s="10">
        <v>-2000</v>
      </c>
      <c r="D145" s="10">
        <f t="shared" si="2"/>
        <v>10680</v>
      </c>
    </row>
    <row r="146" spans="1:4" x14ac:dyDescent="0.25">
      <c r="A146" s="8">
        <v>46051</v>
      </c>
      <c r="B146" s="9" t="s">
        <v>3</v>
      </c>
      <c r="C146" s="10">
        <v>2500</v>
      </c>
      <c r="D146" s="10">
        <f t="shared" si="2"/>
        <v>13180</v>
      </c>
    </row>
    <row r="147" spans="1:4" x14ac:dyDescent="0.25">
      <c r="A147" s="8">
        <v>46051</v>
      </c>
      <c r="B147" s="9" t="s">
        <v>178</v>
      </c>
      <c r="C147" s="10">
        <v>-6000</v>
      </c>
      <c r="D147" s="10">
        <f t="shared" si="2"/>
        <v>7180</v>
      </c>
    </row>
    <row r="148" spans="1:4" x14ac:dyDescent="0.25">
      <c r="A148" s="8">
        <v>46052</v>
      </c>
      <c r="B148" s="9" t="s">
        <v>129</v>
      </c>
      <c r="C148" s="10">
        <v>3930</v>
      </c>
      <c r="D148" s="10">
        <f t="shared" si="2"/>
        <v>11110</v>
      </c>
    </row>
    <row r="149" spans="1:4" x14ac:dyDescent="0.25">
      <c r="A149" s="8">
        <v>46053</v>
      </c>
      <c r="B149" s="9" t="s">
        <v>189</v>
      </c>
      <c r="C149" s="10">
        <v>-5000</v>
      </c>
      <c r="D149" s="10">
        <f t="shared" si="2"/>
        <v>6110</v>
      </c>
    </row>
    <row r="150" spans="1:4" x14ac:dyDescent="0.25">
      <c r="A150" s="8">
        <v>46054</v>
      </c>
      <c r="B150" s="9" t="s">
        <v>273</v>
      </c>
      <c r="C150" s="10">
        <v>-3230</v>
      </c>
      <c r="D150" s="10">
        <f t="shared" si="2"/>
        <v>2880</v>
      </c>
    </row>
    <row r="151" spans="1:4" x14ac:dyDescent="0.25">
      <c r="A151" s="8">
        <v>46055</v>
      </c>
      <c r="B151" s="9" t="s">
        <v>3</v>
      </c>
      <c r="C151" s="10">
        <v>3560</v>
      </c>
      <c r="D151" s="10">
        <f t="shared" si="2"/>
        <v>6440</v>
      </c>
    </row>
    <row r="152" spans="1:4" x14ac:dyDescent="0.25">
      <c r="A152" s="8">
        <v>46058</v>
      </c>
      <c r="B152" s="9" t="s">
        <v>3</v>
      </c>
      <c r="C152" s="10">
        <v>8260</v>
      </c>
      <c r="D152" s="10">
        <f t="shared" si="2"/>
        <v>14700</v>
      </c>
    </row>
    <row r="153" spans="1:4" x14ac:dyDescent="0.25">
      <c r="A153" s="8">
        <v>46058</v>
      </c>
      <c r="B153" s="9" t="s">
        <v>178</v>
      </c>
      <c r="C153" s="10">
        <v>-4000</v>
      </c>
      <c r="D153" s="10">
        <f t="shared" si="2"/>
        <v>10700</v>
      </c>
    </row>
    <row r="154" spans="1:4" x14ac:dyDescent="0.25">
      <c r="A154" s="8">
        <v>46067</v>
      </c>
      <c r="B154" s="9" t="s">
        <v>3</v>
      </c>
      <c r="C154" s="10">
        <v>63110</v>
      </c>
      <c r="D154" s="10">
        <f t="shared" si="2"/>
        <v>73810</v>
      </c>
    </row>
    <row r="155" spans="1:4" x14ac:dyDescent="0.25">
      <c r="A155" s="8">
        <v>46069</v>
      </c>
      <c r="B155" s="9" t="s">
        <v>178</v>
      </c>
      <c r="C155" s="10">
        <v>-3310</v>
      </c>
      <c r="D155" s="10">
        <f t="shared" si="2"/>
        <v>70500</v>
      </c>
    </row>
    <row r="156" spans="1:4" x14ac:dyDescent="0.25">
      <c r="A156" s="8">
        <v>46069</v>
      </c>
      <c r="B156" s="9" t="s">
        <v>3</v>
      </c>
      <c r="C156" s="10">
        <v>6130</v>
      </c>
      <c r="D156" s="10">
        <f t="shared" si="2"/>
        <v>76630</v>
      </c>
    </row>
    <row r="157" spans="1:4" x14ac:dyDescent="0.25">
      <c r="A157" s="8">
        <v>46070</v>
      </c>
      <c r="B157" s="9" t="s">
        <v>273</v>
      </c>
      <c r="C157" s="10">
        <v>-60000</v>
      </c>
      <c r="D157" s="10">
        <f>D155+C157</f>
        <v>10500</v>
      </c>
    </row>
    <row r="158" spans="1:4" x14ac:dyDescent="0.25">
      <c r="A158" s="8">
        <v>46069</v>
      </c>
      <c r="B158" s="9" t="s">
        <v>178</v>
      </c>
      <c r="C158" s="10">
        <v>-2750</v>
      </c>
      <c r="D158" s="10">
        <f t="shared" si="2"/>
        <v>7750</v>
      </c>
    </row>
    <row r="159" spans="1:4" x14ac:dyDescent="0.25">
      <c r="A159" s="8">
        <v>46072</v>
      </c>
      <c r="B159" s="9" t="s">
        <v>3</v>
      </c>
      <c r="C159" s="10">
        <v>1610</v>
      </c>
      <c r="D159" s="10">
        <f t="shared" si="2"/>
        <v>9360</v>
      </c>
    </row>
    <row r="160" spans="1:4" x14ac:dyDescent="0.25">
      <c r="A160" s="8">
        <v>46073</v>
      </c>
      <c r="B160" s="9" t="s">
        <v>3</v>
      </c>
      <c r="C160" s="10">
        <v>3350</v>
      </c>
      <c r="D160" s="10">
        <f t="shared" si="2"/>
        <v>12710</v>
      </c>
    </row>
    <row r="161" spans="1:4" x14ac:dyDescent="0.25">
      <c r="A161" s="8">
        <v>46076</v>
      </c>
      <c r="B161" s="9" t="s">
        <v>3</v>
      </c>
      <c r="C161" s="10">
        <v>2500</v>
      </c>
      <c r="D161" s="10">
        <f t="shared" si="2"/>
        <v>15210</v>
      </c>
    </row>
    <row r="162" spans="1:4" x14ac:dyDescent="0.25">
      <c r="A162" s="8">
        <v>46076</v>
      </c>
      <c r="B162" s="9" t="s">
        <v>178</v>
      </c>
      <c r="C162" s="10">
        <v>-6680</v>
      </c>
      <c r="D162" s="10">
        <f t="shared" si="2"/>
        <v>8530</v>
      </c>
    </row>
    <row r="163" spans="1:4" ht="18.75" x14ac:dyDescent="0.3">
      <c r="A163" s="54">
        <v>46079</v>
      </c>
      <c r="B163" s="55" t="s">
        <v>3</v>
      </c>
      <c r="C163" s="56">
        <v>2900</v>
      </c>
      <c r="D163" s="56">
        <f t="shared" si="2"/>
        <v>11430</v>
      </c>
    </row>
    <row r="164" spans="1:4" ht="18.75" x14ac:dyDescent="0.3">
      <c r="A164" s="54">
        <v>46079</v>
      </c>
      <c r="B164" s="55" t="s">
        <v>178</v>
      </c>
      <c r="C164" s="56">
        <v>-4500</v>
      </c>
      <c r="D164" s="56">
        <f t="shared" ref="D164:D267" si="3">D163+C164</f>
        <v>6930</v>
      </c>
    </row>
    <row r="165" spans="1:4" ht="18.75" x14ac:dyDescent="0.3">
      <c r="A165" s="54">
        <v>46083</v>
      </c>
      <c r="B165" s="55" t="s">
        <v>3</v>
      </c>
      <c r="C165" s="56">
        <v>5990</v>
      </c>
      <c r="D165" s="56">
        <f t="shared" si="3"/>
        <v>12920</v>
      </c>
    </row>
    <row r="166" spans="1:4" ht="18.75" x14ac:dyDescent="0.3">
      <c r="A166" s="54">
        <v>46083</v>
      </c>
      <c r="B166" s="55" t="s">
        <v>189</v>
      </c>
      <c r="C166" s="56">
        <v>-3480</v>
      </c>
      <c r="D166" s="56">
        <f t="shared" si="3"/>
        <v>9440</v>
      </c>
    </row>
    <row r="167" spans="1:4" ht="18.75" x14ac:dyDescent="0.3">
      <c r="A167" s="54">
        <v>46083</v>
      </c>
      <c r="B167" s="55" t="s">
        <v>178</v>
      </c>
      <c r="C167" s="56">
        <v>-4000</v>
      </c>
      <c r="D167" s="56">
        <f t="shared" si="3"/>
        <v>5440</v>
      </c>
    </row>
    <row r="168" spans="1:4" ht="18.75" x14ac:dyDescent="0.3">
      <c r="A168" s="54">
        <v>46086</v>
      </c>
      <c r="B168" s="55" t="s">
        <v>3</v>
      </c>
      <c r="C168" s="56">
        <v>700</v>
      </c>
      <c r="D168" s="56">
        <f t="shared" si="3"/>
        <v>6140</v>
      </c>
    </row>
    <row r="169" spans="1:4" ht="18.75" x14ac:dyDescent="0.3">
      <c r="A169" s="54">
        <v>46088</v>
      </c>
      <c r="B169" s="55" t="s">
        <v>227</v>
      </c>
      <c r="C169" s="56">
        <v>-5990</v>
      </c>
      <c r="D169" s="56">
        <f t="shared" si="3"/>
        <v>150</v>
      </c>
    </row>
    <row r="170" spans="1:4" ht="18.75" x14ac:dyDescent="0.3">
      <c r="A170" s="54">
        <v>46090</v>
      </c>
      <c r="B170" s="55" t="s">
        <v>3</v>
      </c>
      <c r="C170" s="56">
        <v>2490</v>
      </c>
      <c r="D170" s="56">
        <f t="shared" si="3"/>
        <v>2640</v>
      </c>
    </row>
    <row r="171" spans="1:4" ht="18.75" x14ac:dyDescent="0.3">
      <c r="A171" s="54">
        <v>46091</v>
      </c>
      <c r="B171" s="55" t="s">
        <v>3</v>
      </c>
      <c r="C171" s="56">
        <v>3610</v>
      </c>
      <c r="D171" s="56">
        <f t="shared" si="3"/>
        <v>6250</v>
      </c>
    </row>
    <row r="172" spans="1:4" ht="18.75" x14ac:dyDescent="0.3">
      <c r="A172" s="54">
        <v>46091</v>
      </c>
      <c r="B172" s="55" t="s">
        <v>3</v>
      </c>
      <c r="C172" s="56">
        <v>1870</v>
      </c>
      <c r="D172" s="56">
        <f t="shared" si="3"/>
        <v>8120</v>
      </c>
    </row>
    <row r="173" spans="1:4" ht="18.75" x14ac:dyDescent="0.3">
      <c r="A173" s="54">
        <v>46091</v>
      </c>
      <c r="B173" s="55" t="s">
        <v>227</v>
      </c>
      <c r="C173" s="56">
        <v>-3610</v>
      </c>
      <c r="D173" s="56">
        <f t="shared" si="3"/>
        <v>4510</v>
      </c>
    </row>
    <row r="174" spans="1:4" ht="18.75" x14ac:dyDescent="0.3">
      <c r="A174" s="54">
        <v>46093</v>
      </c>
      <c r="B174" s="55" t="s">
        <v>178</v>
      </c>
      <c r="C174" s="56">
        <v>-2000</v>
      </c>
      <c r="D174" s="56">
        <f t="shared" si="3"/>
        <v>2510</v>
      </c>
    </row>
    <row r="175" spans="1:4" ht="18.75" x14ac:dyDescent="0.3">
      <c r="A175" s="54">
        <v>46097</v>
      </c>
      <c r="B175" s="55" t="s">
        <v>3</v>
      </c>
      <c r="C175" s="56">
        <v>2850</v>
      </c>
      <c r="D175" s="56">
        <f t="shared" si="3"/>
        <v>5360</v>
      </c>
    </row>
    <row r="176" spans="1:4" ht="18.75" x14ac:dyDescent="0.3">
      <c r="A176" s="54">
        <v>46097</v>
      </c>
      <c r="B176" s="55" t="s">
        <v>178</v>
      </c>
      <c r="C176" s="56">
        <v>-2510</v>
      </c>
      <c r="D176" s="56">
        <f t="shared" si="3"/>
        <v>2850</v>
      </c>
    </row>
    <row r="177" spans="1:4" ht="18.75" x14ac:dyDescent="0.3">
      <c r="A177" s="54">
        <v>46098</v>
      </c>
      <c r="B177" s="55" t="s">
        <v>3</v>
      </c>
      <c r="C177" s="56">
        <v>2800</v>
      </c>
      <c r="D177" s="56">
        <f t="shared" si="3"/>
        <v>5650</v>
      </c>
    </row>
    <row r="178" spans="1:4" ht="18.75" x14ac:dyDescent="0.3">
      <c r="A178" s="54">
        <v>46100</v>
      </c>
      <c r="B178" s="55" t="s">
        <v>3</v>
      </c>
      <c r="C178" s="56">
        <v>10760</v>
      </c>
      <c r="D178" s="56">
        <f t="shared" si="3"/>
        <v>16410</v>
      </c>
    </row>
    <row r="179" spans="1:4" ht="18.75" x14ac:dyDescent="0.3">
      <c r="A179" s="54">
        <v>46100</v>
      </c>
      <c r="B179" s="55" t="s">
        <v>178</v>
      </c>
      <c r="C179" s="56">
        <v>-3000</v>
      </c>
      <c r="D179" s="56">
        <f t="shared" si="3"/>
        <v>13410</v>
      </c>
    </row>
    <row r="180" spans="1:4" ht="18.75" x14ac:dyDescent="0.3">
      <c r="A180" s="54">
        <v>46101</v>
      </c>
      <c r="B180" s="55" t="s">
        <v>129</v>
      </c>
      <c r="C180" s="56">
        <v>3500</v>
      </c>
      <c r="D180" s="56">
        <f t="shared" si="3"/>
        <v>16910</v>
      </c>
    </row>
    <row r="181" spans="1:4" ht="18.75" x14ac:dyDescent="0.3">
      <c r="A181" s="54">
        <v>46104</v>
      </c>
      <c r="B181" s="55" t="s">
        <v>3</v>
      </c>
      <c r="C181" s="56">
        <v>4750</v>
      </c>
      <c r="D181" s="56">
        <f t="shared" si="3"/>
        <v>21660</v>
      </c>
    </row>
    <row r="182" spans="1:4" ht="18.75" x14ac:dyDescent="0.3">
      <c r="A182" s="54">
        <v>46104</v>
      </c>
      <c r="B182" s="55" t="s">
        <v>178</v>
      </c>
      <c r="C182" s="56">
        <v>-9800</v>
      </c>
      <c r="D182" s="56">
        <f t="shared" si="3"/>
        <v>11860</v>
      </c>
    </row>
    <row r="183" spans="1:4" ht="18.75" x14ac:dyDescent="0.3">
      <c r="A183" s="54">
        <v>46104</v>
      </c>
      <c r="B183" s="55" t="s">
        <v>227</v>
      </c>
      <c r="C183" s="56">
        <v>-960</v>
      </c>
      <c r="D183" s="56">
        <f t="shared" si="3"/>
        <v>10900</v>
      </c>
    </row>
    <row r="184" spans="1:4" ht="18.75" x14ac:dyDescent="0.3">
      <c r="A184" s="54">
        <v>46104</v>
      </c>
      <c r="B184" s="55" t="s">
        <v>227</v>
      </c>
      <c r="C184" s="56">
        <v>-2800</v>
      </c>
      <c r="D184" s="56">
        <f t="shared" si="3"/>
        <v>8100</v>
      </c>
    </row>
    <row r="185" spans="1:4" ht="18.75" x14ac:dyDescent="0.3">
      <c r="A185" s="54">
        <v>46107</v>
      </c>
      <c r="B185" s="55" t="s">
        <v>3</v>
      </c>
      <c r="C185" s="56">
        <v>4840</v>
      </c>
      <c r="D185" s="56">
        <f t="shared" si="3"/>
        <v>12940</v>
      </c>
    </row>
    <row r="186" spans="1:4" ht="18.75" x14ac:dyDescent="0.3">
      <c r="A186" s="54">
        <v>46107</v>
      </c>
      <c r="B186" s="55" t="s">
        <v>178</v>
      </c>
      <c r="C186" s="56">
        <v>-2630</v>
      </c>
      <c r="D186" s="56">
        <f t="shared" si="3"/>
        <v>10310</v>
      </c>
    </row>
    <row r="187" spans="1:4" ht="18.75" x14ac:dyDescent="0.3">
      <c r="A187" s="54">
        <v>46107</v>
      </c>
      <c r="B187" s="55" t="s">
        <v>227</v>
      </c>
      <c r="C187" s="56">
        <v>-5270</v>
      </c>
      <c r="D187" s="56">
        <f t="shared" si="3"/>
        <v>5040</v>
      </c>
    </row>
    <row r="188" spans="1:4" ht="18.75" x14ac:dyDescent="0.3">
      <c r="A188" s="54">
        <v>46111</v>
      </c>
      <c r="B188" s="55" t="s">
        <v>3</v>
      </c>
      <c r="C188" s="56">
        <v>3530</v>
      </c>
      <c r="D188" s="56">
        <f t="shared" si="3"/>
        <v>8570</v>
      </c>
    </row>
    <row r="189" spans="1:4" ht="18.75" x14ac:dyDescent="0.3">
      <c r="A189" s="54">
        <v>46111</v>
      </c>
      <c r="B189" s="55" t="s">
        <v>178</v>
      </c>
      <c r="C189" s="56">
        <v>-4840</v>
      </c>
      <c r="D189" s="56">
        <f t="shared" si="3"/>
        <v>3730</v>
      </c>
    </row>
    <row r="190" spans="1:4" ht="18.75" x14ac:dyDescent="0.3">
      <c r="A190" s="54">
        <v>46118</v>
      </c>
      <c r="B190" s="55" t="s">
        <v>3</v>
      </c>
      <c r="C190" s="56">
        <v>6300</v>
      </c>
      <c r="D190" s="56">
        <f t="shared" si="3"/>
        <v>10030</v>
      </c>
    </row>
    <row r="191" spans="1:4" ht="18.75" x14ac:dyDescent="0.3">
      <c r="A191" s="54">
        <v>46118</v>
      </c>
      <c r="B191" s="55" t="s">
        <v>178</v>
      </c>
      <c r="C191" s="56">
        <v>-3740</v>
      </c>
      <c r="D191" s="56">
        <f t="shared" si="3"/>
        <v>6290</v>
      </c>
    </row>
    <row r="192" spans="1:4" ht="18.75" x14ac:dyDescent="0.3">
      <c r="A192" s="54">
        <v>46119</v>
      </c>
      <c r="B192" s="55" t="s">
        <v>129</v>
      </c>
      <c r="C192" s="56">
        <v>2080</v>
      </c>
      <c r="D192" s="56">
        <f t="shared" si="3"/>
        <v>8370</v>
      </c>
    </row>
    <row r="193" spans="1:4" ht="18.75" x14ac:dyDescent="0.3">
      <c r="A193" s="54">
        <v>46120</v>
      </c>
      <c r="B193" s="55" t="s">
        <v>227</v>
      </c>
      <c r="C193" s="56">
        <v>-2080</v>
      </c>
      <c r="D193" s="56">
        <f t="shared" si="3"/>
        <v>6290</v>
      </c>
    </row>
    <row r="194" spans="1:4" ht="18.75" x14ac:dyDescent="0.3">
      <c r="A194" s="54">
        <v>46121</v>
      </c>
      <c r="B194" s="55" t="s">
        <v>3</v>
      </c>
      <c r="C194" s="56">
        <v>4090</v>
      </c>
      <c r="D194" s="56">
        <f t="shared" si="3"/>
        <v>10380</v>
      </c>
    </row>
    <row r="195" spans="1:4" ht="18.75" x14ac:dyDescent="0.3">
      <c r="A195" s="54">
        <v>46123</v>
      </c>
      <c r="B195" s="55" t="s">
        <v>227</v>
      </c>
      <c r="C195" s="56">
        <v>-4240</v>
      </c>
      <c r="D195" s="56">
        <f t="shared" si="3"/>
        <v>6140</v>
      </c>
    </row>
    <row r="196" spans="1:4" ht="18.75" x14ac:dyDescent="0.3">
      <c r="A196" s="54">
        <v>46124</v>
      </c>
      <c r="B196" s="55" t="s">
        <v>3</v>
      </c>
      <c r="C196" s="56">
        <v>5030</v>
      </c>
      <c r="D196" s="56">
        <f t="shared" si="3"/>
        <v>11170</v>
      </c>
    </row>
    <row r="197" spans="1:4" ht="18.75" x14ac:dyDescent="0.3">
      <c r="A197" s="54">
        <v>46126</v>
      </c>
      <c r="B197" s="55" t="s">
        <v>227</v>
      </c>
      <c r="C197" s="56">
        <v>-2000</v>
      </c>
      <c r="D197" s="56">
        <f t="shared" si="3"/>
        <v>9170</v>
      </c>
    </row>
    <row r="198" spans="1:4" ht="18.75" x14ac:dyDescent="0.3">
      <c r="A198" s="54">
        <v>46127</v>
      </c>
      <c r="B198" s="55" t="s">
        <v>227</v>
      </c>
      <c r="C198" s="56">
        <v>-2000</v>
      </c>
      <c r="D198" s="56">
        <f t="shared" si="3"/>
        <v>7170</v>
      </c>
    </row>
    <row r="199" spans="1:4" ht="18.75" x14ac:dyDescent="0.3">
      <c r="A199" s="54">
        <v>46127</v>
      </c>
      <c r="B199" s="55" t="s">
        <v>227</v>
      </c>
      <c r="C199" s="56">
        <v>-1500</v>
      </c>
      <c r="D199" s="56">
        <f t="shared" si="3"/>
        <v>5670</v>
      </c>
    </row>
    <row r="200" spans="1:4" ht="18.75" x14ac:dyDescent="0.3">
      <c r="A200" s="54">
        <v>46128</v>
      </c>
      <c r="B200" s="55" t="s">
        <v>3</v>
      </c>
      <c r="C200" s="56">
        <v>6630</v>
      </c>
      <c r="D200" s="56">
        <f t="shared" si="3"/>
        <v>12300</v>
      </c>
    </row>
    <row r="201" spans="1:4" ht="18.75" x14ac:dyDescent="0.3">
      <c r="A201" s="54">
        <v>46128</v>
      </c>
      <c r="B201" s="55" t="s">
        <v>178</v>
      </c>
      <c r="C201" s="56">
        <v>-1500</v>
      </c>
      <c r="D201" s="56">
        <f t="shared" si="3"/>
        <v>10800</v>
      </c>
    </row>
    <row r="202" spans="1:4" ht="18.75" x14ac:dyDescent="0.3">
      <c r="A202" s="54">
        <v>46130</v>
      </c>
      <c r="B202" s="55" t="s">
        <v>227</v>
      </c>
      <c r="C202" s="56">
        <v>-2000</v>
      </c>
      <c r="D202" s="56">
        <f t="shared" si="3"/>
        <v>8800</v>
      </c>
    </row>
    <row r="203" spans="1:4" ht="18.75" x14ac:dyDescent="0.3">
      <c r="A203" s="54">
        <v>46132</v>
      </c>
      <c r="B203" s="55" t="s">
        <v>3</v>
      </c>
      <c r="C203" s="56">
        <v>3760</v>
      </c>
      <c r="D203" s="56">
        <f t="shared" si="3"/>
        <v>12560</v>
      </c>
    </row>
    <row r="204" spans="1:4" ht="18.75" x14ac:dyDescent="0.3">
      <c r="A204" s="54">
        <v>46132</v>
      </c>
      <c r="B204" s="55" t="s">
        <v>196</v>
      </c>
      <c r="C204" s="56">
        <v>-3320</v>
      </c>
      <c r="D204" s="56">
        <f t="shared" si="3"/>
        <v>9240</v>
      </c>
    </row>
    <row r="205" spans="1:4" ht="18.75" x14ac:dyDescent="0.3">
      <c r="A205" s="54">
        <v>46133</v>
      </c>
      <c r="B205" s="55" t="s">
        <v>227</v>
      </c>
      <c r="C205" s="56">
        <v>-4000</v>
      </c>
      <c r="D205" s="56">
        <f t="shared" si="3"/>
        <v>5240</v>
      </c>
    </row>
    <row r="206" spans="1:4" ht="18.75" x14ac:dyDescent="0.3">
      <c r="A206" s="54">
        <v>46134</v>
      </c>
      <c r="B206" s="55" t="s">
        <v>227</v>
      </c>
      <c r="C206" s="56">
        <v>-2000</v>
      </c>
      <c r="D206" s="56">
        <f t="shared" si="3"/>
        <v>3240</v>
      </c>
    </row>
    <row r="207" spans="1:4" ht="18.75" x14ac:dyDescent="0.3">
      <c r="A207" s="54">
        <v>46134</v>
      </c>
      <c r="B207" s="55" t="s">
        <v>129</v>
      </c>
      <c r="C207" s="56">
        <v>2890</v>
      </c>
      <c r="D207" s="56">
        <f t="shared" si="3"/>
        <v>6130</v>
      </c>
    </row>
    <row r="208" spans="1:4" ht="18.75" x14ac:dyDescent="0.3">
      <c r="A208" s="54">
        <v>46135</v>
      </c>
      <c r="B208" s="55" t="s">
        <v>149</v>
      </c>
      <c r="C208" s="56">
        <v>5580</v>
      </c>
      <c r="D208" s="56">
        <f t="shared" si="3"/>
        <v>11710</v>
      </c>
    </row>
    <row r="209" spans="1:4" ht="18.75" x14ac:dyDescent="0.3">
      <c r="A209" s="54">
        <v>46135</v>
      </c>
      <c r="B209" s="55" t="s">
        <v>178</v>
      </c>
      <c r="C209" s="56">
        <v>-2000</v>
      </c>
      <c r="D209" s="56">
        <f t="shared" si="3"/>
        <v>9710</v>
      </c>
    </row>
    <row r="210" spans="1:4" ht="18.75" x14ac:dyDescent="0.3">
      <c r="A210" s="54">
        <v>46136</v>
      </c>
      <c r="B210" s="55" t="s">
        <v>227</v>
      </c>
      <c r="C210" s="56">
        <v>-2050</v>
      </c>
      <c r="D210" s="56">
        <f t="shared" si="3"/>
        <v>7660</v>
      </c>
    </row>
    <row r="211" spans="1:4" ht="18.75" x14ac:dyDescent="0.3">
      <c r="A211" s="54">
        <v>46136</v>
      </c>
      <c r="B211" s="55" t="s">
        <v>129</v>
      </c>
      <c r="C211" s="56">
        <v>2720</v>
      </c>
      <c r="D211" s="56">
        <f t="shared" si="3"/>
        <v>10380</v>
      </c>
    </row>
    <row r="212" spans="1:4" ht="18.75" x14ac:dyDescent="0.3">
      <c r="A212" s="54">
        <v>46139</v>
      </c>
      <c r="B212" s="55" t="s">
        <v>3</v>
      </c>
      <c r="C212" s="56">
        <v>2730</v>
      </c>
      <c r="D212" s="56">
        <f t="shared" si="3"/>
        <v>13110</v>
      </c>
    </row>
    <row r="213" spans="1:4" ht="18.75" x14ac:dyDescent="0.3">
      <c r="A213" s="54">
        <v>46139</v>
      </c>
      <c r="B213" s="55" t="s">
        <v>406</v>
      </c>
      <c r="C213" s="56">
        <v>-6840</v>
      </c>
      <c r="D213" s="56">
        <f t="shared" si="3"/>
        <v>6270</v>
      </c>
    </row>
    <row r="214" spans="1:4" ht="18.75" x14ac:dyDescent="0.3">
      <c r="A214" s="54">
        <v>46140</v>
      </c>
      <c r="B214" s="55" t="s">
        <v>227</v>
      </c>
      <c r="C214" s="56">
        <v>-2790</v>
      </c>
      <c r="D214" s="56">
        <f t="shared" si="3"/>
        <v>3480</v>
      </c>
    </row>
    <row r="215" spans="1:4" ht="18.75" x14ac:dyDescent="0.3">
      <c r="A215" s="54">
        <v>46140</v>
      </c>
      <c r="B215" s="55" t="s">
        <v>227</v>
      </c>
      <c r="C215" s="56">
        <v>-3040</v>
      </c>
      <c r="D215" s="56">
        <f t="shared" si="3"/>
        <v>440</v>
      </c>
    </row>
    <row r="216" spans="1:4" ht="18.75" x14ac:dyDescent="0.3">
      <c r="A216" s="54">
        <v>46149</v>
      </c>
      <c r="B216" s="55" t="s">
        <v>416</v>
      </c>
      <c r="C216" s="56">
        <v>91230</v>
      </c>
      <c r="D216" s="56">
        <f t="shared" si="3"/>
        <v>91670</v>
      </c>
    </row>
    <row r="217" spans="1:4" ht="18.75" x14ac:dyDescent="0.3">
      <c r="A217" s="54">
        <v>46156</v>
      </c>
      <c r="B217" s="55" t="s">
        <v>3</v>
      </c>
      <c r="C217" s="56">
        <v>6140</v>
      </c>
      <c r="D217" s="56">
        <f t="shared" si="3"/>
        <v>97810</v>
      </c>
    </row>
    <row r="218" spans="1:4" ht="18.75" x14ac:dyDescent="0.3">
      <c r="A218" s="54">
        <v>46156</v>
      </c>
      <c r="B218" s="55" t="s">
        <v>233</v>
      </c>
      <c r="C218" s="56">
        <v>-3180</v>
      </c>
      <c r="D218" s="56">
        <f t="shared" si="3"/>
        <v>94630</v>
      </c>
    </row>
    <row r="219" spans="1:4" ht="18.75" x14ac:dyDescent="0.3">
      <c r="A219" s="54">
        <v>46156</v>
      </c>
      <c r="B219" s="55" t="s">
        <v>227</v>
      </c>
      <c r="C219" s="56">
        <v>-50000</v>
      </c>
      <c r="D219" s="56">
        <f t="shared" si="3"/>
        <v>44630</v>
      </c>
    </row>
    <row r="220" spans="1:4" ht="18.75" x14ac:dyDescent="0.3">
      <c r="A220" s="54">
        <v>46157</v>
      </c>
      <c r="B220" s="55" t="s">
        <v>227</v>
      </c>
      <c r="C220" s="56">
        <v>-3600</v>
      </c>
      <c r="D220" s="56">
        <f t="shared" si="3"/>
        <v>41030</v>
      </c>
    </row>
    <row r="221" spans="1:4" ht="18.75" x14ac:dyDescent="0.3">
      <c r="A221" s="54">
        <v>46160</v>
      </c>
      <c r="B221" s="55" t="s">
        <v>3</v>
      </c>
      <c r="C221" s="56">
        <v>2620</v>
      </c>
      <c r="D221" s="56">
        <f t="shared" si="3"/>
        <v>43650</v>
      </c>
    </row>
    <row r="222" spans="1:4" ht="18.75" x14ac:dyDescent="0.3">
      <c r="A222" s="54">
        <v>46160</v>
      </c>
      <c r="B222" s="55" t="s">
        <v>178</v>
      </c>
      <c r="C222" s="56">
        <v>-6340</v>
      </c>
      <c r="D222" s="56">
        <f t="shared" si="3"/>
        <v>37310</v>
      </c>
    </row>
    <row r="223" spans="1:4" ht="18.75" x14ac:dyDescent="0.3">
      <c r="A223" s="54">
        <v>46161</v>
      </c>
      <c r="B223" s="55" t="s">
        <v>227</v>
      </c>
      <c r="C223" s="56">
        <v>-7720</v>
      </c>
      <c r="D223" s="56">
        <f t="shared" si="3"/>
        <v>29590</v>
      </c>
    </row>
    <row r="224" spans="1:4" ht="18.75" x14ac:dyDescent="0.3">
      <c r="A224" s="54">
        <v>46163</v>
      </c>
      <c r="B224" s="55" t="s">
        <v>3</v>
      </c>
      <c r="C224" s="56">
        <v>3710</v>
      </c>
      <c r="D224" s="56">
        <f t="shared" si="3"/>
        <v>33300</v>
      </c>
    </row>
    <row r="225" spans="1:4" ht="18.75" x14ac:dyDescent="0.3">
      <c r="A225" s="54">
        <v>46163</v>
      </c>
      <c r="B225" s="55" t="s">
        <v>178</v>
      </c>
      <c r="C225" s="56">
        <v>-3000</v>
      </c>
      <c r="D225" s="56">
        <f t="shared" si="3"/>
        <v>30300</v>
      </c>
    </row>
    <row r="226" spans="1:4" ht="18.75" x14ac:dyDescent="0.3">
      <c r="A226" s="54">
        <v>46165</v>
      </c>
      <c r="B226" s="55" t="s">
        <v>3</v>
      </c>
      <c r="C226" s="56">
        <v>2850</v>
      </c>
      <c r="D226" s="56">
        <f t="shared" si="3"/>
        <v>33150</v>
      </c>
    </row>
    <row r="227" spans="1:4" ht="18.75" x14ac:dyDescent="0.3">
      <c r="A227" s="54">
        <v>46166</v>
      </c>
      <c r="B227" s="55" t="s">
        <v>227</v>
      </c>
      <c r="C227" s="56">
        <v>-4030</v>
      </c>
      <c r="D227" s="56">
        <f t="shared" si="3"/>
        <v>29120</v>
      </c>
    </row>
    <row r="228" spans="1:4" ht="18.75" x14ac:dyDescent="0.3">
      <c r="A228" s="54">
        <v>46167</v>
      </c>
      <c r="B228" s="55" t="s">
        <v>3</v>
      </c>
      <c r="C228" s="56">
        <v>4340</v>
      </c>
      <c r="D228" s="56">
        <f t="shared" si="3"/>
        <v>33460</v>
      </c>
    </row>
    <row r="229" spans="1:4" ht="18.75" x14ac:dyDescent="0.3">
      <c r="A229" s="54">
        <v>46167</v>
      </c>
      <c r="B229" s="55" t="s">
        <v>356</v>
      </c>
      <c r="C229" s="56">
        <v>-11350</v>
      </c>
      <c r="D229" s="56">
        <f t="shared" si="3"/>
        <v>22110</v>
      </c>
    </row>
    <row r="230" spans="1:4" ht="18.75" x14ac:dyDescent="0.3">
      <c r="A230" s="54">
        <v>46168</v>
      </c>
      <c r="B230" s="55" t="s">
        <v>129</v>
      </c>
      <c r="C230" s="56">
        <v>2420</v>
      </c>
      <c r="D230" s="56">
        <f t="shared" si="3"/>
        <v>24530</v>
      </c>
    </row>
    <row r="231" spans="1:4" ht="18.75" x14ac:dyDescent="0.3">
      <c r="A231" s="54">
        <v>46170</v>
      </c>
      <c r="B231" s="55" t="s">
        <v>3</v>
      </c>
      <c r="C231" s="56">
        <v>3240</v>
      </c>
      <c r="D231" s="56">
        <f t="shared" si="3"/>
        <v>27770</v>
      </c>
    </row>
    <row r="232" spans="1:4" ht="18.75" x14ac:dyDescent="0.3">
      <c r="A232" s="54">
        <v>46170</v>
      </c>
      <c r="B232" s="55" t="s">
        <v>178</v>
      </c>
      <c r="C232" s="56">
        <v>-4420</v>
      </c>
      <c r="D232" s="56">
        <f t="shared" si="3"/>
        <v>23350</v>
      </c>
    </row>
    <row r="233" spans="1:4" ht="18.75" x14ac:dyDescent="0.3">
      <c r="A233" s="54">
        <v>46171</v>
      </c>
      <c r="B233" s="55" t="s">
        <v>227</v>
      </c>
      <c r="C233" s="56">
        <v>-4460</v>
      </c>
      <c r="D233" s="56">
        <f t="shared" si="3"/>
        <v>18890</v>
      </c>
    </row>
    <row r="234" spans="1:4" ht="18.75" x14ac:dyDescent="0.3">
      <c r="A234" s="54">
        <v>46171</v>
      </c>
      <c r="B234" s="55" t="s">
        <v>227</v>
      </c>
      <c r="C234" s="56">
        <v>-3420</v>
      </c>
      <c r="D234" s="56">
        <f t="shared" si="3"/>
        <v>15470</v>
      </c>
    </row>
    <row r="235" spans="1:4" ht="18.75" x14ac:dyDescent="0.3">
      <c r="A235" s="54">
        <v>46174</v>
      </c>
      <c r="B235" s="55" t="s">
        <v>3</v>
      </c>
      <c r="C235" s="56">
        <v>3000</v>
      </c>
      <c r="D235" s="56">
        <f t="shared" si="3"/>
        <v>18470</v>
      </c>
    </row>
    <row r="236" spans="1:4" ht="18.75" x14ac:dyDescent="0.3">
      <c r="A236" s="54">
        <v>46175</v>
      </c>
      <c r="B236" s="55" t="s">
        <v>3</v>
      </c>
      <c r="C236" s="56">
        <v>4090</v>
      </c>
      <c r="D236" s="56">
        <f t="shared" si="3"/>
        <v>22560</v>
      </c>
    </row>
    <row r="237" spans="1:4" ht="18.75" x14ac:dyDescent="0.3">
      <c r="A237" s="54">
        <v>46177</v>
      </c>
      <c r="B237" s="55" t="s">
        <v>178</v>
      </c>
      <c r="C237" s="56">
        <v>-12330</v>
      </c>
      <c r="D237" s="56">
        <f t="shared" si="3"/>
        <v>10230</v>
      </c>
    </row>
    <row r="238" spans="1:4" ht="18.75" x14ac:dyDescent="0.3">
      <c r="A238" s="54">
        <v>46177</v>
      </c>
      <c r="B238" s="55" t="s">
        <v>3</v>
      </c>
      <c r="C238" s="56">
        <v>4480</v>
      </c>
      <c r="D238" s="56">
        <f t="shared" si="3"/>
        <v>14710</v>
      </c>
    </row>
    <row r="239" spans="1:4" ht="18.75" x14ac:dyDescent="0.3">
      <c r="A239" s="54">
        <v>46181</v>
      </c>
      <c r="B239" s="55" t="s">
        <v>3</v>
      </c>
      <c r="C239" s="56">
        <v>4050</v>
      </c>
      <c r="D239" s="56">
        <f t="shared" si="3"/>
        <v>18760</v>
      </c>
    </row>
    <row r="240" spans="1:4" ht="18.75" x14ac:dyDescent="0.3">
      <c r="A240" s="54">
        <v>46181</v>
      </c>
      <c r="B240" s="55" t="s">
        <v>453</v>
      </c>
      <c r="C240" s="56">
        <v>-9000</v>
      </c>
      <c r="D240" s="56">
        <f t="shared" si="3"/>
        <v>9760</v>
      </c>
    </row>
    <row r="241" spans="1:4" ht="18.75" x14ac:dyDescent="0.3">
      <c r="A241" s="54">
        <v>46181</v>
      </c>
      <c r="B241" s="55" t="s">
        <v>178</v>
      </c>
      <c r="C241" s="56">
        <v>-2000</v>
      </c>
      <c r="D241" s="56">
        <f t="shared" si="3"/>
        <v>7760</v>
      </c>
    </row>
    <row r="242" spans="1:4" ht="18.75" x14ac:dyDescent="0.3">
      <c r="A242" s="54">
        <v>46183</v>
      </c>
      <c r="B242" s="55" t="s">
        <v>227</v>
      </c>
      <c r="C242" s="56">
        <v>-1730</v>
      </c>
      <c r="D242" s="56">
        <f t="shared" si="3"/>
        <v>6030</v>
      </c>
    </row>
    <row r="243" spans="1:4" ht="18.75" x14ac:dyDescent="0.3">
      <c r="A243" s="54">
        <v>46184</v>
      </c>
      <c r="B243" s="55" t="s">
        <v>178</v>
      </c>
      <c r="C243" s="56">
        <v>-4050</v>
      </c>
      <c r="D243" s="56">
        <f t="shared" si="3"/>
        <v>1980</v>
      </c>
    </row>
    <row r="244" spans="1:4" ht="18.75" x14ac:dyDescent="0.3">
      <c r="A244" s="54">
        <v>46184</v>
      </c>
      <c r="B244" s="55" t="s">
        <v>3</v>
      </c>
      <c r="C244" s="56">
        <v>3710</v>
      </c>
      <c r="D244" s="56">
        <f t="shared" si="3"/>
        <v>5690</v>
      </c>
    </row>
    <row r="245" spans="1:4" ht="18.75" x14ac:dyDescent="0.3">
      <c r="A245" s="54">
        <v>46186</v>
      </c>
      <c r="B245" s="55" t="s">
        <v>129</v>
      </c>
      <c r="C245" s="56">
        <v>3070</v>
      </c>
      <c r="D245" s="56">
        <f t="shared" si="3"/>
        <v>8760</v>
      </c>
    </row>
    <row r="246" spans="1:4" ht="18.75" x14ac:dyDescent="0.3">
      <c r="A246" s="54">
        <v>46188</v>
      </c>
      <c r="B246" s="55" t="s">
        <v>3</v>
      </c>
      <c r="C246" s="56">
        <v>4970</v>
      </c>
      <c r="D246" s="56">
        <f t="shared" si="3"/>
        <v>13730</v>
      </c>
    </row>
    <row r="247" spans="1:4" ht="18.75" x14ac:dyDescent="0.3">
      <c r="A247" s="54">
        <v>46188</v>
      </c>
      <c r="B247" s="55" t="s">
        <v>178</v>
      </c>
      <c r="C247" s="56">
        <v>-4070</v>
      </c>
      <c r="D247" s="56">
        <f t="shared" si="3"/>
        <v>9660</v>
      </c>
    </row>
    <row r="248" spans="1:4" ht="18.75" x14ac:dyDescent="0.3">
      <c r="A248" s="54">
        <v>46189</v>
      </c>
      <c r="B248" s="55" t="s">
        <v>129</v>
      </c>
      <c r="C248" s="56">
        <v>4240</v>
      </c>
      <c r="D248" s="56">
        <f t="shared" si="3"/>
        <v>13900</v>
      </c>
    </row>
    <row r="249" spans="1:4" ht="18.75" x14ac:dyDescent="0.3">
      <c r="A249" s="54">
        <v>46191</v>
      </c>
      <c r="B249" s="55" t="s">
        <v>3</v>
      </c>
      <c r="C249" s="56">
        <v>3220</v>
      </c>
      <c r="D249" s="56">
        <f t="shared" si="3"/>
        <v>17120</v>
      </c>
    </row>
    <row r="250" spans="1:4" ht="18.75" x14ac:dyDescent="0.3">
      <c r="A250" s="54">
        <v>46191</v>
      </c>
      <c r="B250" s="55" t="s">
        <v>178</v>
      </c>
      <c r="C250" s="56">
        <v>-7000</v>
      </c>
      <c r="D250" s="56">
        <f t="shared" si="3"/>
        <v>10120</v>
      </c>
    </row>
    <row r="251" spans="1:4" ht="18.75" x14ac:dyDescent="0.3">
      <c r="A251" s="54">
        <v>46195</v>
      </c>
      <c r="B251" s="55" t="s">
        <v>3</v>
      </c>
      <c r="C251" s="56">
        <v>3740</v>
      </c>
      <c r="D251" s="56">
        <f t="shared" si="3"/>
        <v>13860</v>
      </c>
    </row>
    <row r="252" spans="1:4" ht="18.75" x14ac:dyDescent="0.3">
      <c r="A252" s="54">
        <v>46195</v>
      </c>
      <c r="B252" s="55" t="s">
        <v>178</v>
      </c>
      <c r="C252" s="56">
        <v>-10120</v>
      </c>
      <c r="D252" s="56">
        <f t="shared" si="3"/>
        <v>3740</v>
      </c>
    </row>
    <row r="253" spans="1:4" ht="18.75" x14ac:dyDescent="0.3">
      <c r="A253" s="54">
        <v>46198</v>
      </c>
      <c r="B253" s="55" t="s">
        <v>3</v>
      </c>
      <c r="C253" s="56">
        <v>4390</v>
      </c>
      <c r="D253" s="56">
        <f t="shared" si="3"/>
        <v>8130</v>
      </c>
    </row>
    <row r="254" spans="1:4" ht="18.75" x14ac:dyDescent="0.3">
      <c r="A254" s="54">
        <v>46198</v>
      </c>
      <c r="B254" s="55" t="s">
        <v>178</v>
      </c>
      <c r="C254" s="56">
        <v>-3740</v>
      </c>
      <c r="D254" s="56">
        <f t="shared" si="3"/>
        <v>4390</v>
      </c>
    </row>
    <row r="255" spans="1:4" ht="18.75" x14ac:dyDescent="0.3">
      <c r="A255" s="54">
        <v>46200</v>
      </c>
      <c r="B255" s="55" t="s">
        <v>148</v>
      </c>
      <c r="C255" s="56">
        <f>1500+300+200+200+170+200</f>
        <v>2570</v>
      </c>
      <c r="D255" s="56">
        <f t="shared" si="3"/>
        <v>6960</v>
      </c>
    </row>
    <row r="256" spans="1:4" ht="18.75" x14ac:dyDescent="0.3">
      <c r="A256" s="54">
        <v>46200</v>
      </c>
      <c r="B256" s="55" t="s">
        <v>148</v>
      </c>
      <c r="C256" s="56">
        <f>900+340+240+200</f>
        <v>1680</v>
      </c>
      <c r="D256" s="56">
        <f t="shared" si="3"/>
        <v>8640</v>
      </c>
    </row>
    <row r="257" spans="1:4" ht="18.75" x14ac:dyDescent="0.3">
      <c r="A257" s="54">
        <v>46202</v>
      </c>
      <c r="B257" s="55" t="s">
        <v>3</v>
      </c>
      <c r="C257" s="56">
        <f>1200+1500+240+340+180+200+170+350+170+200+280+300+350+100</f>
        <v>5580</v>
      </c>
      <c r="D257" s="56">
        <f t="shared" si="3"/>
        <v>14220</v>
      </c>
    </row>
    <row r="258" spans="1:4" ht="18.75" x14ac:dyDescent="0.3">
      <c r="A258" s="54">
        <v>46202</v>
      </c>
      <c r="B258" s="55" t="s">
        <v>178</v>
      </c>
      <c r="C258" s="56">
        <v>-8350</v>
      </c>
      <c r="D258" s="56">
        <f t="shared" si="3"/>
        <v>5870</v>
      </c>
    </row>
    <row r="259" spans="1:4" ht="18.75" x14ac:dyDescent="0.3">
      <c r="A259" s="54">
        <v>46205</v>
      </c>
      <c r="B259" s="55" t="s">
        <v>3</v>
      </c>
      <c r="C259" s="56">
        <f>1200+900+600+200+160+300+250+200+50+400+100</f>
        <v>4360</v>
      </c>
      <c r="D259" s="56">
        <f t="shared" si="3"/>
        <v>10230</v>
      </c>
    </row>
    <row r="260" spans="1:4" ht="18.75" x14ac:dyDescent="0.3">
      <c r="A260" s="54">
        <v>46205</v>
      </c>
      <c r="B260" s="55" t="s">
        <v>178</v>
      </c>
      <c r="C260" s="56">
        <v>-5870</v>
      </c>
      <c r="D260" s="56">
        <f t="shared" si="3"/>
        <v>4360</v>
      </c>
    </row>
    <row r="261" spans="1:4" ht="18.75" x14ac:dyDescent="0.3">
      <c r="A261" s="54">
        <v>46209</v>
      </c>
      <c r="B261" s="55" t="s">
        <v>178</v>
      </c>
      <c r="C261" s="56">
        <v>-4360</v>
      </c>
      <c r="D261" s="56">
        <f t="shared" si="3"/>
        <v>0</v>
      </c>
    </row>
    <row r="262" spans="1:4" ht="18.75" x14ac:dyDescent="0.3">
      <c r="A262" s="54">
        <v>46209</v>
      </c>
      <c r="B262" s="55" t="s">
        <v>3</v>
      </c>
      <c r="C262" s="56">
        <f>1200+900+700+360+160+940+300+600+280</f>
        <v>5440</v>
      </c>
      <c r="D262" s="56">
        <f t="shared" si="3"/>
        <v>5440</v>
      </c>
    </row>
    <row r="263" spans="1:4" ht="18.75" x14ac:dyDescent="0.3">
      <c r="A263" s="54">
        <v>46212</v>
      </c>
      <c r="B263" s="55" t="s">
        <v>3</v>
      </c>
      <c r="C263" s="56">
        <v>2310</v>
      </c>
      <c r="D263" s="56">
        <f t="shared" si="3"/>
        <v>7750</v>
      </c>
    </row>
    <row r="264" spans="1:4" ht="18.75" x14ac:dyDescent="0.3">
      <c r="A264" s="54">
        <v>46212</v>
      </c>
      <c r="B264" s="55" t="s">
        <v>493</v>
      </c>
      <c r="C264" s="56">
        <v>-5440</v>
      </c>
      <c r="D264" s="56">
        <f t="shared" si="3"/>
        <v>2310</v>
      </c>
    </row>
    <row r="265" spans="1:4" ht="18.75" x14ac:dyDescent="0.3">
      <c r="A265" s="54">
        <v>46216</v>
      </c>
      <c r="B265" s="55" t="s">
        <v>178</v>
      </c>
      <c r="C265" s="56">
        <v>-2310</v>
      </c>
      <c r="D265" s="56">
        <f t="shared" si="3"/>
        <v>0</v>
      </c>
    </row>
    <row r="266" spans="1:4" ht="18.75" x14ac:dyDescent="0.3">
      <c r="A266" s="54">
        <v>46216</v>
      </c>
      <c r="B266" s="55" t="s">
        <v>3</v>
      </c>
      <c r="C266" s="56">
        <v>4890</v>
      </c>
      <c r="D266" s="56">
        <f t="shared" si="3"/>
        <v>4890</v>
      </c>
    </row>
    <row r="267" spans="1:4" ht="18.75" x14ac:dyDescent="0.3">
      <c r="A267" s="54">
        <v>46219</v>
      </c>
      <c r="B267" s="55" t="s">
        <v>3</v>
      </c>
      <c r="C267" s="56">
        <v>1200</v>
      </c>
      <c r="D267" s="56">
        <f t="shared" si="3"/>
        <v>6090</v>
      </c>
    </row>
    <row r="268" spans="1:4" ht="18.75" x14ac:dyDescent="0.3">
      <c r="A268" s="54">
        <v>46219</v>
      </c>
      <c r="B268" s="55" t="s">
        <v>178</v>
      </c>
      <c r="C268" s="56">
        <v>-4000</v>
      </c>
      <c r="D268" s="56">
        <f t="shared" ref="D268:D320" si="4">D267+C268</f>
        <v>2090</v>
      </c>
    </row>
    <row r="269" spans="1:4" ht="18.75" x14ac:dyDescent="0.3">
      <c r="A269" s="54">
        <v>46221</v>
      </c>
      <c r="B269" s="55" t="s">
        <v>148</v>
      </c>
      <c r="C269" s="56">
        <v>2020</v>
      </c>
      <c r="D269" s="56">
        <f t="shared" si="4"/>
        <v>4110</v>
      </c>
    </row>
    <row r="270" spans="1:4" ht="18.75" x14ac:dyDescent="0.3">
      <c r="A270" s="54">
        <v>46223</v>
      </c>
      <c r="B270" s="55" t="s">
        <v>3</v>
      </c>
      <c r="C270" s="56">
        <v>3890</v>
      </c>
      <c r="D270" s="56">
        <f t="shared" si="4"/>
        <v>8000</v>
      </c>
    </row>
    <row r="271" spans="1:4" ht="18.75" x14ac:dyDescent="0.3">
      <c r="A271" s="54">
        <v>46223</v>
      </c>
      <c r="B271" s="55" t="s">
        <v>178</v>
      </c>
      <c r="C271" s="56">
        <v>-4110</v>
      </c>
      <c r="D271" s="56">
        <f t="shared" si="4"/>
        <v>3890</v>
      </c>
    </row>
    <row r="272" spans="1:4" ht="18.75" x14ac:dyDescent="0.3">
      <c r="A272" s="54">
        <v>46226</v>
      </c>
      <c r="B272" s="55" t="s">
        <v>3</v>
      </c>
      <c r="C272" s="56">
        <f>1800+960+340+370+270</f>
        <v>3740</v>
      </c>
      <c r="D272" s="56">
        <f t="shared" si="4"/>
        <v>7630</v>
      </c>
    </row>
    <row r="273" spans="1:6" ht="18.75" x14ac:dyDescent="0.3">
      <c r="A273" s="54">
        <v>46226</v>
      </c>
      <c r="B273" s="55" t="s">
        <v>178</v>
      </c>
      <c r="C273" s="56">
        <v>-2000</v>
      </c>
      <c r="D273" s="56">
        <f t="shared" si="4"/>
        <v>5630</v>
      </c>
    </row>
    <row r="274" spans="1:6" ht="18.75" x14ac:dyDescent="0.3">
      <c r="A274" s="54">
        <v>46230</v>
      </c>
      <c r="B274" s="55" t="s">
        <v>3</v>
      </c>
      <c r="C274" s="56">
        <v>6280</v>
      </c>
      <c r="D274" s="56">
        <f t="shared" si="4"/>
        <v>11910</v>
      </c>
    </row>
    <row r="275" spans="1:6" ht="18.75" x14ac:dyDescent="0.3">
      <c r="A275" s="54">
        <v>46230</v>
      </c>
      <c r="B275" s="55" t="s">
        <v>178</v>
      </c>
      <c r="C275" s="56">
        <v>-3740</v>
      </c>
      <c r="D275" s="56">
        <f t="shared" si="4"/>
        <v>8170</v>
      </c>
    </row>
    <row r="276" spans="1:6" ht="18.75" x14ac:dyDescent="0.3">
      <c r="A276" s="54">
        <v>46233</v>
      </c>
      <c r="B276" s="55" t="s">
        <v>3</v>
      </c>
      <c r="C276" s="56">
        <v>4170</v>
      </c>
      <c r="D276" s="56">
        <f t="shared" si="4"/>
        <v>12340</v>
      </c>
    </row>
    <row r="277" spans="1:6" ht="18.75" x14ac:dyDescent="0.3">
      <c r="A277" s="54">
        <v>46233</v>
      </c>
      <c r="B277" s="55" t="s">
        <v>178</v>
      </c>
      <c r="C277" s="56">
        <v>-4500</v>
      </c>
      <c r="D277" s="56">
        <f t="shared" si="4"/>
        <v>7840</v>
      </c>
    </row>
    <row r="278" spans="1:6" ht="18.75" x14ac:dyDescent="0.3">
      <c r="A278" s="54">
        <v>46236</v>
      </c>
      <c r="B278" s="55" t="s">
        <v>3</v>
      </c>
      <c r="C278" s="56">
        <v>4470</v>
      </c>
      <c r="D278" s="56">
        <f t="shared" si="4"/>
        <v>12310</v>
      </c>
    </row>
    <row r="279" spans="1:6" ht="18.75" x14ac:dyDescent="0.3">
      <c r="A279" s="54">
        <v>46237</v>
      </c>
      <c r="B279" s="55" t="s">
        <v>3</v>
      </c>
      <c r="C279" s="56">
        <v>1200</v>
      </c>
      <c r="D279" s="56">
        <f t="shared" si="4"/>
        <v>13510</v>
      </c>
    </row>
    <row r="280" spans="1:6" ht="18.75" x14ac:dyDescent="0.3">
      <c r="A280" s="54">
        <v>46237</v>
      </c>
      <c r="B280" s="55" t="s">
        <v>178</v>
      </c>
      <c r="C280" s="56">
        <v>-5500</v>
      </c>
      <c r="D280" s="56">
        <f t="shared" si="4"/>
        <v>8010</v>
      </c>
    </row>
    <row r="281" spans="1:6" ht="18.75" x14ac:dyDescent="0.3">
      <c r="A281" s="54">
        <v>46241</v>
      </c>
      <c r="B281" s="55" t="s">
        <v>3</v>
      </c>
      <c r="C281" s="56">
        <v>1140</v>
      </c>
      <c r="D281" s="56">
        <f t="shared" si="4"/>
        <v>9150</v>
      </c>
      <c r="F281" s="6"/>
    </row>
    <row r="282" spans="1:6" ht="18.75" x14ac:dyDescent="0.3">
      <c r="A282" s="54">
        <v>46241</v>
      </c>
      <c r="B282" s="55" t="s">
        <v>178</v>
      </c>
      <c r="C282" s="56">
        <v>-5670</v>
      </c>
      <c r="D282" s="56">
        <f t="shared" si="4"/>
        <v>3480</v>
      </c>
    </row>
    <row r="283" spans="1:6" ht="18.75" x14ac:dyDescent="0.3">
      <c r="A283" s="54">
        <v>46244</v>
      </c>
      <c r="B283" s="55" t="s">
        <v>3</v>
      </c>
      <c r="C283" s="56">
        <v>5440</v>
      </c>
      <c r="D283" s="56">
        <f t="shared" si="4"/>
        <v>8920</v>
      </c>
    </row>
    <row r="284" spans="1:6" ht="18.75" x14ac:dyDescent="0.3">
      <c r="A284" s="54">
        <v>46244</v>
      </c>
      <c r="B284" s="55" t="s">
        <v>178</v>
      </c>
      <c r="C284" s="56">
        <v>-3480</v>
      </c>
      <c r="D284" s="56">
        <f t="shared" si="4"/>
        <v>5440</v>
      </c>
    </row>
    <row r="285" spans="1:6" ht="18.75" x14ac:dyDescent="0.3">
      <c r="A285" s="54">
        <v>46247</v>
      </c>
      <c r="B285" s="55" t="s">
        <v>3</v>
      </c>
      <c r="C285" s="56">
        <v>3050</v>
      </c>
      <c r="D285" s="56">
        <f t="shared" si="4"/>
        <v>8490</v>
      </c>
    </row>
    <row r="286" spans="1:6" ht="18.75" x14ac:dyDescent="0.3">
      <c r="A286" s="54">
        <v>46247</v>
      </c>
      <c r="B286" s="55" t="s">
        <v>178</v>
      </c>
      <c r="C286" s="56">
        <v>-3000</v>
      </c>
      <c r="D286" s="56">
        <f t="shared" si="4"/>
        <v>5490</v>
      </c>
    </row>
    <row r="287" spans="1:6" ht="18.75" x14ac:dyDescent="0.3">
      <c r="A287" s="54">
        <v>46190</v>
      </c>
      <c r="B287" s="55" t="s">
        <v>3</v>
      </c>
      <c r="C287" s="56">
        <v>3520</v>
      </c>
      <c r="D287" s="56">
        <f t="shared" si="4"/>
        <v>9010</v>
      </c>
    </row>
    <row r="288" spans="1:6" ht="18.75" x14ac:dyDescent="0.3">
      <c r="A288" s="54">
        <v>46251</v>
      </c>
      <c r="B288" s="55" t="s">
        <v>178</v>
      </c>
      <c r="C288" s="56">
        <v>-3050</v>
      </c>
      <c r="D288" s="56">
        <f t="shared" si="4"/>
        <v>5960</v>
      </c>
    </row>
    <row r="289" spans="1:4" ht="18.75" x14ac:dyDescent="0.3">
      <c r="A289" s="54">
        <v>46254</v>
      </c>
      <c r="B289" s="55" t="s">
        <v>3</v>
      </c>
      <c r="C289" s="56">
        <v>3960</v>
      </c>
      <c r="D289" s="56">
        <f t="shared" si="4"/>
        <v>9920</v>
      </c>
    </row>
    <row r="290" spans="1:4" ht="18.75" x14ac:dyDescent="0.3">
      <c r="A290" s="54">
        <v>46254</v>
      </c>
      <c r="B290" s="55" t="s">
        <v>178</v>
      </c>
      <c r="C290" s="56">
        <v>-2500</v>
      </c>
      <c r="D290" s="56">
        <f t="shared" si="4"/>
        <v>7420</v>
      </c>
    </row>
    <row r="291" spans="1:4" ht="18.75" x14ac:dyDescent="0.3">
      <c r="A291" s="54">
        <v>46258</v>
      </c>
      <c r="B291" s="55" t="s">
        <v>3</v>
      </c>
      <c r="C291" s="56">
        <v>2720</v>
      </c>
      <c r="D291" s="56">
        <f t="shared" si="4"/>
        <v>10140</v>
      </c>
    </row>
    <row r="292" spans="1:4" ht="18.75" x14ac:dyDescent="0.3">
      <c r="A292" s="54">
        <v>46258</v>
      </c>
      <c r="B292" s="55" t="s">
        <v>178</v>
      </c>
      <c r="C292" s="56">
        <v>-3960</v>
      </c>
      <c r="D292" s="56">
        <f t="shared" si="4"/>
        <v>6180</v>
      </c>
    </row>
    <row r="293" spans="1:4" ht="18.75" x14ac:dyDescent="0.3">
      <c r="A293" s="54">
        <v>46261</v>
      </c>
      <c r="B293" s="55" t="s">
        <v>3</v>
      </c>
      <c r="C293" s="56">
        <v>3130</v>
      </c>
      <c r="D293" s="56">
        <f t="shared" si="4"/>
        <v>9310</v>
      </c>
    </row>
    <row r="294" spans="1:4" ht="18.75" x14ac:dyDescent="0.3">
      <c r="A294" s="54">
        <v>46261</v>
      </c>
      <c r="B294" s="55" t="s">
        <v>178</v>
      </c>
      <c r="C294" s="56">
        <v>-4000</v>
      </c>
      <c r="D294" s="56">
        <f t="shared" si="4"/>
        <v>5310</v>
      </c>
    </row>
    <row r="295" spans="1:4" ht="18.75" x14ac:dyDescent="0.3">
      <c r="A295" s="54">
        <v>46265</v>
      </c>
      <c r="B295" s="55" t="s">
        <v>3</v>
      </c>
      <c r="C295" s="56">
        <v>2950</v>
      </c>
      <c r="D295" s="56">
        <f t="shared" si="4"/>
        <v>8260</v>
      </c>
    </row>
    <row r="296" spans="1:4" ht="18.75" x14ac:dyDescent="0.3">
      <c r="A296" s="54">
        <v>46268</v>
      </c>
      <c r="B296" s="55" t="s">
        <v>3</v>
      </c>
      <c r="C296" s="56">
        <v>3500</v>
      </c>
      <c r="D296" s="56">
        <f t="shared" si="4"/>
        <v>11760</v>
      </c>
    </row>
    <row r="297" spans="1:4" ht="18.75" x14ac:dyDescent="0.3">
      <c r="A297" s="54">
        <v>46268</v>
      </c>
      <c r="B297" s="55" t="s">
        <v>178</v>
      </c>
      <c r="C297" s="56">
        <v>-4000</v>
      </c>
      <c r="D297" s="56">
        <f t="shared" si="4"/>
        <v>7760</v>
      </c>
    </row>
    <row r="298" spans="1:4" ht="18.75" x14ac:dyDescent="0.3">
      <c r="A298" s="54">
        <v>46272</v>
      </c>
      <c r="B298" s="55" t="s">
        <v>3</v>
      </c>
      <c r="C298" s="56">
        <v>2930</v>
      </c>
      <c r="D298" s="56">
        <f t="shared" si="4"/>
        <v>10690</v>
      </c>
    </row>
    <row r="299" spans="1:4" ht="18.75" x14ac:dyDescent="0.3">
      <c r="A299" s="54">
        <v>46272</v>
      </c>
      <c r="B299" s="55" t="s">
        <v>178</v>
      </c>
      <c r="C299" s="56">
        <v>-2500</v>
      </c>
      <c r="D299" s="56">
        <f t="shared" si="4"/>
        <v>8190</v>
      </c>
    </row>
    <row r="300" spans="1:4" ht="18.75" x14ac:dyDescent="0.3">
      <c r="A300" s="54">
        <v>46275</v>
      </c>
      <c r="B300" s="55" t="s">
        <v>97</v>
      </c>
      <c r="C300" s="56">
        <v>4890</v>
      </c>
      <c r="D300" s="56">
        <f t="shared" si="4"/>
        <v>13080</v>
      </c>
    </row>
    <row r="301" spans="1:4" ht="18.75" x14ac:dyDescent="0.3">
      <c r="A301" s="54">
        <v>46275</v>
      </c>
      <c r="B301" s="55" t="s">
        <v>178</v>
      </c>
      <c r="C301" s="56">
        <v>-5500</v>
      </c>
      <c r="D301" s="56">
        <f t="shared" si="4"/>
        <v>7580</v>
      </c>
    </row>
    <row r="302" spans="1:4" ht="18.75" x14ac:dyDescent="0.3">
      <c r="A302" s="54">
        <v>46277</v>
      </c>
      <c r="B302" s="55" t="s">
        <v>148</v>
      </c>
      <c r="C302" s="56">
        <v>2840</v>
      </c>
      <c r="D302" s="56">
        <f t="shared" si="4"/>
        <v>10420</v>
      </c>
    </row>
    <row r="303" spans="1:4" ht="18.75" x14ac:dyDescent="0.3">
      <c r="A303" s="54">
        <v>46279</v>
      </c>
      <c r="B303" s="55" t="s">
        <v>3</v>
      </c>
      <c r="C303" s="56">
        <v>3060</v>
      </c>
      <c r="D303" s="56">
        <f t="shared" si="4"/>
        <v>13480</v>
      </c>
    </row>
    <row r="304" spans="1:4" ht="18.75" x14ac:dyDescent="0.3">
      <c r="A304" s="54">
        <v>46279</v>
      </c>
      <c r="B304" s="55" t="s">
        <v>178</v>
      </c>
      <c r="C304" s="56">
        <v>-10480</v>
      </c>
      <c r="D304" s="56">
        <f t="shared" si="4"/>
        <v>3000</v>
      </c>
    </row>
    <row r="305" spans="1:4" ht="18.75" x14ac:dyDescent="0.3">
      <c r="A305" s="54">
        <v>46282</v>
      </c>
      <c r="B305" s="55" t="s">
        <v>3</v>
      </c>
      <c r="C305" s="56">
        <v>7810</v>
      </c>
      <c r="D305" s="56">
        <f t="shared" si="4"/>
        <v>10810</v>
      </c>
    </row>
    <row r="306" spans="1:4" ht="18.75" x14ac:dyDescent="0.3">
      <c r="A306" s="54">
        <v>46286</v>
      </c>
      <c r="B306" s="55" t="s">
        <v>3</v>
      </c>
      <c r="C306" s="56">
        <v>8890</v>
      </c>
      <c r="D306" s="56">
        <f t="shared" si="4"/>
        <v>19700</v>
      </c>
    </row>
    <row r="307" spans="1:4" ht="18.75" x14ac:dyDescent="0.3">
      <c r="A307" s="54">
        <v>46286</v>
      </c>
      <c r="B307" s="55" t="s">
        <v>178</v>
      </c>
      <c r="C307" s="56">
        <v>-6500</v>
      </c>
      <c r="D307" s="56">
        <f t="shared" si="4"/>
        <v>13200</v>
      </c>
    </row>
    <row r="308" spans="1:4" ht="18.75" x14ac:dyDescent="0.3">
      <c r="A308" s="54">
        <v>46287</v>
      </c>
      <c r="B308" s="55" t="s">
        <v>129</v>
      </c>
      <c r="C308" s="56">
        <v>4000</v>
      </c>
      <c r="D308" s="56">
        <f t="shared" si="4"/>
        <v>17200</v>
      </c>
    </row>
    <row r="309" spans="1:4" ht="18.75" x14ac:dyDescent="0.3">
      <c r="A309" s="54">
        <v>46289</v>
      </c>
      <c r="B309" s="55" t="s">
        <v>3</v>
      </c>
      <c r="C309" s="56">
        <v>1380</v>
      </c>
      <c r="D309" s="56">
        <f t="shared" si="4"/>
        <v>18580</v>
      </c>
    </row>
    <row r="310" spans="1:4" ht="18.75" x14ac:dyDescent="0.3">
      <c r="A310" s="54">
        <v>46289</v>
      </c>
      <c r="B310" s="55" t="s">
        <v>178</v>
      </c>
      <c r="C310" s="56">
        <v>-12000</v>
      </c>
      <c r="D310" s="56">
        <f t="shared" si="4"/>
        <v>6580</v>
      </c>
    </row>
    <row r="311" spans="1:4" ht="18.75" x14ac:dyDescent="0.3">
      <c r="A311" s="54">
        <v>46293</v>
      </c>
      <c r="B311" s="55" t="s">
        <v>3</v>
      </c>
      <c r="C311" s="56">
        <v>5060</v>
      </c>
      <c r="D311" s="56">
        <f t="shared" si="4"/>
        <v>11640</v>
      </c>
    </row>
    <row r="312" spans="1:4" ht="18.75" x14ac:dyDescent="0.3">
      <c r="A312" s="54">
        <v>46293</v>
      </c>
      <c r="B312" s="55" t="s">
        <v>178</v>
      </c>
      <c r="C312" s="56">
        <v>-8000</v>
      </c>
      <c r="D312" s="56">
        <f t="shared" si="4"/>
        <v>3640</v>
      </c>
    </row>
    <row r="313" spans="1:4" ht="18.75" x14ac:dyDescent="0.3">
      <c r="A313" s="54">
        <v>46296</v>
      </c>
      <c r="B313" s="55" t="s">
        <v>3</v>
      </c>
      <c r="C313" s="56">
        <v>2910</v>
      </c>
      <c r="D313" s="56">
        <f t="shared" si="4"/>
        <v>6550</v>
      </c>
    </row>
    <row r="314" spans="1:4" ht="18.75" x14ac:dyDescent="0.3">
      <c r="A314" s="54">
        <v>46300</v>
      </c>
      <c r="B314" s="55" t="s">
        <v>178</v>
      </c>
      <c r="C314" s="56">
        <v>-6550</v>
      </c>
      <c r="D314" s="56">
        <f t="shared" si="4"/>
        <v>0</v>
      </c>
    </row>
    <row r="315" spans="1:4" ht="18.75" x14ac:dyDescent="0.3">
      <c r="A315" s="54">
        <v>46300</v>
      </c>
      <c r="B315" s="55" t="s">
        <v>589</v>
      </c>
      <c r="C315" s="56">
        <v>7340</v>
      </c>
      <c r="D315" s="56">
        <f t="shared" si="4"/>
        <v>7340</v>
      </c>
    </row>
    <row r="316" spans="1:4" ht="18.75" x14ac:dyDescent="0.3">
      <c r="A316" s="54"/>
      <c r="B316" s="55"/>
      <c r="C316" s="56"/>
      <c r="D316" s="56">
        <f t="shared" si="4"/>
        <v>7340</v>
      </c>
    </row>
    <row r="317" spans="1:4" ht="18.75" x14ac:dyDescent="0.3">
      <c r="A317" s="54"/>
      <c r="B317" s="55"/>
      <c r="C317" s="56"/>
      <c r="D317" s="56">
        <f t="shared" si="4"/>
        <v>7340</v>
      </c>
    </row>
    <row r="318" spans="1:4" ht="18.75" x14ac:dyDescent="0.3">
      <c r="A318" s="54"/>
      <c r="B318" s="55"/>
      <c r="C318" s="56"/>
      <c r="D318" s="56">
        <f t="shared" si="4"/>
        <v>7340</v>
      </c>
    </row>
    <row r="319" spans="1:4" ht="18.75" x14ac:dyDescent="0.3">
      <c r="A319" s="54"/>
      <c r="B319" s="55"/>
      <c r="C319" s="56"/>
      <c r="D319" s="56">
        <f t="shared" si="4"/>
        <v>7340</v>
      </c>
    </row>
    <row r="320" spans="1:4" ht="18.75" x14ac:dyDescent="0.3">
      <c r="A320" s="54"/>
      <c r="B320" s="55"/>
      <c r="C320" s="56"/>
      <c r="D320" s="56">
        <f t="shared" si="4"/>
        <v>7340</v>
      </c>
    </row>
    <row r="331" spans="15:15" x14ac:dyDescent="0.25">
      <c r="O331">
        <v>256</v>
      </c>
    </row>
  </sheetData>
  <mergeCells count="2">
    <mergeCell ref="A4:D4"/>
    <mergeCell ref="B6:D6"/>
  </mergeCells>
  <pageMargins left="0.7" right="0.7" top="0.75" bottom="0.75" header="0.3" footer="0.3"/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9372B-9BE4-43A2-8ABA-D765F488FA1A}">
  <dimension ref="A1:I36"/>
  <sheetViews>
    <sheetView topLeftCell="A7" workbookViewId="0">
      <selection activeCell="H32" sqref="H32"/>
    </sheetView>
  </sheetViews>
  <sheetFormatPr baseColWidth="10" defaultRowHeight="15" x14ac:dyDescent="0.25"/>
  <cols>
    <col min="6" max="6" width="19.28515625" customWidth="1"/>
    <col min="7" max="7" width="23.28515625" customWidth="1"/>
    <col min="8" max="8" width="18.42578125" customWidth="1"/>
    <col min="9" max="9" width="19.28515625" customWidth="1"/>
  </cols>
  <sheetData>
    <row r="1" spans="1:9" x14ac:dyDescent="0.25">
      <c r="A1" t="s">
        <v>439</v>
      </c>
    </row>
    <row r="5" spans="1:9" x14ac:dyDescent="0.25">
      <c r="F5" s="2" t="s">
        <v>1</v>
      </c>
      <c r="G5" s="103" t="s">
        <v>440</v>
      </c>
      <c r="H5" s="104"/>
      <c r="I5" s="104"/>
    </row>
    <row r="6" spans="1:9" x14ac:dyDescent="0.25">
      <c r="F6" s="3" t="s">
        <v>11</v>
      </c>
      <c r="G6" s="4" t="s">
        <v>27</v>
      </c>
      <c r="H6" s="4"/>
      <c r="I6" s="4"/>
    </row>
    <row r="7" spans="1:9" x14ac:dyDescent="0.25">
      <c r="G7" s="5"/>
      <c r="H7" s="6"/>
      <c r="I7" s="6"/>
    </row>
    <row r="8" spans="1:9" x14ac:dyDescent="0.25">
      <c r="F8" s="2" t="s">
        <v>2</v>
      </c>
      <c r="G8" s="2" t="s">
        <v>3</v>
      </c>
      <c r="H8" s="7" t="s">
        <v>4</v>
      </c>
      <c r="I8" s="7" t="s">
        <v>5</v>
      </c>
    </row>
    <row r="9" spans="1:9" x14ac:dyDescent="0.25">
      <c r="F9" s="8">
        <v>46163</v>
      </c>
      <c r="G9" s="9" t="s">
        <v>3</v>
      </c>
      <c r="H9" s="10">
        <v>890</v>
      </c>
      <c r="I9" s="10">
        <f>H9</f>
        <v>890</v>
      </c>
    </row>
    <row r="10" spans="1:9" x14ac:dyDescent="0.25">
      <c r="F10" s="8">
        <v>46163</v>
      </c>
      <c r="G10" s="9" t="s">
        <v>178</v>
      </c>
      <c r="H10" s="10">
        <v>-890</v>
      </c>
      <c r="I10" s="10">
        <f t="shared" ref="I10:I36" si="0">I9+H10</f>
        <v>0</v>
      </c>
    </row>
    <row r="11" spans="1:9" x14ac:dyDescent="0.25">
      <c r="F11" s="8">
        <v>46170</v>
      </c>
      <c r="G11" s="9" t="s">
        <v>3</v>
      </c>
      <c r="H11" s="10">
        <v>380</v>
      </c>
      <c r="I11" s="10">
        <f t="shared" si="0"/>
        <v>380</v>
      </c>
    </row>
    <row r="12" spans="1:9" x14ac:dyDescent="0.25">
      <c r="F12" s="8">
        <v>46170</v>
      </c>
      <c r="G12" s="9" t="s">
        <v>178</v>
      </c>
      <c r="H12" s="10">
        <v>-380</v>
      </c>
      <c r="I12" s="10">
        <f t="shared" si="0"/>
        <v>0</v>
      </c>
    </row>
    <row r="13" spans="1:9" x14ac:dyDescent="0.25">
      <c r="F13" s="8">
        <v>46184</v>
      </c>
      <c r="G13" s="9" t="s">
        <v>3</v>
      </c>
      <c r="H13" s="10">
        <v>1020</v>
      </c>
      <c r="I13" s="10">
        <f t="shared" si="0"/>
        <v>1020</v>
      </c>
    </row>
    <row r="14" spans="1:9" x14ac:dyDescent="0.25">
      <c r="F14" s="8">
        <v>46184</v>
      </c>
      <c r="G14" s="9" t="s">
        <v>178</v>
      </c>
      <c r="H14" s="10">
        <v>-1020</v>
      </c>
      <c r="I14" s="10">
        <f t="shared" si="0"/>
        <v>0</v>
      </c>
    </row>
    <row r="15" spans="1:9" x14ac:dyDescent="0.25">
      <c r="F15" s="8">
        <v>46191</v>
      </c>
      <c r="G15" s="9" t="s">
        <v>3</v>
      </c>
      <c r="H15" s="10">
        <v>1620</v>
      </c>
      <c r="I15" s="10">
        <f t="shared" si="0"/>
        <v>1620</v>
      </c>
    </row>
    <row r="16" spans="1:9" x14ac:dyDescent="0.25">
      <c r="F16" s="8">
        <v>46191</v>
      </c>
      <c r="G16" s="9" t="s">
        <v>178</v>
      </c>
      <c r="H16" s="10">
        <v>-1620</v>
      </c>
      <c r="I16" s="10">
        <f t="shared" si="0"/>
        <v>0</v>
      </c>
    </row>
    <row r="17" spans="6:9" x14ac:dyDescent="0.25">
      <c r="F17" s="8">
        <v>46195</v>
      </c>
      <c r="G17" s="9" t="s">
        <v>3</v>
      </c>
      <c r="H17" s="10">
        <v>900</v>
      </c>
      <c r="I17" s="10">
        <f t="shared" si="0"/>
        <v>900</v>
      </c>
    </row>
    <row r="18" spans="6:9" x14ac:dyDescent="0.25">
      <c r="F18" s="8">
        <v>46198</v>
      </c>
      <c r="G18" s="9" t="s">
        <v>406</v>
      </c>
      <c r="H18" s="10">
        <v>-900</v>
      </c>
      <c r="I18" s="10">
        <f t="shared" si="0"/>
        <v>0</v>
      </c>
    </row>
    <row r="19" spans="6:9" x14ac:dyDescent="0.25">
      <c r="F19" s="8">
        <v>46205</v>
      </c>
      <c r="G19" s="9" t="s">
        <v>487</v>
      </c>
      <c r="H19" s="10">
        <v>1070</v>
      </c>
      <c r="I19" s="10">
        <f t="shared" si="0"/>
        <v>1070</v>
      </c>
    </row>
    <row r="20" spans="6:9" x14ac:dyDescent="0.25">
      <c r="F20" s="8">
        <v>46205</v>
      </c>
      <c r="G20" s="9" t="s">
        <v>178</v>
      </c>
      <c r="H20" s="10">
        <v>-1070</v>
      </c>
      <c r="I20" s="10">
        <f t="shared" si="0"/>
        <v>0</v>
      </c>
    </row>
    <row r="21" spans="6:9" x14ac:dyDescent="0.25">
      <c r="F21" s="8">
        <v>46223</v>
      </c>
      <c r="G21" s="9" t="s">
        <v>3</v>
      </c>
      <c r="H21" s="10">
        <v>720</v>
      </c>
      <c r="I21" s="10">
        <f t="shared" si="0"/>
        <v>720</v>
      </c>
    </row>
    <row r="22" spans="6:9" x14ac:dyDescent="0.25">
      <c r="F22" s="8">
        <v>46223</v>
      </c>
      <c r="G22" s="9" t="s">
        <v>178</v>
      </c>
      <c r="H22" s="10">
        <v>-720</v>
      </c>
      <c r="I22" s="10">
        <f t="shared" si="0"/>
        <v>0</v>
      </c>
    </row>
    <row r="23" spans="6:9" x14ac:dyDescent="0.25">
      <c r="F23" s="8">
        <v>46241</v>
      </c>
      <c r="G23" s="9" t="s">
        <v>3</v>
      </c>
      <c r="H23" s="10">
        <v>2400</v>
      </c>
      <c r="I23" s="10">
        <f t="shared" si="0"/>
        <v>2400</v>
      </c>
    </row>
    <row r="24" spans="6:9" x14ac:dyDescent="0.25">
      <c r="F24" s="8">
        <v>46241</v>
      </c>
      <c r="G24" s="9" t="s">
        <v>178</v>
      </c>
      <c r="H24" s="10">
        <v>-2400</v>
      </c>
      <c r="I24" s="10">
        <f t="shared" si="0"/>
        <v>0</v>
      </c>
    </row>
    <row r="25" spans="6:9" x14ac:dyDescent="0.25">
      <c r="F25" s="8">
        <v>46247</v>
      </c>
      <c r="G25" s="9" t="s">
        <v>3</v>
      </c>
      <c r="H25" s="10">
        <v>1010</v>
      </c>
      <c r="I25" s="10">
        <f t="shared" si="0"/>
        <v>1010</v>
      </c>
    </row>
    <row r="26" spans="6:9" x14ac:dyDescent="0.25">
      <c r="F26" s="8">
        <v>46247</v>
      </c>
      <c r="G26" s="9" t="s">
        <v>178</v>
      </c>
      <c r="H26" s="10">
        <v>-1010</v>
      </c>
      <c r="I26" s="10">
        <f t="shared" si="0"/>
        <v>0</v>
      </c>
    </row>
    <row r="27" spans="6:9" x14ac:dyDescent="0.25">
      <c r="F27" s="8">
        <v>46254</v>
      </c>
      <c r="G27" s="9" t="s">
        <v>3</v>
      </c>
      <c r="H27" s="10">
        <v>1230</v>
      </c>
      <c r="I27" s="10">
        <f t="shared" si="0"/>
        <v>1230</v>
      </c>
    </row>
    <row r="28" spans="6:9" x14ac:dyDescent="0.25">
      <c r="F28" s="8">
        <v>46254</v>
      </c>
      <c r="G28" s="9" t="s">
        <v>178</v>
      </c>
      <c r="H28" s="10">
        <v>-1230</v>
      </c>
      <c r="I28" s="10">
        <f t="shared" si="0"/>
        <v>0</v>
      </c>
    </row>
    <row r="29" spans="6:9" x14ac:dyDescent="0.25">
      <c r="F29" s="8">
        <v>46282</v>
      </c>
      <c r="G29" s="9" t="s">
        <v>3</v>
      </c>
      <c r="H29" s="10">
        <v>4000</v>
      </c>
      <c r="I29" s="10">
        <f t="shared" si="0"/>
        <v>4000</v>
      </c>
    </row>
    <row r="30" spans="6:9" x14ac:dyDescent="0.25">
      <c r="F30" s="8">
        <v>46282</v>
      </c>
      <c r="G30" s="9" t="s">
        <v>178</v>
      </c>
      <c r="H30" s="10">
        <v>-4000</v>
      </c>
      <c r="I30" s="10">
        <f t="shared" si="0"/>
        <v>0</v>
      </c>
    </row>
    <row r="31" spans="6:9" x14ac:dyDescent="0.25">
      <c r="F31" s="8">
        <v>46296</v>
      </c>
      <c r="G31" s="9" t="s">
        <v>3</v>
      </c>
      <c r="H31" s="10">
        <v>1570</v>
      </c>
      <c r="I31" s="10">
        <f t="shared" si="0"/>
        <v>1570</v>
      </c>
    </row>
    <row r="32" spans="6:9" x14ac:dyDescent="0.25">
      <c r="F32" s="8">
        <v>46296</v>
      </c>
      <c r="G32" s="9" t="s">
        <v>178</v>
      </c>
      <c r="H32" s="10">
        <v>-1570</v>
      </c>
      <c r="I32" s="10">
        <f t="shared" si="0"/>
        <v>0</v>
      </c>
    </row>
    <row r="33" spans="6:9" x14ac:dyDescent="0.25">
      <c r="F33" s="8">
        <v>46300</v>
      </c>
      <c r="G33" s="9" t="s">
        <v>97</v>
      </c>
      <c r="H33" s="10">
        <v>820</v>
      </c>
      <c r="I33" s="10">
        <f t="shared" si="0"/>
        <v>820</v>
      </c>
    </row>
    <row r="34" spans="6:9" x14ac:dyDescent="0.25">
      <c r="F34" s="8">
        <v>46300</v>
      </c>
      <c r="G34" s="9" t="s">
        <v>178</v>
      </c>
      <c r="H34" s="10">
        <v>-820</v>
      </c>
      <c r="I34" s="10">
        <f t="shared" si="0"/>
        <v>0</v>
      </c>
    </row>
    <row r="35" spans="6:9" x14ac:dyDescent="0.25">
      <c r="F35" s="8"/>
      <c r="G35" s="9"/>
      <c r="H35" s="10"/>
      <c r="I35" s="10">
        <f t="shared" si="0"/>
        <v>0</v>
      </c>
    </row>
    <row r="36" spans="6:9" x14ac:dyDescent="0.25">
      <c r="F36" s="8"/>
      <c r="G36" s="9"/>
      <c r="H36" s="10"/>
      <c r="I36" s="10">
        <f t="shared" si="0"/>
        <v>0</v>
      </c>
    </row>
  </sheetData>
  <mergeCells count="1">
    <mergeCell ref="G5:I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8597-C0D3-408E-820A-03A5A3796FE0}">
  <sheetPr>
    <tabColor theme="6" tint="-0.249977111117893"/>
  </sheetPr>
  <dimension ref="A4:G190"/>
  <sheetViews>
    <sheetView topLeftCell="A108" workbookViewId="0">
      <selection activeCell="F132" sqref="F132"/>
    </sheetView>
  </sheetViews>
  <sheetFormatPr baseColWidth="10" defaultRowHeight="15" x14ac:dyDescent="0.25"/>
  <cols>
    <col min="1" max="1" width="28.28515625" customWidth="1"/>
    <col min="2" max="2" width="27.140625" customWidth="1"/>
    <col min="3" max="3" width="23.42578125" style="6" customWidth="1"/>
    <col min="4" max="4" width="21.85546875" style="6" customWidth="1"/>
  </cols>
  <sheetData>
    <row r="4" spans="1:7" ht="18" x14ac:dyDescent="0.25">
      <c r="A4" s="98" t="s">
        <v>0</v>
      </c>
      <c r="B4" s="98"/>
      <c r="C4" s="98"/>
      <c r="D4" s="98"/>
      <c r="E4" s="1"/>
      <c r="F4" s="1"/>
      <c r="G4" s="1"/>
    </row>
    <row r="6" spans="1:7" x14ac:dyDescent="0.25">
      <c r="A6" s="2" t="s">
        <v>1</v>
      </c>
      <c r="B6" s="96" t="s">
        <v>26</v>
      </c>
      <c r="C6" s="97"/>
      <c r="D6" s="97"/>
    </row>
    <row r="7" spans="1:7" x14ac:dyDescent="0.25">
      <c r="A7" s="3" t="s">
        <v>11</v>
      </c>
      <c r="B7" s="4" t="s">
        <v>43</v>
      </c>
      <c r="C7" s="4"/>
      <c r="D7" s="4"/>
    </row>
    <row r="8" spans="1:7" x14ac:dyDescent="0.25">
      <c r="B8" s="5"/>
    </row>
    <row r="9" spans="1:7" x14ac:dyDescent="0.25">
      <c r="A9" s="2" t="s">
        <v>2</v>
      </c>
      <c r="B9" s="2" t="s">
        <v>3</v>
      </c>
      <c r="C9" s="7" t="s">
        <v>4</v>
      </c>
      <c r="D9" s="7" t="s">
        <v>5</v>
      </c>
    </row>
    <row r="10" spans="1:7" x14ac:dyDescent="0.25">
      <c r="A10" s="8">
        <v>45838</v>
      </c>
      <c r="B10" s="9" t="s">
        <v>3</v>
      </c>
      <c r="C10" s="10">
        <v>650</v>
      </c>
      <c r="D10" s="10">
        <f>C10</f>
        <v>650</v>
      </c>
    </row>
    <row r="11" spans="1:7" x14ac:dyDescent="0.25">
      <c r="A11" s="8">
        <v>45838</v>
      </c>
      <c r="B11" s="9" t="s">
        <v>37</v>
      </c>
      <c r="C11" s="10">
        <v>-650</v>
      </c>
      <c r="D11" s="10">
        <f>D10+C11</f>
        <v>0</v>
      </c>
    </row>
    <row r="12" spans="1:7" x14ac:dyDescent="0.25">
      <c r="A12" s="8">
        <v>45841</v>
      </c>
      <c r="B12" s="9" t="s">
        <v>3</v>
      </c>
      <c r="C12" s="10">
        <v>350</v>
      </c>
      <c r="D12" s="10">
        <f t="shared" ref="D12:D75" si="0">D11+C12</f>
        <v>350</v>
      </c>
    </row>
    <row r="13" spans="1:7" x14ac:dyDescent="0.25">
      <c r="A13" s="8">
        <v>45848</v>
      </c>
      <c r="B13" s="9" t="s">
        <v>3</v>
      </c>
      <c r="C13" s="10">
        <v>350</v>
      </c>
      <c r="D13" s="10">
        <f t="shared" si="0"/>
        <v>700</v>
      </c>
    </row>
    <row r="14" spans="1:7" x14ac:dyDescent="0.25">
      <c r="A14" s="8">
        <v>45848</v>
      </c>
      <c r="B14" s="9" t="s">
        <v>7</v>
      </c>
      <c r="C14" s="10">
        <v>-700</v>
      </c>
      <c r="D14" s="10">
        <f t="shared" si="0"/>
        <v>0</v>
      </c>
    </row>
    <row r="15" spans="1:7" x14ac:dyDescent="0.25">
      <c r="A15" s="8">
        <v>45852</v>
      </c>
      <c r="B15" s="9" t="s">
        <v>3</v>
      </c>
      <c r="C15" s="10">
        <v>1070</v>
      </c>
      <c r="D15" s="11">
        <f t="shared" si="0"/>
        <v>1070</v>
      </c>
    </row>
    <row r="16" spans="1:7" x14ac:dyDescent="0.25">
      <c r="A16" s="8">
        <v>45855</v>
      </c>
      <c r="B16" s="9" t="s">
        <v>7</v>
      </c>
      <c r="C16" s="10">
        <v>-1070</v>
      </c>
      <c r="D16" s="10">
        <f t="shared" si="0"/>
        <v>0</v>
      </c>
    </row>
    <row r="17" spans="1:4" x14ac:dyDescent="0.25">
      <c r="A17" s="8">
        <v>45859</v>
      </c>
      <c r="B17" s="9" t="s">
        <v>3</v>
      </c>
      <c r="C17" s="10">
        <v>700</v>
      </c>
      <c r="D17" s="10">
        <f t="shared" si="0"/>
        <v>700</v>
      </c>
    </row>
    <row r="18" spans="1:4" x14ac:dyDescent="0.25">
      <c r="A18" s="8">
        <v>45862</v>
      </c>
      <c r="B18" s="9" t="s">
        <v>3</v>
      </c>
      <c r="C18" s="10">
        <v>300</v>
      </c>
      <c r="D18" s="10">
        <f t="shared" si="0"/>
        <v>1000</v>
      </c>
    </row>
    <row r="19" spans="1:4" x14ac:dyDescent="0.25">
      <c r="A19" s="8">
        <v>45862</v>
      </c>
      <c r="B19" s="9" t="s">
        <v>75</v>
      </c>
      <c r="C19" s="10">
        <v>-1000</v>
      </c>
      <c r="D19" s="10">
        <f t="shared" si="0"/>
        <v>0</v>
      </c>
    </row>
    <row r="20" spans="1:4" x14ac:dyDescent="0.25">
      <c r="A20" s="8">
        <v>45866</v>
      </c>
      <c r="B20" s="9" t="s">
        <v>3</v>
      </c>
      <c r="C20" s="10">
        <v>510</v>
      </c>
      <c r="D20" s="10">
        <f t="shared" si="0"/>
        <v>510</v>
      </c>
    </row>
    <row r="21" spans="1:4" x14ac:dyDescent="0.25">
      <c r="A21" s="8">
        <v>45866</v>
      </c>
      <c r="B21" s="9" t="s">
        <v>75</v>
      </c>
      <c r="C21" s="10">
        <v>-510</v>
      </c>
      <c r="D21" s="10">
        <f t="shared" si="0"/>
        <v>0</v>
      </c>
    </row>
    <row r="22" spans="1:4" x14ac:dyDescent="0.25">
      <c r="A22" s="8">
        <v>45869</v>
      </c>
      <c r="B22" s="9" t="s">
        <v>3</v>
      </c>
      <c r="C22" s="10">
        <v>980</v>
      </c>
      <c r="D22" s="10">
        <f t="shared" si="0"/>
        <v>980</v>
      </c>
    </row>
    <row r="23" spans="1:4" x14ac:dyDescent="0.25">
      <c r="A23" s="8">
        <v>45873</v>
      </c>
      <c r="B23" s="9" t="s">
        <v>3</v>
      </c>
      <c r="C23" s="10">
        <v>600</v>
      </c>
      <c r="D23" s="10">
        <f t="shared" si="0"/>
        <v>1580</v>
      </c>
    </row>
    <row r="24" spans="1:4" x14ac:dyDescent="0.25">
      <c r="A24" s="8">
        <v>45873</v>
      </c>
      <c r="B24" s="9" t="s">
        <v>75</v>
      </c>
      <c r="C24" s="10">
        <v>-1500</v>
      </c>
      <c r="D24" s="10">
        <f t="shared" si="0"/>
        <v>80</v>
      </c>
    </row>
    <row r="25" spans="1:4" x14ac:dyDescent="0.25">
      <c r="A25" s="8">
        <v>45883</v>
      </c>
      <c r="B25" s="9" t="s">
        <v>3</v>
      </c>
      <c r="C25" s="10">
        <v>520</v>
      </c>
      <c r="D25" s="10">
        <f>D24+C25</f>
        <v>600</v>
      </c>
    </row>
    <row r="26" spans="1:4" x14ac:dyDescent="0.25">
      <c r="A26" s="8">
        <v>45890</v>
      </c>
      <c r="B26" s="9" t="s">
        <v>46</v>
      </c>
      <c r="C26" s="10">
        <v>-600</v>
      </c>
      <c r="D26" s="10">
        <f t="shared" si="0"/>
        <v>0</v>
      </c>
    </row>
    <row r="27" spans="1:4" x14ac:dyDescent="0.25">
      <c r="A27" s="8">
        <v>45890</v>
      </c>
      <c r="B27" s="9" t="s">
        <v>3</v>
      </c>
      <c r="C27" s="10">
        <v>1200</v>
      </c>
      <c r="D27" s="10">
        <f t="shared" si="0"/>
        <v>1200</v>
      </c>
    </row>
    <row r="28" spans="1:4" x14ac:dyDescent="0.25">
      <c r="A28" s="8">
        <v>45890</v>
      </c>
      <c r="B28" s="9" t="s">
        <v>92</v>
      </c>
      <c r="C28" s="10">
        <v>-1200</v>
      </c>
      <c r="D28" s="10">
        <f t="shared" si="0"/>
        <v>0</v>
      </c>
    </row>
    <row r="29" spans="1:4" x14ac:dyDescent="0.25">
      <c r="A29" s="8">
        <v>45897</v>
      </c>
      <c r="B29" s="9" t="s">
        <v>3</v>
      </c>
      <c r="C29" s="10">
        <v>570</v>
      </c>
      <c r="D29" s="10">
        <f t="shared" si="0"/>
        <v>570</v>
      </c>
    </row>
    <row r="30" spans="1:4" x14ac:dyDescent="0.25">
      <c r="A30" s="8">
        <v>45897</v>
      </c>
      <c r="B30" s="9" t="s">
        <v>75</v>
      </c>
      <c r="C30" s="10">
        <v>-570</v>
      </c>
      <c r="D30" s="10">
        <f t="shared" si="0"/>
        <v>0</v>
      </c>
    </row>
    <row r="31" spans="1:4" x14ac:dyDescent="0.25">
      <c r="A31" s="8">
        <v>45918</v>
      </c>
      <c r="B31" s="9" t="s">
        <v>92</v>
      </c>
      <c r="C31" s="10">
        <v>-3240</v>
      </c>
      <c r="D31" s="10">
        <f t="shared" si="0"/>
        <v>-3240</v>
      </c>
    </row>
    <row r="32" spans="1:4" x14ac:dyDescent="0.25">
      <c r="A32" s="8">
        <v>45918</v>
      </c>
      <c r="B32" s="9" t="s">
        <v>3</v>
      </c>
      <c r="C32" s="10">
        <v>3240</v>
      </c>
      <c r="D32" s="10">
        <f t="shared" si="0"/>
        <v>0</v>
      </c>
    </row>
    <row r="33" spans="1:4" x14ac:dyDescent="0.25">
      <c r="A33" s="8">
        <v>45915</v>
      </c>
      <c r="B33" s="9" t="s">
        <v>3</v>
      </c>
      <c r="C33" s="10">
        <v>480</v>
      </c>
      <c r="D33" s="10">
        <f t="shared" si="0"/>
        <v>480</v>
      </c>
    </row>
    <row r="34" spans="1:4" x14ac:dyDescent="0.25">
      <c r="A34" s="8">
        <v>45918</v>
      </c>
      <c r="B34" s="9" t="s">
        <v>123</v>
      </c>
      <c r="C34" s="10">
        <v>-1480</v>
      </c>
      <c r="D34" s="10">
        <f t="shared" si="0"/>
        <v>-1000</v>
      </c>
    </row>
    <row r="35" spans="1:4" x14ac:dyDescent="0.25">
      <c r="A35" s="8">
        <v>45922</v>
      </c>
      <c r="B35" s="9" t="s">
        <v>3</v>
      </c>
      <c r="C35" s="10">
        <v>680</v>
      </c>
      <c r="D35" s="10">
        <f t="shared" si="0"/>
        <v>-320</v>
      </c>
    </row>
    <row r="36" spans="1:4" x14ac:dyDescent="0.25">
      <c r="A36" s="8">
        <v>45929</v>
      </c>
      <c r="B36" s="9" t="s">
        <v>3</v>
      </c>
      <c r="C36" s="10">
        <v>1170</v>
      </c>
      <c r="D36" s="10">
        <f t="shared" si="0"/>
        <v>850</v>
      </c>
    </row>
    <row r="37" spans="1:4" x14ac:dyDescent="0.25">
      <c r="A37" s="8">
        <v>45936</v>
      </c>
      <c r="B37" s="9" t="s">
        <v>46</v>
      </c>
      <c r="C37" s="10">
        <v>-1170</v>
      </c>
      <c r="D37" s="10">
        <f t="shared" si="0"/>
        <v>-320</v>
      </c>
    </row>
    <row r="38" spans="1:4" x14ac:dyDescent="0.25">
      <c r="A38" s="8">
        <v>45946</v>
      </c>
      <c r="B38" s="9" t="s">
        <v>3</v>
      </c>
      <c r="C38" s="10">
        <v>1170</v>
      </c>
      <c r="D38" s="10">
        <f t="shared" si="0"/>
        <v>850</v>
      </c>
    </row>
    <row r="39" spans="1:4" x14ac:dyDescent="0.25">
      <c r="A39" s="8">
        <v>45946</v>
      </c>
      <c r="B39" s="9" t="s">
        <v>178</v>
      </c>
      <c r="C39" s="10">
        <v>-1170</v>
      </c>
      <c r="D39" s="10">
        <f t="shared" si="0"/>
        <v>-320</v>
      </c>
    </row>
    <row r="40" spans="1:4" x14ac:dyDescent="0.25">
      <c r="A40" s="8">
        <v>45953</v>
      </c>
      <c r="B40" s="9" t="s">
        <v>3</v>
      </c>
      <c r="C40" s="10">
        <v>800</v>
      </c>
      <c r="D40" s="10">
        <f t="shared" si="0"/>
        <v>480</v>
      </c>
    </row>
    <row r="41" spans="1:4" x14ac:dyDescent="0.25">
      <c r="A41" s="8">
        <v>45953</v>
      </c>
      <c r="B41" s="9" t="s">
        <v>178</v>
      </c>
      <c r="C41" s="10">
        <v>-800</v>
      </c>
      <c r="D41" s="10">
        <f t="shared" si="0"/>
        <v>-320</v>
      </c>
    </row>
    <row r="42" spans="1:4" x14ac:dyDescent="0.25">
      <c r="A42" s="8">
        <v>45957</v>
      </c>
      <c r="B42" s="9" t="s">
        <v>3</v>
      </c>
      <c r="C42" s="10">
        <v>900</v>
      </c>
      <c r="D42" s="10">
        <f t="shared" si="0"/>
        <v>580</v>
      </c>
    </row>
    <row r="43" spans="1:4" x14ac:dyDescent="0.25">
      <c r="A43" s="8">
        <v>45957</v>
      </c>
      <c r="B43" s="9" t="s">
        <v>178</v>
      </c>
      <c r="C43" s="10">
        <v>-900</v>
      </c>
      <c r="D43" s="10">
        <f t="shared" si="0"/>
        <v>-320</v>
      </c>
    </row>
    <row r="44" spans="1:4" x14ac:dyDescent="0.25">
      <c r="A44" s="8">
        <v>45960</v>
      </c>
      <c r="B44" s="9" t="s">
        <v>3</v>
      </c>
      <c r="C44" s="10">
        <v>3280</v>
      </c>
      <c r="D44" s="10">
        <f t="shared" si="0"/>
        <v>2960</v>
      </c>
    </row>
    <row r="45" spans="1:4" x14ac:dyDescent="0.25">
      <c r="A45" s="13" t="s">
        <v>216</v>
      </c>
      <c r="B45" s="9" t="s">
        <v>178</v>
      </c>
      <c r="C45" s="10">
        <v>-2000</v>
      </c>
      <c r="D45" s="10">
        <f t="shared" si="0"/>
        <v>960</v>
      </c>
    </row>
    <row r="46" spans="1:4" x14ac:dyDescent="0.25">
      <c r="A46" s="8">
        <v>45971</v>
      </c>
      <c r="B46" s="9" t="s">
        <v>3</v>
      </c>
      <c r="C46" s="10">
        <v>520</v>
      </c>
      <c r="D46" s="10">
        <f t="shared" si="0"/>
        <v>1480</v>
      </c>
    </row>
    <row r="47" spans="1:4" x14ac:dyDescent="0.25">
      <c r="A47" s="8">
        <v>45971</v>
      </c>
      <c r="B47" s="9" t="s">
        <v>178</v>
      </c>
      <c r="C47" s="10">
        <v>-1000</v>
      </c>
      <c r="D47" s="10">
        <f t="shared" si="0"/>
        <v>480</v>
      </c>
    </row>
    <row r="48" spans="1:4" x14ac:dyDescent="0.25">
      <c r="A48" s="8">
        <v>45974</v>
      </c>
      <c r="B48" s="9" t="s">
        <v>3</v>
      </c>
      <c r="C48" s="10">
        <v>520</v>
      </c>
      <c r="D48" s="10">
        <f t="shared" si="0"/>
        <v>1000</v>
      </c>
    </row>
    <row r="49" spans="1:4" x14ac:dyDescent="0.25">
      <c r="A49" s="8">
        <v>45978</v>
      </c>
      <c r="B49" s="9" t="s">
        <v>3</v>
      </c>
      <c r="C49" s="10">
        <v>600</v>
      </c>
      <c r="D49" s="10">
        <f t="shared" si="0"/>
        <v>1600</v>
      </c>
    </row>
    <row r="50" spans="1:4" x14ac:dyDescent="0.25">
      <c r="A50" s="8">
        <v>45981</v>
      </c>
      <c r="B50" s="9" t="s">
        <v>3</v>
      </c>
      <c r="C50" s="10">
        <v>1080</v>
      </c>
      <c r="D50" s="10">
        <f t="shared" si="0"/>
        <v>2680</v>
      </c>
    </row>
    <row r="51" spans="1:4" x14ac:dyDescent="0.25">
      <c r="A51" s="8">
        <v>45981</v>
      </c>
      <c r="B51" s="9" t="s">
        <v>7</v>
      </c>
      <c r="C51" s="10">
        <v>-1000</v>
      </c>
      <c r="D51" s="10">
        <f t="shared" si="0"/>
        <v>1680</v>
      </c>
    </row>
    <row r="52" spans="1:4" x14ac:dyDescent="0.25">
      <c r="A52" s="8">
        <v>45985</v>
      </c>
      <c r="B52" s="9" t="s">
        <v>3</v>
      </c>
      <c r="C52" s="10">
        <v>1150</v>
      </c>
      <c r="D52" s="10">
        <f t="shared" si="0"/>
        <v>2830</v>
      </c>
    </row>
    <row r="53" spans="1:4" ht="15.75" x14ac:dyDescent="0.25">
      <c r="A53" s="43">
        <v>45985</v>
      </c>
      <c r="B53" s="44" t="s">
        <v>7</v>
      </c>
      <c r="C53" s="45">
        <v>-1500</v>
      </c>
      <c r="D53" s="45">
        <f t="shared" si="0"/>
        <v>1330</v>
      </c>
    </row>
    <row r="54" spans="1:4" ht="15.75" x14ac:dyDescent="0.25">
      <c r="A54" s="43">
        <v>45995</v>
      </c>
      <c r="B54" s="44" t="s">
        <v>92</v>
      </c>
      <c r="C54" s="45">
        <v>-1380</v>
      </c>
      <c r="D54" s="45">
        <f t="shared" si="0"/>
        <v>-50</v>
      </c>
    </row>
    <row r="55" spans="1:4" ht="15.75" x14ac:dyDescent="0.25">
      <c r="A55" s="43">
        <v>46006</v>
      </c>
      <c r="B55" s="44" t="s">
        <v>3</v>
      </c>
      <c r="C55" s="45">
        <v>1420</v>
      </c>
      <c r="D55" s="45">
        <f t="shared" si="0"/>
        <v>1370</v>
      </c>
    </row>
    <row r="56" spans="1:4" ht="15.75" x14ac:dyDescent="0.25">
      <c r="A56" s="43">
        <v>46009</v>
      </c>
      <c r="B56" s="44" t="s">
        <v>3</v>
      </c>
      <c r="C56" s="45">
        <v>480</v>
      </c>
      <c r="D56" s="45">
        <f t="shared" si="0"/>
        <v>1850</v>
      </c>
    </row>
    <row r="57" spans="1:4" ht="15.75" x14ac:dyDescent="0.25">
      <c r="A57" s="43">
        <v>46009</v>
      </c>
      <c r="B57" s="44" t="s">
        <v>92</v>
      </c>
      <c r="C57" s="45">
        <v>-1370</v>
      </c>
      <c r="D57" s="45">
        <f t="shared" si="0"/>
        <v>480</v>
      </c>
    </row>
    <row r="58" spans="1:4" ht="15.75" x14ac:dyDescent="0.25">
      <c r="A58" s="43">
        <v>46020</v>
      </c>
      <c r="B58" s="44" t="s">
        <v>178</v>
      </c>
      <c r="C58" s="45">
        <v>-480</v>
      </c>
      <c r="D58" s="45">
        <f t="shared" si="0"/>
        <v>0</v>
      </c>
    </row>
    <row r="59" spans="1:4" ht="15.75" x14ac:dyDescent="0.25">
      <c r="A59" s="43">
        <v>46030</v>
      </c>
      <c r="B59" s="44" t="s">
        <v>3</v>
      </c>
      <c r="C59" s="45">
        <v>1360</v>
      </c>
      <c r="D59" s="45">
        <f t="shared" si="0"/>
        <v>1360</v>
      </c>
    </row>
    <row r="60" spans="1:4" ht="15.75" x14ac:dyDescent="0.25">
      <c r="A60" s="43">
        <v>46030</v>
      </c>
      <c r="B60" s="44" t="s">
        <v>178</v>
      </c>
      <c r="C60" s="45">
        <v>-1360</v>
      </c>
      <c r="D60" s="45">
        <f t="shared" si="0"/>
        <v>0</v>
      </c>
    </row>
    <row r="61" spans="1:4" ht="15.75" x14ac:dyDescent="0.25">
      <c r="A61" s="43">
        <v>46034</v>
      </c>
      <c r="B61" s="44" t="s">
        <v>3</v>
      </c>
      <c r="C61" s="45">
        <v>1100</v>
      </c>
      <c r="D61" s="45">
        <f t="shared" si="0"/>
        <v>1100</v>
      </c>
    </row>
    <row r="62" spans="1:4" ht="15.75" x14ac:dyDescent="0.25">
      <c r="A62" s="43">
        <v>46034</v>
      </c>
      <c r="B62" s="44" t="s">
        <v>178</v>
      </c>
      <c r="C62" s="45">
        <v>-1100</v>
      </c>
      <c r="D62" s="45">
        <f t="shared" si="0"/>
        <v>0</v>
      </c>
    </row>
    <row r="63" spans="1:4" ht="15.75" x14ac:dyDescent="0.25">
      <c r="A63" s="43">
        <v>46041</v>
      </c>
      <c r="B63" s="44" t="s">
        <v>3</v>
      </c>
      <c r="C63" s="45">
        <v>1310</v>
      </c>
      <c r="D63" s="45">
        <f t="shared" si="0"/>
        <v>1310</v>
      </c>
    </row>
    <row r="64" spans="1:4" ht="15.75" x14ac:dyDescent="0.25">
      <c r="A64" s="43">
        <v>46048</v>
      </c>
      <c r="B64" s="44" t="s">
        <v>3</v>
      </c>
      <c r="C64" s="45">
        <v>2640</v>
      </c>
      <c r="D64" s="45">
        <f t="shared" si="0"/>
        <v>3950</v>
      </c>
    </row>
    <row r="65" spans="1:4" ht="15.75" x14ac:dyDescent="0.25">
      <c r="A65" s="43">
        <v>46048</v>
      </c>
      <c r="B65" s="44" t="s">
        <v>178</v>
      </c>
      <c r="C65" s="45">
        <v>-4000</v>
      </c>
      <c r="D65" s="45">
        <f t="shared" si="0"/>
        <v>-50</v>
      </c>
    </row>
    <row r="66" spans="1:4" ht="15.75" x14ac:dyDescent="0.25">
      <c r="A66" s="43">
        <v>46051</v>
      </c>
      <c r="B66" s="44" t="s">
        <v>3</v>
      </c>
      <c r="C66" s="45">
        <v>1600</v>
      </c>
      <c r="D66" s="45">
        <f t="shared" si="0"/>
        <v>1550</v>
      </c>
    </row>
    <row r="67" spans="1:4" ht="15.75" x14ac:dyDescent="0.25">
      <c r="A67" s="43">
        <v>46055</v>
      </c>
      <c r="B67" s="44" t="s">
        <v>3</v>
      </c>
      <c r="C67" s="45">
        <v>1250</v>
      </c>
      <c r="D67" s="45">
        <f t="shared" si="0"/>
        <v>2800</v>
      </c>
    </row>
    <row r="68" spans="1:4" ht="15.75" x14ac:dyDescent="0.25">
      <c r="A68" s="43">
        <v>46055</v>
      </c>
      <c r="B68" s="44" t="s">
        <v>178</v>
      </c>
      <c r="C68" s="45">
        <v>-2800</v>
      </c>
      <c r="D68" s="45">
        <f t="shared" si="0"/>
        <v>0</v>
      </c>
    </row>
    <row r="69" spans="1:4" ht="15.75" x14ac:dyDescent="0.25">
      <c r="A69" s="43">
        <v>46069</v>
      </c>
      <c r="B69" s="44" t="s">
        <v>3</v>
      </c>
      <c r="C69" s="45">
        <v>11180</v>
      </c>
      <c r="D69" s="45">
        <f t="shared" si="0"/>
        <v>11180</v>
      </c>
    </row>
    <row r="70" spans="1:4" ht="15.75" x14ac:dyDescent="0.25">
      <c r="A70" s="43">
        <v>46069</v>
      </c>
      <c r="B70" s="44" t="s">
        <v>178</v>
      </c>
      <c r="C70" s="45">
        <v>-11180</v>
      </c>
      <c r="D70" s="45">
        <f t="shared" si="0"/>
        <v>0</v>
      </c>
    </row>
    <row r="71" spans="1:4" ht="15.75" x14ac:dyDescent="0.25">
      <c r="A71" s="43">
        <v>46076</v>
      </c>
      <c r="B71" s="44" t="s">
        <v>3</v>
      </c>
      <c r="C71" s="45">
        <v>730</v>
      </c>
      <c r="D71" s="45">
        <f t="shared" si="0"/>
        <v>730</v>
      </c>
    </row>
    <row r="72" spans="1:4" ht="15.75" x14ac:dyDescent="0.25">
      <c r="A72" s="43">
        <v>46083</v>
      </c>
      <c r="B72" s="44" t="s">
        <v>178</v>
      </c>
      <c r="C72" s="45">
        <v>-730</v>
      </c>
      <c r="D72" s="45">
        <f t="shared" si="0"/>
        <v>0</v>
      </c>
    </row>
    <row r="73" spans="1:4" ht="15.75" x14ac:dyDescent="0.25">
      <c r="A73" s="43">
        <v>46086</v>
      </c>
      <c r="B73" s="44" t="s">
        <v>3</v>
      </c>
      <c r="C73" s="45">
        <v>600</v>
      </c>
      <c r="D73" s="45">
        <f t="shared" si="0"/>
        <v>600</v>
      </c>
    </row>
    <row r="74" spans="1:4" ht="15.75" x14ac:dyDescent="0.25">
      <c r="A74" s="43">
        <v>46093</v>
      </c>
      <c r="B74" s="44" t="s">
        <v>3</v>
      </c>
      <c r="C74" s="45">
        <v>300</v>
      </c>
      <c r="D74" s="45">
        <f t="shared" si="0"/>
        <v>900</v>
      </c>
    </row>
    <row r="75" spans="1:4" ht="15.75" x14ac:dyDescent="0.25">
      <c r="A75" s="43">
        <v>46093</v>
      </c>
      <c r="B75" s="44" t="s">
        <v>178</v>
      </c>
      <c r="C75" s="45">
        <v>-900</v>
      </c>
      <c r="D75" s="45">
        <f t="shared" si="0"/>
        <v>0</v>
      </c>
    </row>
    <row r="76" spans="1:4" ht="15.75" x14ac:dyDescent="0.25">
      <c r="A76" s="43">
        <v>46100</v>
      </c>
      <c r="B76" s="44" t="s">
        <v>3</v>
      </c>
      <c r="C76" s="45">
        <v>4370</v>
      </c>
      <c r="D76" s="45">
        <f t="shared" ref="D76:D133" si="1">D75+C76</f>
        <v>4370</v>
      </c>
    </row>
    <row r="77" spans="1:4" ht="15.75" x14ac:dyDescent="0.25">
      <c r="A77" s="43">
        <v>46100</v>
      </c>
      <c r="B77" s="44" t="s">
        <v>178</v>
      </c>
      <c r="C77" s="45">
        <v>-850</v>
      </c>
      <c r="D77" s="45">
        <f t="shared" si="1"/>
        <v>3520</v>
      </c>
    </row>
    <row r="78" spans="1:4" ht="15.75" x14ac:dyDescent="0.25">
      <c r="A78" s="43">
        <v>46104</v>
      </c>
      <c r="B78" s="44" t="s">
        <v>178</v>
      </c>
      <c r="C78" s="45">
        <v>-3520</v>
      </c>
      <c r="D78" s="45">
        <f t="shared" si="1"/>
        <v>0</v>
      </c>
    </row>
    <row r="79" spans="1:4" ht="15.75" x14ac:dyDescent="0.25">
      <c r="A79" s="43">
        <v>46111</v>
      </c>
      <c r="B79" s="44" t="s">
        <v>3</v>
      </c>
      <c r="C79" s="45">
        <v>2420</v>
      </c>
      <c r="D79" s="45">
        <f t="shared" si="1"/>
        <v>2420</v>
      </c>
    </row>
    <row r="80" spans="1:4" ht="15.75" x14ac:dyDescent="0.25">
      <c r="A80" s="43">
        <v>46111</v>
      </c>
      <c r="B80" s="44" t="s">
        <v>178</v>
      </c>
      <c r="C80" s="45">
        <v>-2420</v>
      </c>
      <c r="D80" s="45">
        <f t="shared" si="1"/>
        <v>0</v>
      </c>
    </row>
    <row r="81" spans="1:4" ht="15.75" x14ac:dyDescent="0.25">
      <c r="A81" s="43">
        <v>46113</v>
      </c>
      <c r="B81" s="44" t="s">
        <v>129</v>
      </c>
      <c r="C81" s="45">
        <v>730</v>
      </c>
      <c r="D81" s="45">
        <f t="shared" si="1"/>
        <v>730</v>
      </c>
    </row>
    <row r="82" spans="1:4" ht="15.75" x14ac:dyDescent="0.25">
      <c r="A82" s="43">
        <v>46118</v>
      </c>
      <c r="B82" s="44" t="s">
        <v>3</v>
      </c>
      <c r="C82" s="45">
        <v>1700</v>
      </c>
      <c r="D82" s="45">
        <f t="shared" si="1"/>
        <v>2430</v>
      </c>
    </row>
    <row r="83" spans="1:4" ht="15.75" x14ac:dyDescent="0.25">
      <c r="A83" s="43">
        <v>46118</v>
      </c>
      <c r="B83" s="44" t="s">
        <v>178</v>
      </c>
      <c r="C83" s="45">
        <v>-2000</v>
      </c>
      <c r="D83" s="45">
        <f t="shared" si="1"/>
        <v>430</v>
      </c>
    </row>
    <row r="84" spans="1:4" ht="15.75" x14ac:dyDescent="0.25">
      <c r="A84" s="43">
        <v>46121</v>
      </c>
      <c r="B84" s="44" t="s">
        <v>3</v>
      </c>
      <c r="C84" s="45">
        <v>780</v>
      </c>
      <c r="D84" s="45">
        <f t="shared" si="1"/>
        <v>1210</v>
      </c>
    </row>
    <row r="85" spans="1:4" ht="15.75" x14ac:dyDescent="0.25">
      <c r="A85" s="43">
        <v>46125</v>
      </c>
      <c r="B85" s="44" t="s">
        <v>3</v>
      </c>
      <c r="C85" s="45">
        <v>350</v>
      </c>
      <c r="D85" s="45">
        <f t="shared" si="1"/>
        <v>1560</v>
      </c>
    </row>
    <row r="86" spans="1:4" ht="15.75" x14ac:dyDescent="0.25">
      <c r="A86" s="43">
        <v>46125</v>
      </c>
      <c r="B86" s="44" t="s">
        <v>178</v>
      </c>
      <c r="C86" s="45">
        <v>-1560</v>
      </c>
      <c r="D86" s="45">
        <f t="shared" si="1"/>
        <v>0</v>
      </c>
    </row>
    <row r="87" spans="1:4" ht="15.75" x14ac:dyDescent="0.25">
      <c r="A87" s="43">
        <v>46132</v>
      </c>
      <c r="B87" s="44" t="s">
        <v>3</v>
      </c>
      <c r="C87" s="45">
        <v>750</v>
      </c>
      <c r="D87" s="45">
        <f t="shared" si="1"/>
        <v>750</v>
      </c>
    </row>
    <row r="88" spans="1:4" ht="15.75" x14ac:dyDescent="0.25">
      <c r="A88" s="8">
        <v>46132</v>
      </c>
      <c r="B88" s="9" t="s">
        <v>178</v>
      </c>
      <c r="C88" s="10">
        <v>-750</v>
      </c>
      <c r="D88" s="45">
        <f t="shared" si="1"/>
        <v>0</v>
      </c>
    </row>
    <row r="89" spans="1:4" ht="15.75" x14ac:dyDescent="0.25">
      <c r="A89" s="8">
        <v>46156</v>
      </c>
      <c r="B89" s="9" t="s">
        <v>3</v>
      </c>
      <c r="C89" s="10">
        <v>800</v>
      </c>
      <c r="D89" s="45">
        <f t="shared" si="1"/>
        <v>800</v>
      </c>
    </row>
    <row r="90" spans="1:4" ht="15.75" x14ac:dyDescent="0.25">
      <c r="A90" s="8">
        <v>46160</v>
      </c>
      <c r="B90" s="9" t="s">
        <v>3</v>
      </c>
      <c r="C90" s="10">
        <v>900</v>
      </c>
      <c r="D90" s="45">
        <f t="shared" si="1"/>
        <v>1700</v>
      </c>
    </row>
    <row r="91" spans="1:4" ht="15.75" x14ac:dyDescent="0.25">
      <c r="A91" s="8">
        <v>46160</v>
      </c>
      <c r="B91" s="9" t="s">
        <v>178</v>
      </c>
      <c r="C91" s="10">
        <v>-1700</v>
      </c>
      <c r="D91" s="45">
        <f t="shared" si="1"/>
        <v>0</v>
      </c>
    </row>
    <row r="92" spans="1:4" ht="15.75" x14ac:dyDescent="0.25">
      <c r="A92" s="8">
        <v>46167</v>
      </c>
      <c r="B92" s="9" t="s">
        <v>3</v>
      </c>
      <c r="C92" s="10">
        <v>1500</v>
      </c>
      <c r="D92" s="45">
        <f t="shared" si="1"/>
        <v>1500</v>
      </c>
    </row>
    <row r="93" spans="1:4" ht="15.75" x14ac:dyDescent="0.25">
      <c r="A93" s="8">
        <v>46167</v>
      </c>
      <c r="B93" s="9" t="s">
        <v>178</v>
      </c>
      <c r="C93" s="10">
        <v>-1500</v>
      </c>
      <c r="D93" s="45">
        <f t="shared" si="1"/>
        <v>0</v>
      </c>
    </row>
    <row r="94" spans="1:4" ht="15.75" x14ac:dyDescent="0.25">
      <c r="A94" s="8">
        <v>46174</v>
      </c>
      <c r="B94" s="9" t="s">
        <v>3</v>
      </c>
      <c r="C94" s="10">
        <v>1500</v>
      </c>
      <c r="D94" s="45">
        <f t="shared" si="1"/>
        <v>1500</v>
      </c>
    </row>
    <row r="95" spans="1:4" ht="15.75" x14ac:dyDescent="0.25">
      <c r="A95" s="8">
        <v>46181</v>
      </c>
      <c r="B95" s="9" t="s">
        <v>3</v>
      </c>
      <c r="C95" s="10">
        <v>650</v>
      </c>
      <c r="D95" s="45">
        <f t="shared" si="1"/>
        <v>2150</v>
      </c>
    </row>
    <row r="96" spans="1:4" ht="15.75" x14ac:dyDescent="0.25">
      <c r="A96" s="8">
        <v>46181</v>
      </c>
      <c r="B96" s="9" t="s">
        <v>178</v>
      </c>
      <c r="C96" s="10">
        <v>-2150</v>
      </c>
      <c r="D96" s="45">
        <f t="shared" si="1"/>
        <v>0</v>
      </c>
    </row>
    <row r="97" spans="1:4" ht="15.75" x14ac:dyDescent="0.25">
      <c r="A97" s="8">
        <v>46184</v>
      </c>
      <c r="B97" s="9" t="s">
        <v>3</v>
      </c>
      <c r="C97" s="10">
        <v>420</v>
      </c>
      <c r="D97" s="45">
        <f t="shared" si="1"/>
        <v>420</v>
      </c>
    </row>
    <row r="98" spans="1:4" ht="15.75" x14ac:dyDescent="0.25">
      <c r="A98" s="8">
        <v>46195</v>
      </c>
      <c r="B98" s="9" t="s">
        <v>3</v>
      </c>
      <c r="C98" s="10">
        <v>680</v>
      </c>
      <c r="D98" s="45">
        <f t="shared" si="1"/>
        <v>1100</v>
      </c>
    </row>
    <row r="99" spans="1:4" ht="15.75" x14ac:dyDescent="0.25">
      <c r="A99" s="8">
        <v>46195</v>
      </c>
      <c r="B99" s="9" t="s">
        <v>178</v>
      </c>
      <c r="C99" s="10">
        <v>-500</v>
      </c>
      <c r="D99" s="45">
        <f t="shared" si="1"/>
        <v>600</v>
      </c>
    </row>
    <row r="100" spans="1:4" ht="15.75" x14ac:dyDescent="0.25">
      <c r="A100" s="8">
        <v>46202</v>
      </c>
      <c r="B100" s="9" t="s">
        <v>3</v>
      </c>
      <c r="C100" s="10">
        <f>600+170+200+80</f>
        <v>1050</v>
      </c>
      <c r="D100" s="45">
        <f t="shared" si="1"/>
        <v>1650</v>
      </c>
    </row>
    <row r="101" spans="1:4" ht="15.75" x14ac:dyDescent="0.25">
      <c r="A101" s="8">
        <v>46202</v>
      </c>
      <c r="B101" s="9" t="s">
        <v>178</v>
      </c>
      <c r="C101" s="10">
        <v>-1050</v>
      </c>
      <c r="D101" s="45">
        <f t="shared" si="1"/>
        <v>600</v>
      </c>
    </row>
    <row r="102" spans="1:4" ht="15.75" x14ac:dyDescent="0.25">
      <c r="A102" s="8">
        <v>46209</v>
      </c>
      <c r="B102" s="9" t="s">
        <v>149</v>
      </c>
      <c r="C102" s="10">
        <v>460</v>
      </c>
      <c r="D102" s="45">
        <f t="shared" si="1"/>
        <v>1060</v>
      </c>
    </row>
    <row r="103" spans="1:4" ht="15.75" x14ac:dyDescent="0.25">
      <c r="A103" s="8">
        <v>46209</v>
      </c>
      <c r="B103" s="9" t="s">
        <v>178</v>
      </c>
      <c r="C103" s="10">
        <v>-1000</v>
      </c>
      <c r="D103" s="45">
        <f t="shared" si="1"/>
        <v>60</v>
      </c>
    </row>
    <row r="104" spans="1:4" ht="15.75" x14ac:dyDescent="0.25">
      <c r="A104" s="8">
        <v>46216</v>
      </c>
      <c r="B104" s="9" t="s">
        <v>3</v>
      </c>
      <c r="C104" s="10">
        <v>1980</v>
      </c>
      <c r="D104" s="45">
        <f t="shared" si="1"/>
        <v>2040</v>
      </c>
    </row>
    <row r="105" spans="1:4" ht="15.75" x14ac:dyDescent="0.25">
      <c r="A105" s="8">
        <v>46216</v>
      </c>
      <c r="B105" s="9" t="s">
        <v>178</v>
      </c>
      <c r="C105" s="10">
        <v>-1500</v>
      </c>
      <c r="D105" s="45">
        <f t="shared" si="1"/>
        <v>540</v>
      </c>
    </row>
    <row r="106" spans="1:4" ht="15.75" x14ac:dyDescent="0.25">
      <c r="A106" s="8">
        <v>46223</v>
      </c>
      <c r="B106" s="9" t="s">
        <v>3</v>
      </c>
      <c r="C106" s="10">
        <v>700</v>
      </c>
      <c r="D106" s="45">
        <f t="shared" si="1"/>
        <v>1240</v>
      </c>
    </row>
    <row r="107" spans="1:4" ht="15.75" x14ac:dyDescent="0.25">
      <c r="A107" s="8">
        <v>46223</v>
      </c>
      <c r="B107" s="9" t="s">
        <v>178</v>
      </c>
      <c r="C107" s="10">
        <v>-1240</v>
      </c>
      <c r="D107" s="45">
        <f t="shared" si="1"/>
        <v>0</v>
      </c>
    </row>
    <row r="108" spans="1:4" ht="15.75" x14ac:dyDescent="0.25">
      <c r="A108" s="8">
        <v>46230</v>
      </c>
      <c r="B108" s="9" t="s">
        <v>3</v>
      </c>
      <c r="C108" s="10">
        <v>700</v>
      </c>
      <c r="D108" s="45">
        <f t="shared" si="1"/>
        <v>700</v>
      </c>
    </row>
    <row r="109" spans="1:4" ht="15.75" x14ac:dyDescent="0.25">
      <c r="A109" s="8">
        <v>46230</v>
      </c>
      <c r="B109" s="9" t="s">
        <v>178</v>
      </c>
      <c r="C109" s="10">
        <v>-700</v>
      </c>
      <c r="D109" s="45">
        <f t="shared" si="1"/>
        <v>0</v>
      </c>
    </row>
    <row r="110" spans="1:4" ht="15.75" x14ac:dyDescent="0.25">
      <c r="A110" s="8">
        <v>46233</v>
      </c>
      <c r="B110" s="9" t="s">
        <v>3</v>
      </c>
      <c r="C110" s="10">
        <v>2040</v>
      </c>
      <c r="D110" s="45">
        <f t="shared" si="1"/>
        <v>2040</v>
      </c>
    </row>
    <row r="111" spans="1:4" ht="15.75" x14ac:dyDescent="0.25">
      <c r="A111" s="8">
        <v>46233</v>
      </c>
      <c r="B111" s="9" t="s">
        <v>178</v>
      </c>
      <c r="C111" s="10">
        <v>-1580</v>
      </c>
      <c r="D111" s="45">
        <f t="shared" si="1"/>
        <v>460</v>
      </c>
    </row>
    <row r="112" spans="1:4" ht="15.75" x14ac:dyDescent="0.25">
      <c r="A112" s="8">
        <v>46241</v>
      </c>
      <c r="B112" s="9" t="s">
        <v>3</v>
      </c>
      <c r="C112" s="10">
        <v>550</v>
      </c>
      <c r="D112" s="45">
        <f t="shared" si="1"/>
        <v>1010</v>
      </c>
    </row>
    <row r="113" spans="1:4" ht="15.75" x14ac:dyDescent="0.25">
      <c r="A113" s="8">
        <v>46241</v>
      </c>
      <c r="B113" s="9" t="s">
        <v>178</v>
      </c>
      <c r="C113" s="10">
        <v>-1010</v>
      </c>
      <c r="D113" s="45">
        <f t="shared" si="1"/>
        <v>0</v>
      </c>
    </row>
    <row r="114" spans="1:4" ht="15.75" x14ac:dyDescent="0.25">
      <c r="A114" s="8">
        <v>46244</v>
      </c>
      <c r="B114" s="9" t="s">
        <v>3</v>
      </c>
      <c r="C114" s="10">
        <v>1260</v>
      </c>
      <c r="D114" s="45">
        <f t="shared" si="1"/>
        <v>1260</v>
      </c>
    </row>
    <row r="115" spans="1:4" ht="15.75" x14ac:dyDescent="0.25">
      <c r="A115" s="8">
        <v>46244</v>
      </c>
      <c r="B115" s="9" t="s">
        <v>178</v>
      </c>
      <c r="C115" s="10">
        <v>-1260</v>
      </c>
      <c r="D115" s="45">
        <f t="shared" si="1"/>
        <v>0</v>
      </c>
    </row>
    <row r="116" spans="1:4" ht="15.75" x14ac:dyDescent="0.25">
      <c r="A116" s="8">
        <v>46251</v>
      </c>
      <c r="B116" s="9" t="s">
        <v>3</v>
      </c>
      <c r="C116" s="10">
        <v>800</v>
      </c>
      <c r="D116" s="45">
        <f t="shared" si="1"/>
        <v>800</v>
      </c>
    </row>
    <row r="117" spans="1:4" ht="15.75" x14ac:dyDescent="0.25">
      <c r="A117" s="8">
        <v>46251</v>
      </c>
      <c r="B117" s="9" t="s">
        <v>178</v>
      </c>
      <c r="C117" s="10">
        <v>-800</v>
      </c>
      <c r="D117" s="45">
        <f t="shared" si="1"/>
        <v>0</v>
      </c>
    </row>
    <row r="118" spans="1:4" ht="15.75" x14ac:dyDescent="0.25">
      <c r="A118" s="8">
        <v>46258</v>
      </c>
      <c r="B118" s="9" t="s">
        <v>3</v>
      </c>
      <c r="C118" s="10">
        <v>1170</v>
      </c>
      <c r="D118" s="45">
        <f t="shared" si="1"/>
        <v>1170</v>
      </c>
    </row>
    <row r="119" spans="1:4" ht="15.75" x14ac:dyDescent="0.25">
      <c r="A119" s="8">
        <v>46258</v>
      </c>
      <c r="B119" s="9" t="s">
        <v>178</v>
      </c>
      <c r="C119" s="10">
        <v>-1170</v>
      </c>
      <c r="D119" s="45">
        <f t="shared" si="1"/>
        <v>0</v>
      </c>
    </row>
    <row r="120" spans="1:4" ht="15.75" x14ac:dyDescent="0.25">
      <c r="A120" s="8">
        <v>46265</v>
      </c>
      <c r="B120" s="9" t="s">
        <v>3</v>
      </c>
      <c r="C120" s="10">
        <v>600</v>
      </c>
      <c r="D120" s="45">
        <f t="shared" si="1"/>
        <v>600</v>
      </c>
    </row>
    <row r="121" spans="1:4" ht="15.75" x14ac:dyDescent="0.25">
      <c r="A121" s="8">
        <v>46265</v>
      </c>
      <c r="B121" s="9" t="s">
        <v>178</v>
      </c>
      <c r="C121" s="10">
        <v>-600</v>
      </c>
      <c r="D121" s="45">
        <f t="shared" si="1"/>
        <v>0</v>
      </c>
    </row>
    <row r="122" spans="1:4" ht="15.75" x14ac:dyDescent="0.25">
      <c r="A122" s="8">
        <v>46272</v>
      </c>
      <c r="B122" s="9" t="s">
        <v>3</v>
      </c>
      <c r="C122" s="10">
        <v>720</v>
      </c>
      <c r="D122" s="45">
        <f t="shared" si="1"/>
        <v>720</v>
      </c>
    </row>
    <row r="123" spans="1:4" ht="15.75" x14ac:dyDescent="0.25">
      <c r="A123" s="8">
        <v>46272</v>
      </c>
      <c r="B123" s="9" t="s">
        <v>178</v>
      </c>
      <c r="C123" s="10">
        <v>-720</v>
      </c>
      <c r="D123" s="45">
        <f t="shared" si="1"/>
        <v>0</v>
      </c>
    </row>
    <row r="124" spans="1:4" ht="15.75" x14ac:dyDescent="0.25">
      <c r="A124" s="8">
        <v>46279</v>
      </c>
      <c r="B124" s="9" t="s">
        <v>3</v>
      </c>
      <c r="C124" s="10">
        <v>1320</v>
      </c>
      <c r="D124" s="45">
        <f t="shared" si="1"/>
        <v>1320</v>
      </c>
    </row>
    <row r="125" spans="1:4" ht="15.75" x14ac:dyDescent="0.25">
      <c r="A125" s="8">
        <v>46279</v>
      </c>
      <c r="B125" s="9" t="s">
        <v>178</v>
      </c>
      <c r="C125" s="10">
        <v>-1320</v>
      </c>
      <c r="D125" s="45">
        <f t="shared" si="1"/>
        <v>0</v>
      </c>
    </row>
    <row r="126" spans="1:4" ht="15.75" x14ac:dyDescent="0.25">
      <c r="A126" s="8">
        <v>46282</v>
      </c>
      <c r="B126" s="9" t="s">
        <v>3</v>
      </c>
      <c r="C126" s="10">
        <v>3100</v>
      </c>
      <c r="D126" s="45">
        <f t="shared" si="1"/>
        <v>3100</v>
      </c>
    </row>
    <row r="127" spans="1:4" ht="15.75" x14ac:dyDescent="0.25">
      <c r="A127" s="8">
        <v>46282</v>
      </c>
      <c r="B127" s="9" t="s">
        <v>178</v>
      </c>
      <c r="C127" s="10">
        <v>-3100</v>
      </c>
      <c r="D127" s="45">
        <f t="shared" si="1"/>
        <v>0</v>
      </c>
    </row>
    <row r="128" spans="1:4" ht="15.75" x14ac:dyDescent="0.25">
      <c r="A128" s="8">
        <v>46286</v>
      </c>
      <c r="B128" s="9" t="s">
        <v>3</v>
      </c>
      <c r="C128" s="10">
        <v>600</v>
      </c>
      <c r="D128" s="45">
        <f t="shared" si="1"/>
        <v>600</v>
      </c>
    </row>
    <row r="129" spans="1:4" ht="15.75" x14ac:dyDescent="0.25">
      <c r="A129" s="8">
        <v>46286</v>
      </c>
      <c r="B129" s="9" t="s">
        <v>178</v>
      </c>
      <c r="C129" s="10">
        <v>-600</v>
      </c>
      <c r="D129" s="45">
        <f t="shared" si="1"/>
        <v>0</v>
      </c>
    </row>
    <row r="130" spans="1:4" ht="15.75" x14ac:dyDescent="0.25">
      <c r="A130" s="8">
        <v>46293</v>
      </c>
      <c r="B130" s="9" t="s">
        <v>3</v>
      </c>
      <c r="C130" s="10">
        <v>720</v>
      </c>
      <c r="D130" s="45">
        <f t="shared" si="1"/>
        <v>720</v>
      </c>
    </row>
    <row r="131" spans="1:4" ht="15.75" x14ac:dyDescent="0.25">
      <c r="A131" s="8">
        <v>46293</v>
      </c>
      <c r="B131" s="9" t="s">
        <v>178</v>
      </c>
      <c r="C131" s="10">
        <v>-720</v>
      </c>
      <c r="D131" s="45">
        <f t="shared" si="1"/>
        <v>0</v>
      </c>
    </row>
    <row r="132" spans="1:4" ht="15.75" x14ac:dyDescent="0.25">
      <c r="A132" s="8">
        <v>46300</v>
      </c>
      <c r="B132" s="9" t="s">
        <v>589</v>
      </c>
      <c r="C132" s="10">
        <v>700</v>
      </c>
      <c r="D132" s="45">
        <f t="shared" si="1"/>
        <v>700</v>
      </c>
    </row>
    <row r="133" spans="1:4" ht="15.75" x14ac:dyDescent="0.25">
      <c r="A133" s="8"/>
      <c r="B133" s="9"/>
      <c r="C133" s="10"/>
      <c r="D133" s="45">
        <f t="shared" si="1"/>
        <v>700</v>
      </c>
    </row>
    <row r="134" spans="1:4" x14ac:dyDescent="0.25">
      <c r="A134" s="9"/>
      <c r="B134" s="9"/>
      <c r="C134" s="10"/>
      <c r="D134" s="10"/>
    </row>
    <row r="135" spans="1:4" x14ac:dyDescent="0.25">
      <c r="A135" s="9"/>
      <c r="B135" s="9"/>
      <c r="C135" s="10"/>
      <c r="D135" s="10"/>
    </row>
    <row r="136" spans="1:4" x14ac:dyDescent="0.25">
      <c r="A136" s="9"/>
      <c r="B136" s="9"/>
      <c r="C136" s="10"/>
      <c r="D136" s="10"/>
    </row>
    <row r="137" spans="1:4" x14ac:dyDescent="0.25">
      <c r="A137" s="9"/>
      <c r="B137" s="9"/>
      <c r="C137" s="10"/>
      <c r="D137" s="10"/>
    </row>
    <row r="138" spans="1:4" x14ac:dyDescent="0.25">
      <c r="A138" s="9"/>
      <c r="B138" s="9"/>
      <c r="C138" s="10"/>
      <c r="D138" s="10"/>
    </row>
    <row r="139" spans="1:4" x14ac:dyDescent="0.25">
      <c r="A139" s="9"/>
      <c r="B139" s="9"/>
      <c r="C139" s="10"/>
      <c r="D139" s="10"/>
    </row>
    <row r="140" spans="1:4" x14ac:dyDescent="0.25">
      <c r="A140" s="9"/>
      <c r="B140" s="9"/>
      <c r="C140" s="10"/>
      <c r="D140" s="10"/>
    </row>
    <row r="141" spans="1:4" x14ac:dyDescent="0.25">
      <c r="A141" s="9"/>
      <c r="B141" s="9"/>
      <c r="C141" s="10"/>
      <c r="D141" s="10"/>
    </row>
    <row r="142" spans="1:4" x14ac:dyDescent="0.25">
      <c r="A142" s="9"/>
      <c r="B142" s="9"/>
      <c r="C142" s="10"/>
      <c r="D142" s="10"/>
    </row>
    <row r="143" spans="1:4" x14ac:dyDescent="0.25">
      <c r="A143" s="9"/>
      <c r="B143" s="9"/>
      <c r="C143" s="10"/>
      <c r="D143" s="10"/>
    </row>
    <row r="144" spans="1:4" x14ac:dyDescent="0.25">
      <c r="A144" s="9"/>
      <c r="B144" s="9"/>
      <c r="C144" s="10"/>
      <c r="D144" s="10"/>
    </row>
    <row r="145" spans="1:4" x14ac:dyDescent="0.25">
      <c r="A145" s="9"/>
      <c r="B145" s="9"/>
      <c r="C145" s="10"/>
      <c r="D145" s="10"/>
    </row>
    <row r="146" spans="1:4" x14ac:dyDescent="0.25">
      <c r="A146" s="9"/>
      <c r="B146" s="9"/>
      <c r="C146" s="10"/>
      <c r="D146" s="10"/>
    </row>
    <row r="147" spans="1:4" x14ac:dyDescent="0.25">
      <c r="A147" s="9"/>
      <c r="B147" s="9"/>
      <c r="C147" s="10"/>
      <c r="D147" s="10"/>
    </row>
    <row r="148" spans="1:4" x14ac:dyDescent="0.25">
      <c r="A148" s="9"/>
      <c r="B148" s="9"/>
      <c r="C148" s="10"/>
      <c r="D148" s="10"/>
    </row>
    <row r="149" spans="1:4" x14ac:dyDescent="0.25">
      <c r="A149" s="9"/>
      <c r="B149" s="9"/>
      <c r="C149" s="10"/>
      <c r="D149" s="10"/>
    </row>
    <row r="150" spans="1:4" x14ac:dyDescent="0.25">
      <c r="A150" s="9"/>
      <c r="B150" s="9"/>
      <c r="C150" s="10"/>
      <c r="D150" s="10"/>
    </row>
    <row r="151" spans="1:4" x14ac:dyDescent="0.25">
      <c r="A151" s="9"/>
      <c r="B151" s="9"/>
      <c r="C151" s="10"/>
      <c r="D151" s="10"/>
    </row>
    <row r="152" spans="1:4" x14ac:dyDescent="0.25">
      <c r="A152" s="9"/>
      <c r="B152" s="9"/>
      <c r="C152" s="10"/>
      <c r="D152" s="10"/>
    </row>
    <row r="153" spans="1:4" x14ac:dyDescent="0.25">
      <c r="A153" s="9"/>
      <c r="B153" s="9"/>
      <c r="C153" s="10"/>
      <c r="D153" s="10"/>
    </row>
    <row r="154" spans="1:4" x14ac:dyDescent="0.25">
      <c r="A154" s="9"/>
      <c r="B154" s="9"/>
      <c r="C154" s="10"/>
      <c r="D154" s="10"/>
    </row>
    <row r="155" spans="1:4" x14ac:dyDescent="0.25">
      <c r="A155" s="9"/>
      <c r="B155" s="9"/>
      <c r="C155" s="10"/>
      <c r="D155" s="10"/>
    </row>
    <row r="156" spans="1:4" x14ac:dyDescent="0.25">
      <c r="A156" s="9"/>
      <c r="B156" s="9"/>
      <c r="C156" s="10"/>
      <c r="D156" s="10"/>
    </row>
    <row r="157" spans="1:4" x14ac:dyDescent="0.25">
      <c r="A157" s="9"/>
      <c r="B157" s="9"/>
      <c r="C157" s="10"/>
      <c r="D157" s="10"/>
    </row>
    <row r="158" spans="1:4" x14ac:dyDescent="0.25">
      <c r="A158" s="9"/>
      <c r="B158" s="9"/>
      <c r="C158" s="10"/>
      <c r="D158" s="10"/>
    </row>
    <row r="159" spans="1:4" x14ac:dyDescent="0.25">
      <c r="A159" s="9"/>
      <c r="B159" s="9"/>
      <c r="C159" s="10"/>
      <c r="D159" s="10"/>
    </row>
    <row r="160" spans="1:4" x14ac:dyDescent="0.25">
      <c r="A160" s="9"/>
      <c r="B160" s="9"/>
      <c r="C160" s="10"/>
      <c r="D160" s="10"/>
    </row>
    <row r="161" spans="1:4" x14ac:dyDescent="0.25">
      <c r="A161" s="9"/>
      <c r="B161" s="9"/>
      <c r="C161" s="10"/>
      <c r="D161" s="10"/>
    </row>
    <row r="162" spans="1:4" x14ac:dyDescent="0.25">
      <c r="A162" s="9"/>
      <c r="B162" s="9"/>
      <c r="C162" s="10"/>
      <c r="D162" s="10"/>
    </row>
    <row r="163" spans="1:4" x14ac:dyDescent="0.25">
      <c r="A163" s="9"/>
      <c r="B163" s="9"/>
      <c r="C163" s="10"/>
      <c r="D163" s="10"/>
    </row>
    <row r="164" spans="1:4" x14ac:dyDescent="0.25">
      <c r="A164" s="9"/>
      <c r="B164" s="9"/>
      <c r="C164" s="10"/>
      <c r="D164" s="10"/>
    </row>
    <row r="165" spans="1:4" x14ac:dyDescent="0.25">
      <c r="A165" s="9"/>
      <c r="B165" s="9"/>
      <c r="C165" s="10"/>
      <c r="D165" s="10"/>
    </row>
    <row r="166" spans="1:4" x14ac:dyDescent="0.25">
      <c r="A166" s="9"/>
      <c r="B166" s="9"/>
      <c r="C166" s="10"/>
      <c r="D166" s="10"/>
    </row>
    <row r="167" spans="1:4" x14ac:dyDescent="0.25">
      <c r="A167" s="9"/>
      <c r="B167" s="9"/>
      <c r="C167" s="10"/>
      <c r="D167" s="10"/>
    </row>
    <row r="168" spans="1:4" x14ac:dyDescent="0.25">
      <c r="A168" s="9"/>
      <c r="B168" s="9"/>
      <c r="C168" s="10"/>
      <c r="D168" s="10"/>
    </row>
    <row r="169" spans="1:4" x14ac:dyDescent="0.25">
      <c r="A169" s="9"/>
      <c r="B169" s="9"/>
      <c r="C169" s="10"/>
      <c r="D169" s="10"/>
    </row>
    <row r="170" spans="1:4" x14ac:dyDescent="0.25">
      <c r="A170" s="9"/>
      <c r="B170" s="9"/>
      <c r="C170" s="10"/>
      <c r="D170" s="10"/>
    </row>
    <row r="171" spans="1:4" x14ac:dyDescent="0.25">
      <c r="A171" s="9"/>
      <c r="B171" s="9"/>
      <c r="C171" s="10"/>
      <c r="D171" s="10"/>
    </row>
    <row r="172" spans="1:4" x14ac:dyDescent="0.25">
      <c r="A172" s="9"/>
      <c r="B172" s="9"/>
      <c r="C172" s="10"/>
      <c r="D172" s="10"/>
    </row>
    <row r="173" spans="1:4" x14ac:dyDescent="0.25">
      <c r="A173" s="9"/>
      <c r="B173" s="9"/>
      <c r="C173" s="10"/>
      <c r="D173" s="10"/>
    </row>
    <row r="174" spans="1:4" x14ac:dyDescent="0.25">
      <c r="A174" s="9"/>
      <c r="B174" s="9"/>
      <c r="C174" s="10"/>
      <c r="D174" s="10"/>
    </row>
    <row r="175" spans="1:4" x14ac:dyDescent="0.25">
      <c r="A175" s="9"/>
      <c r="B175" s="9"/>
      <c r="C175" s="10"/>
      <c r="D175" s="10"/>
    </row>
    <row r="176" spans="1:4" x14ac:dyDescent="0.25">
      <c r="A176" s="9"/>
      <c r="B176" s="9"/>
      <c r="C176" s="10"/>
      <c r="D176" s="10"/>
    </row>
    <row r="177" spans="1:4" x14ac:dyDescent="0.25">
      <c r="A177" s="9"/>
      <c r="B177" s="9"/>
      <c r="C177" s="10"/>
      <c r="D177" s="10"/>
    </row>
    <row r="178" spans="1:4" x14ac:dyDescent="0.25">
      <c r="A178" s="9"/>
      <c r="B178" s="9"/>
      <c r="C178" s="10"/>
      <c r="D178" s="10"/>
    </row>
    <row r="179" spans="1:4" x14ac:dyDescent="0.25">
      <c r="A179" s="9"/>
      <c r="B179" s="9"/>
      <c r="C179" s="10"/>
      <c r="D179" s="10"/>
    </row>
    <row r="180" spans="1:4" x14ac:dyDescent="0.25">
      <c r="A180" s="9"/>
      <c r="B180" s="9"/>
      <c r="C180" s="10"/>
      <c r="D180" s="10"/>
    </row>
    <row r="181" spans="1:4" x14ac:dyDescent="0.25">
      <c r="A181" s="9"/>
      <c r="B181" s="9"/>
      <c r="C181" s="10"/>
      <c r="D181" s="10"/>
    </row>
    <row r="182" spans="1:4" x14ac:dyDescent="0.25">
      <c r="A182" s="9"/>
      <c r="B182" s="9"/>
      <c r="C182" s="10"/>
      <c r="D182" s="10"/>
    </row>
    <row r="183" spans="1:4" x14ac:dyDescent="0.25">
      <c r="A183" s="9"/>
      <c r="B183" s="9"/>
      <c r="C183" s="10"/>
      <c r="D183" s="10"/>
    </row>
    <row r="184" spans="1:4" x14ac:dyDescent="0.25">
      <c r="A184" s="9"/>
      <c r="B184" s="9"/>
      <c r="C184" s="10"/>
      <c r="D184" s="10"/>
    </row>
    <row r="185" spans="1:4" x14ac:dyDescent="0.25">
      <c r="A185" s="9"/>
      <c r="B185" s="9"/>
      <c r="C185" s="10"/>
      <c r="D185" s="10"/>
    </row>
    <row r="186" spans="1:4" x14ac:dyDescent="0.25">
      <c r="A186" s="9"/>
      <c r="B186" s="9"/>
      <c r="C186" s="10"/>
      <c r="D186" s="10"/>
    </row>
    <row r="187" spans="1:4" x14ac:dyDescent="0.25">
      <c r="A187" s="9"/>
      <c r="B187" s="9"/>
      <c r="C187" s="10"/>
      <c r="D187" s="10"/>
    </row>
    <row r="188" spans="1:4" x14ac:dyDescent="0.25">
      <c r="A188" s="9"/>
      <c r="B188" s="9"/>
      <c r="C188" s="10"/>
      <c r="D188" s="10"/>
    </row>
    <row r="189" spans="1:4" x14ac:dyDescent="0.25">
      <c r="A189" s="9"/>
      <c r="B189" s="9"/>
      <c r="C189" s="10"/>
      <c r="D189" s="10"/>
    </row>
    <row r="190" spans="1:4" x14ac:dyDescent="0.25">
      <c r="A190" s="9"/>
      <c r="B190" s="9"/>
      <c r="C190" s="10"/>
      <c r="D190" s="10"/>
    </row>
  </sheetData>
  <mergeCells count="2">
    <mergeCell ref="A4:D4"/>
    <mergeCell ref="B6:D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8AE5C-49FB-47F0-8576-A5229B138E63}">
  <sheetPr>
    <tabColor theme="0" tint="-0.499984740745262"/>
  </sheetPr>
  <dimension ref="D7:G38"/>
  <sheetViews>
    <sheetView topLeftCell="A14" workbookViewId="0">
      <selection activeCell="I37" sqref="I37"/>
    </sheetView>
  </sheetViews>
  <sheetFormatPr baseColWidth="10" defaultRowHeight="15" x14ac:dyDescent="0.25"/>
  <cols>
    <col min="4" max="4" width="25.5703125" customWidth="1"/>
    <col min="5" max="5" width="26.85546875" customWidth="1"/>
    <col min="6" max="6" width="17.85546875" customWidth="1"/>
    <col min="7" max="7" width="16.42578125" customWidth="1"/>
  </cols>
  <sheetData>
    <row r="7" spans="4:7" ht="18.75" x14ac:dyDescent="0.3">
      <c r="D7" s="49" t="s">
        <v>1</v>
      </c>
      <c r="E7" s="101" t="s">
        <v>603</v>
      </c>
      <c r="F7" s="102"/>
      <c r="G7" s="102"/>
    </row>
    <row r="8" spans="4:7" ht="18.75" x14ac:dyDescent="0.3">
      <c r="D8" s="50" t="s">
        <v>11</v>
      </c>
      <c r="E8" s="48" t="s">
        <v>212</v>
      </c>
      <c r="F8" s="48"/>
      <c r="G8" s="48"/>
    </row>
    <row r="9" spans="4:7" ht="18.75" x14ac:dyDescent="0.3">
      <c r="D9" s="51"/>
      <c r="E9" s="1"/>
      <c r="F9" s="52"/>
      <c r="G9" s="52"/>
    </row>
    <row r="10" spans="4:7" ht="18.75" x14ac:dyDescent="0.3">
      <c r="D10" s="49" t="s">
        <v>2</v>
      </c>
      <c r="E10" s="49" t="s">
        <v>173</v>
      </c>
      <c r="F10" s="53" t="s">
        <v>4</v>
      </c>
      <c r="G10" s="53" t="s">
        <v>5</v>
      </c>
    </row>
    <row r="11" spans="4:7" ht="18.75" x14ac:dyDescent="0.3">
      <c r="D11" s="54">
        <v>45943</v>
      </c>
      <c r="E11" s="55" t="s">
        <v>3</v>
      </c>
      <c r="F11" s="56">
        <v>1530</v>
      </c>
      <c r="G11" s="56">
        <f>F11</f>
        <v>1530</v>
      </c>
    </row>
    <row r="12" spans="4:7" ht="18.75" x14ac:dyDescent="0.3">
      <c r="D12" s="54">
        <v>45943</v>
      </c>
      <c r="E12" s="55" t="s">
        <v>178</v>
      </c>
      <c r="F12" s="56">
        <v>-1530</v>
      </c>
      <c r="G12" s="56">
        <f>G11+F12</f>
        <v>0</v>
      </c>
    </row>
    <row r="13" spans="4:7" ht="18.75" x14ac:dyDescent="0.3">
      <c r="D13" s="54">
        <v>45950</v>
      </c>
      <c r="E13" s="55" t="s">
        <v>3</v>
      </c>
      <c r="F13" s="56">
        <v>430</v>
      </c>
      <c r="G13" s="56">
        <f t="shared" ref="G13:G15" si="0">G12+F13</f>
        <v>430</v>
      </c>
    </row>
    <row r="14" spans="4:7" ht="18.75" x14ac:dyDescent="0.3">
      <c r="D14" s="54">
        <v>45950</v>
      </c>
      <c r="E14" s="55" t="s">
        <v>178</v>
      </c>
      <c r="F14" s="56">
        <v>-430</v>
      </c>
      <c r="G14" s="56">
        <f t="shared" si="0"/>
        <v>0</v>
      </c>
    </row>
    <row r="15" spans="4:7" ht="18.75" x14ac:dyDescent="0.3">
      <c r="D15" s="54">
        <v>46100</v>
      </c>
      <c r="E15" s="55" t="s">
        <v>3</v>
      </c>
      <c r="F15" s="56">
        <v>880</v>
      </c>
      <c r="G15" s="56">
        <f t="shared" si="0"/>
        <v>880</v>
      </c>
    </row>
    <row r="16" spans="4:7" ht="18.75" x14ac:dyDescent="0.3">
      <c r="D16" s="54">
        <v>46100</v>
      </c>
      <c r="E16" s="55" t="s">
        <v>178</v>
      </c>
      <c r="F16" s="56">
        <v>-880</v>
      </c>
      <c r="G16" s="56">
        <f t="shared" ref="G16:G36" si="1">G15+F16</f>
        <v>0</v>
      </c>
    </row>
    <row r="17" spans="4:7" ht="18.75" x14ac:dyDescent="0.3">
      <c r="D17" s="54">
        <v>46113</v>
      </c>
      <c r="E17" s="55" t="s">
        <v>129</v>
      </c>
      <c r="F17" s="56">
        <v>5880</v>
      </c>
      <c r="G17" s="56">
        <f t="shared" si="1"/>
        <v>5880</v>
      </c>
    </row>
    <row r="18" spans="4:7" ht="18.75" x14ac:dyDescent="0.3">
      <c r="D18" s="54">
        <v>46118</v>
      </c>
      <c r="E18" s="55" t="s">
        <v>178</v>
      </c>
      <c r="F18" s="56">
        <v>-5880</v>
      </c>
      <c r="G18" s="56">
        <f t="shared" si="1"/>
        <v>0</v>
      </c>
    </row>
    <row r="19" spans="4:7" ht="18.75" x14ac:dyDescent="0.3">
      <c r="D19" s="54">
        <v>46196</v>
      </c>
      <c r="E19" s="55" t="s">
        <v>3</v>
      </c>
      <c r="F19" s="56">
        <v>300</v>
      </c>
      <c r="G19" s="56">
        <f t="shared" si="1"/>
        <v>300</v>
      </c>
    </row>
    <row r="20" spans="4:7" ht="18.75" x14ac:dyDescent="0.3">
      <c r="D20" s="54">
        <v>46135</v>
      </c>
      <c r="E20" s="55" t="s">
        <v>178</v>
      </c>
      <c r="F20" s="56">
        <v>-300</v>
      </c>
      <c r="G20" s="56">
        <f t="shared" si="1"/>
        <v>0</v>
      </c>
    </row>
    <row r="21" spans="4:7" ht="18.75" x14ac:dyDescent="0.3">
      <c r="D21" s="54">
        <v>46163</v>
      </c>
      <c r="E21" s="55" t="s">
        <v>3</v>
      </c>
      <c r="F21" s="56">
        <v>300</v>
      </c>
      <c r="G21" s="56">
        <f t="shared" si="1"/>
        <v>300</v>
      </c>
    </row>
    <row r="22" spans="4:7" ht="18.75" x14ac:dyDescent="0.3">
      <c r="D22" s="54">
        <v>46163</v>
      </c>
      <c r="E22" s="55" t="s">
        <v>438</v>
      </c>
      <c r="F22" s="56">
        <v>-300</v>
      </c>
      <c r="G22" s="56">
        <f t="shared" si="1"/>
        <v>0</v>
      </c>
    </row>
    <row r="23" spans="4:7" ht="18.75" x14ac:dyDescent="0.3">
      <c r="D23" s="54">
        <v>46176</v>
      </c>
      <c r="E23" s="55" t="s">
        <v>129</v>
      </c>
      <c r="F23" s="56">
        <v>3230</v>
      </c>
      <c r="G23" s="56">
        <f t="shared" si="1"/>
        <v>3230</v>
      </c>
    </row>
    <row r="24" spans="4:7" ht="18.75" x14ac:dyDescent="0.3">
      <c r="D24" s="54">
        <v>46177</v>
      </c>
      <c r="E24" s="55" t="s">
        <v>178</v>
      </c>
      <c r="F24" s="56">
        <v>-3230</v>
      </c>
      <c r="G24" s="56">
        <f t="shared" si="1"/>
        <v>0</v>
      </c>
    </row>
    <row r="25" spans="4:7" ht="18.75" x14ac:dyDescent="0.3">
      <c r="D25" s="54">
        <v>46205</v>
      </c>
      <c r="E25" s="55" t="s">
        <v>3</v>
      </c>
      <c r="F25" s="56">
        <v>300</v>
      </c>
      <c r="G25" s="56">
        <f t="shared" si="1"/>
        <v>300</v>
      </c>
    </row>
    <row r="26" spans="4:7" ht="18.75" x14ac:dyDescent="0.3">
      <c r="D26" s="54">
        <v>46205</v>
      </c>
      <c r="E26" s="55" t="s">
        <v>178</v>
      </c>
      <c r="F26" s="56">
        <v>-300</v>
      </c>
      <c r="G26" s="56">
        <f t="shared" si="1"/>
        <v>0</v>
      </c>
    </row>
    <row r="27" spans="4:7" ht="18.75" x14ac:dyDescent="0.3">
      <c r="D27" s="54">
        <v>46241</v>
      </c>
      <c r="E27" s="55" t="s">
        <v>3</v>
      </c>
      <c r="F27" s="56">
        <v>720</v>
      </c>
      <c r="G27" s="56">
        <f t="shared" si="1"/>
        <v>720</v>
      </c>
    </row>
    <row r="28" spans="4:7" ht="18.75" x14ac:dyDescent="0.3">
      <c r="D28" s="54">
        <v>46241</v>
      </c>
      <c r="E28" s="55" t="s">
        <v>178</v>
      </c>
      <c r="F28" s="56">
        <v>-720</v>
      </c>
      <c r="G28" s="56">
        <f t="shared" si="1"/>
        <v>0</v>
      </c>
    </row>
    <row r="29" spans="4:7" ht="18.75" x14ac:dyDescent="0.3">
      <c r="D29" s="54">
        <v>46254</v>
      </c>
      <c r="E29" s="55" t="s">
        <v>3</v>
      </c>
      <c r="F29" s="56">
        <v>300</v>
      </c>
      <c r="G29" s="56">
        <f t="shared" si="1"/>
        <v>300</v>
      </c>
    </row>
    <row r="30" spans="4:7" ht="18.75" x14ac:dyDescent="0.3">
      <c r="D30" s="54">
        <v>46254</v>
      </c>
      <c r="E30" s="55" t="s">
        <v>178</v>
      </c>
      <c r="F30" s="56">
        <v>-300</v>
      </c>
      <c r="G30" s="56">
        <f t="shared" si="1"/>
        <v>0</v>
      </c>
    </row>
    <row r="31" spans="4:7" ht="18.75" x14ac:dyDescent="0.3">
      <c r="D31" s="54">
        <v>46275</v>
      </c>
      <c r="E31" s="55" t="s">
        <v>3</v>
      </c>
      <c r="F31" s="56">
        <v>1920</v>
      </c>
      <c r="G31" s="56">
        <f t="shared" si="1"/>
        <v>1920</v>
      </c>
    </row>
    <row r="32" spans="4:7" ht="18.75" x14ac:dyDescent="0.3">
      <c r="D32" s="54">
        <v>46275</v>
      </c>
      <c r="E32" s="55" t="s">
        <v>178</v>
      </c>
      <c r="F32" s="56">
        <v>-1920</v>
      </c>
      <c r="G32" s="56">
        <f t="shared" si="1"/>
        <v>0</v>
      </c>
    </row>
    <row r="33" spans="4:7" ht="18.75" x14ac:dyDescent="0.3">
      <c r="D33" s="54"/>
      <c r="E33" s="55"/>
      <c r="F33" s="56"/>
      <c r="G33" s="56">
        <f t="shared" si="1"/>
        <v>0</v>
      </c>
    </row>
    <row r="34" spans="4:7" ht="18.75" x14ac:dyDescent="0.3">
      <c r="D34" s="54"/>
      <c r="E34" s="55"/>
      <c r="F34" s="56"/>
      <c r="G34" s="56">
        <f t="shared" si="1"/>
        <v>0</v>
      </c>
    </row>
    <row r="35" spans="4:7" ht="18.75" x14ac:dyDescent="0.3">
      <c r="D35" s="54"/>
      <c r="E35" s="55"/>
      <c r="F35" s="56"/>
      <c r="G35" s="56">
        <f t="shared" si="1"/>
        <v>0</v>
      </c>
    </row>
    <row r="36" spans="4:7" ht="18.75" x14ac:dyDescent="0.3">
      <c r="D36" s="54"/>
      <c r="E36" s="55"/>
      <c r="F36" s="56"/>
      <c r="G36" s="56">
        <f t="shared" si="1"/>
        <v>0</v>
      </c>
    </row>
    <row r="37" spans="4:7" ht="18.75" x14ac:dyDescent="0.3">
      <c r="D37" s="51"/>
      <c r="E37" s="51"/>
      <c r="F37" s="51"/>
      <c r="G37" s="51"/>
    </row>
    <row r="38" spans="4:7" ht="18.75" x14ac:dyDescent="0.3">
      <c r="D38" s="51"/>
      <c r="E38" s="51"/>
      <c r="F38" s="51"/>
      <c r="G38" s="51"/>
    </row>
  </sheetData>
  <mergeCells count="1">
    <mergeCell ref="E7:G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34AD3-12F7-4B3D-82D2-C8FB511B2474}">
  <dimension ref="A1:D195"/>
  <sheetViews>
    <sheetView workbookViewId="0">
      <selection activeCell="C17" sqref="C17"/>
    </sheetView>
  </sheetViews>
  <sheetFormatPr baseColWidth="10" defaultRowHeight="15" x14ac:dyDescent="0.25"/>
  <cols>
    <col min="2" max="2" width="23" customWidth="1"/>
    <col min="3" max="3" width="11" bestFit="1" customWidth="1"/>
    <col min="4" max="4" width="14.85546875" customWidth="1"/>
  </cols>
  <sheetData>
    <row r="1" spans="1:4" x14ac:dyDescent="0.25">
      <c r="C1" s="6"/>
      <c r="D1" s="6"/>
    </row>
    <row r="2" spans="1:4" x14ac:dyDescent="0.25">
      <c r="C2" s="6"/>
      <c r="D2" s="6"/>
    </row>
    <row r="3" spans="1:4" x14ac:dyDescent="0.25">
      <c r="C3" s="6"/>
      <c r="D3" s="6"/>
    </row>
    <row r="4" spans="1:4" ht="18" x14ac:dyDescent="0.25">
      <c r="A4" s="98" t="s">
        <v>0</v>
      </c>
      <c r="B4" s="98"/>
      <c r="C4" s="98"/>
      <c r="D4" s="98"/>
    </row>
    <row r="5" spans="1:4" x14ac:dyDescent="0.25">
      <c r="C5" s="6"/>
      <c r="D5" s="6"/>
    </row>
    <row r="6" spans="1:4" x14ac:dyDescent="0.25">
      <c r="A6" s="2" t="s">
        <v>1</v>
      </c>
      <c r="B6" s="96" t="s">
        <v>519</v>
      </c>
      <c r="C6" s="97"/>
      <c r="D6" s="97"/>
    </row>
    <row r="7" spans="1:4" x14ac:dyDescent="0.25">
      <c r="A7" s="3" t="s">
        <v>11</v>
      </c>
      <c r="B7" s="4" t="s">
        <v>491</v>
      </c>
      <c r="C7" s="4"/>
      <c r="D7" s="4"/>
    </row>
    <row r="8" spans="1:4" x14ac:dyDescent="0.25">
      <c r="B8" s="5"/>
      <c r="C8" s="6"/>
      <c r="D8" s="6"/>
    </row>
    <row r="9" spans="1:4" x14ac:dyDescent="0.25">
      <c r="A9" s="2" t="s">
        <v>2</v>
      </c>
      <c r="B9" s="2" t="s">
        <v>3</v>
      </c>
      <c r="C9" s="7" t="s">
        <v>4</v>
      </c>
      <c r="D9" s="7" t="s">
        <v>5</v>
      </c>
    </row>
    <row r="10" spans="1:4" x14ac:dyDescent="0.25">
      <c r="A10" s="8">
        <v>46205</v>
      </c>
      <c r="B10" s="9" t="s">
        <v>3</v>
      </c>
      <c r="C10" s="10">
        <v>1300</v>
      </c>
      <c r="D10" s="10">
        <f>C10</f>
        <v>1300</v>
      </c>
    </row>
    <row r="11" spans="1:4" x14ac:dyDescent="0.25">
      <c r="A11" s="8">
        <v>46212</v>
      </c>
      <c r="B11" s="9" t="s">
        <v>499</v>
      </c>
      <c r="C11" s="10">
        <v>-1300</v>
      </c>
      <c r="D11" s="10">
        <f t="shared" ref="D11:D74" si="0">C11</f>
        <v>-1300</v>
      </c>
    </row>
    <row r="12" spans="1:4" x14ac:dyDescent="0.25">
      <c r="A12" s="8">
        <v>46226</v>
      </c>
      <c r="B12" s="9" t="s">
        <v>3</v>
      </c>
      <c r="C12" s="10">
        <v>620</v>
      </c>
      <c r="D12" s="10">
        <f t="shared" si="0"/>
        <v>620</v>
      </c>
    </row>
    <row r="13" spans="1:4" x14ac:dyDescent="0.25">
      <c r="A13" s="8">
        <v>46226</v>
      </c>
      <c r="B13" s="9" t="s">
        <v>178</v>
      </c>
      <c r="C13" s="10">
        <v>-620</v>
      </c>
      <c r="D13" s="10">
        <f t="shared" si="0"/>
        <v>-620</v>
      </c>
    </row>
    <row r="14" spans="1:4" x14ac:dyDescent="0.25">
      <c r="A14" s="8">
        <v>46247</v>
      </c>
      <c r="B14" s="9" t="s">
        <v>3</v>
      </c>
      <c r="C14" s="10">
        <v>1070</v>
      </c>
      <c r="D14" s="10">
        <f t="shared" si="0"/>
        <v>1070</v>
      </c>
    </row>
    <row r="15" spans="1:4" x14ac:dyDescent="0.25">
      <c r="A15" s="8">
        <v>46247</v>
      </c>
      <c r="B15" s="9" t="s">
        <v>178</v>
      </c>
      <c r="C15" s="10">
        <v>-1070</v>
      </c>
      <c r="D15" s="10">
        <f t="shared" si="0"/>
        <v>-1070</v>
      </c>
    </row>
    <row r="16" spans="1:4" x14ac:dyDescent="0.25">
      <c r="A16" s="8">
        <v>46296</v>
      </c>
      <c r="B16" s="9" t="s">
        <v>3</v>
      </c>
      <c r="C16" s="10">
        <v>2290</v>
      </c>
      <c r="D16" s="10">
        <f t="shared" si="0"/>
        <v>2290</v>
      </c>
    </row>
    <row r="17" spans="1:4" x14ac:dyDescent="0.25">
      <c r="A17" s="8">
        <v>46296</v>
      </c>
      <c r="B17" s="9" t="s">
        <v>178</v>
      </c>
      <c r="C17" s="10">
        <v>-2290</v>
      </c>
      <c r="D17" s="10">
        <f t="shared" si="0"/>
        <v>-2290</v>
      </c>
    </row>
    <row r="18" spans="1:4" x14ac:dyDescent="0.25">
      <c r="A18" s="8"/>
      <c r="B18" s="9"/>
      <c r="C18" s="10">
        <v>0</v>
      </c>
      <c r="D18" s="10">
        <f t="shared" si="0"/>
        <v>0</v>
      </c>
    </row>
    <row r="19" spans="1:4" x14ac:dyDescent="0.25">
      <c r="A19" s="8"/>
      <c r="B19" s="9"/>
      <c r="C19" s="10">
        <v>0</v>
      </c>
      <c r="D19" s="10">
        <f t="shared" si="0"/>
        <v>0</v>
      </c>
    </row>
    <row r="20" spans="1:4" x14ac:dyDescent="0.25">
      <c r="A20" s="8"/>
      <c r="B20" s="9"/>
      <c r="C20" s="10">
        <v>0</v>
      </c>
      <c r="D20" s="10">
        <f t="shared" si="0"/>
        <v>0</v>
      </c>
    </row>
    <row r="21" spans="1:4" x14ac:dyDescent="0.25">
      <c r="A21" s="8"/>
      <c r="B21" s="9"/>
      <c r="C21" s="10">
        <v>0</v>
      </c>
      <c r="D21" s="10">
        <f t="shared" si="0"/>
        <v>0</v>
      </c>
    </row>
    <row r="22" spans="1:4" x14ac:dyDescent="0.25">
      <c r="A22" s="8"/>
      <c r="B22" s="9"/>
      <c r="C22" s="10">
        <v>0</v>
      </c>
      <c r="D22" s="10">
        <f t="shared" si="0"/>
        <v>0</v>
      </c>
    </row>
    <row r="23" spans="1:4" x14ac:dyDescent="0.25">
      <c r="A23" s="8"/>
      <c r="B23" s="9"/>
      <c r="C23" s="10">
        <v>0</v>
      </c>
      <c r="D23" s="10">
        <f t="shared" si="0"/>
        <v>0</v>
      </c>
    </row>
    <row r="24" spans="1:4" x14ac:dyDescent="0.25">
      <c r="A24" s="8"/>
      <c r="B24" s="9"/>
      <c r="C24" s="10">
        <v>0</v>
      </c>
      <c r="D24" s="10">
        <f t="shared" si="0"/>
        <v>0</v>
      </c>
    </row>
    <row r="25" spans="1:4" x14ac:dyDescent="0.25">
      <c r="A25" s="8"/>
      <c r="B25" s="9"/>
      <c r="C25" s="10">
        <v>0</v>
      </c>
      <c r="D25" s="10">
        <f t="shared" si="0"/>
        <v>0</v>
      </c>
    </row>
    <row r="26" spans="1:4" x14ac:dyDescent="0.25">
      <c r="A26" s="8"/>
      <c r="B26" s="9"/>
      <c r="C26" s="10">
        <v>0</v>
      </c>
      <c r="D26" s="10">
        <f t="shared" si="0"/>
        <v>0</v>
      </c>
    </row>
    <row r="27" spans="1:4" x14ac:dyDescent="0.25">
      <c r="A27" s="8"/>
      <c r="B27" s="9"/>
      <c r="C27" s="10">
        <v>0</v>
      </c>
      <c r="D27" s="10">
        <f t="shared" si="0"/>
        <v>0</v>
      </c>
    </row>
    <row r="28" spans="1:4" x14ac:dyDescent="0.25">
      <c r="A28" s="8"/>
      <c r="B28" s="9"/>
      <c r="C28" s="10">
        <v>0</v>
      </c>
      <c r="D28" s="10">
        <f t="shared" si="0"/>
        <v>0</v>
      </c>
    </row>
    <row r="29" spans="1:4" x14ac:dyDescent="0.25">
      <c r="A29" s="8"/>
      <c r="B29" s="9"/>
      <c r="C29" s="10">
        <v>0</v>
      </c>
      <c r="D29" s="10">
        <f t="shared" si="0"/>
        <v>0</v>
      </c>
    </row>
    <row r="30" spans="1:4" x14ac:dyDescent="0.25">
      <c r="A30" s="8"/>
      <c r="B30" s="9"/>
      <c r="C30" s="10">
        <v>0</v>
      </c>
      <c r="D30" s="10">
        <f t="shared" si="0"/>
        <v>0</v>
      </c>
    </row>
    <row r="31" spans="1:4" x14ac:dyDescent="0.25">
      <c r="A31" s="13"/>
      <c r="B31" s="9"/>
      <c r="C31" s="10">
        <v>0</v>
      </c>
      <c r="D31" s="10">
        <f t="shared" si="0"/>
        <v>0</v>
      </c>
    </row>
    <row r="32" spans="1:4" x14ac:dyDescent="0.25">
      <c r="A32" s="8"/>
      <c r="B32" s="9"/>
      <c r="C32" s="10">
        <v>0</v>
      </c>
      <c r="D32" s="10">
        <f t="shared" si="0"/>
        <v>0</v>
      </c>
    </row>
    <row r="33" spans="1:4" x14ac:dyDescent="0.25">
      <c r="A33" s="8"/>
      <c r="B33" s="9"/>
      <c r="C33" s="10">
        <v>0</v>
      </c>
      <c r="D33" s="10">
        <f t="shared" si="0"/>
        <v>0</v>
      </c>
    </row>
    <row r="34" spans="1:4" x14ac:dyDescent="0.25">
      <c r="A34" s="8"/>
      <c r="B34" s="9"/>
      <c r="C34" s="10">
        <v>0</v>
      </c>
      <c r="D34" s="10">
        <f t="shared" si="0"/>
        <v>0</v>
      </c>
    </row>
    <row r="35" spans="1:4" x14ac:dyDescent="0.25">
      <c r="A35" s="8"/>
      <c r="B35" s="9"/>
      <c r="C35" s="10">
        <v>0</v>
      </c>
      <c r="D35" s="10">
        <f t="shared" si="0"/>
        <v>0</v>
      </c>
    </row>
    <row r="36" spans="1:4" x14ac:dyDescent="0.25">
      <c r="A36" s="8"/>
      <c r="B36" s="9"/>
      <c r="C36" s="10">
        <v>0</v>
      </c>
      <c r="D36" s="10">
        <f t="shared" si="0"/>
        <v>0</v>
      </c>
    </row>
    <row r="37" spans="1:4" x14ac:dyDescent="0.25">
      <c r="A37" s="8"/>
      <c r="B37" s="9"/>
      <c r="C37" s="10">
        <v>0</v>
      </c>
      <c r="D37" s="10">
        <f t="shared" si="0"/>
        <v>0</v>
      </c>
    </row>
    <row r="38" spans="1:4" x14ac:dyDescent="0.25">
      <c r="A38" s="8"/>
      <c r="B38" s="9"/>
      <c r="C38" s="10">
        <v>0</v>
      </c>
      <c r="D38" s="10">
        <f t="shared" si="0"/>
        <v>0</v>
      </c>
    </row>
    <row r="39" spans="1:4" x14ac:dyDescent="0.25">
      <c r="A39" s="8"/>
      <c r="B39" s="9"/>
      <c r="C39" s="10">
        <v>0</v>
      </c>
      <c r="D39" s="10">
        <f t="shared" si="0"/>
        <v>0</v>
      </c>
    </row>
    <row r="40" spans="1:4" x14ac:dyDescent="0.25">
      <c r="A40" s="8"/>
      <c r="B40" s="9"/>
      <c r="C40" s="10">
        <v>0</v>
      </c>
      <c r="D40" s="10">
        <f t="shared" si="0"/>
        <v>0</v>
      </c>
    </row>
    <row r="41" spans="1:4" x14ac:dyDescent="0.25">
      <c r="A41" s="8"/>
      <c r="B41" s="9"/>
      <c r="C41" s="10">
        <v>0</v>
      </c>
      <c r="D41" s="10">
        <f t="shared" si="0"/>
        <v>0</v>
      </c>
    </row>
    <row r="42" spans="1:4" x14ac:dyDescent="0.25">
      <c r="A42" s="8"/>
      <c r="B42" s="9"/>
      <c r="C42" s="10">
        <v>0</v>
      </c>
      <c r="D42" s="10">
        <f t="shared" si="0"/>
        <v>0</v>
      </c>
    </row>
    <row r="43" spans="1:4" x14ac:dyDescent="0.25">
      <c r="A43" s="8"/>
      <c r="B43" s="9"/>
      <c r="C43" s="10">
        <v>0</v>
      </c>
      <c r="D43" s="10">
        <f t="shared" si="0"/>
        <v>0</v>
      </c>
    </row>
    <row r="44" spans="1:4" x14ac:dyDescent="0.25">
      <c r="A44" s="8"/>
      <c r="B44" s="9"/>
      <c r="C44" s="10">
        <v>0</v>
      </c>
      <c r="D44" s="10">
        <f t="shared" si="0"/>
        <v>0</v>
      </c>
    </row>
    <row r="45" spans="1:4" x14ac:dyDescent="0.25">
      <c r="A45" s="8"/>
      <c r="B45" s="9"/>
      <c r="C45" s="10">
        <v>0</v>
      </c>
      <c r="D45" s="10">
        <f t="shared" si="0"/>
        <v>0</v>
      </c>
    </row>
    <row r="46" spans="1:4" x14ac:dyDescent="0.25">
      <c r="A46" s="8"/>
      <c r="B46" s="9"/>
      <c r="C46" s="10">
        <v>0</v>
      </c>
      <c r="D46" s="10">
        <f t="shared" si="0"/>
        <v>0</v>
      </c>
    </row>
    <row r="47" spans="1:4" x14ac:dyDescent="0.25">
      <c r="A47" s="8"/>
      <c r="B47" s="9"/>
      <c r="C47" s="10">
        <v>0</v>
      </c>
      <c r="D47" s="10">
        <f t="shared" si="0"/>
        <v>0</v>
      </c>
    </row>
    <row r="48" spans="1:4" x14ac:dyDescent="0.25">
      <c r="A48" s="8"/>
      <c r="B48" s="9"/>
      <c r="C48" s="10">
        <v>0</v>
      </c>
      <c r="D48" s="10">
        <f t="shared" si="0"/>
        <v>0</v>
      </c>
    </row>
    <row r="49" spans="1:4" x14ac:dyDescent="0.25">
      <c r="A49" s="8"/>
      <c r="B49" s="9"/>
      <c r="C49" s="10">
        <v>0</v>
      </c>
      <c r="D49" s="10">
        <f t="shared" si="0"/>
        <v>0</v>
      </c>
    </row>
    <row r="50" spans="1:4" x14ac:dyDescent="0.25">
      <c r="A50" s="8"/>
      <c r="B50" s="9"/>
      <c r="C50" s="10">
        <v>0</v>
      </c>
      <c r="D50" s="10">
        <f t="shared" si="0"/>
        <v>0</v>
      </c>
    </row>
    <row r="51" spans="1:4" x14ac:dyDescent="0.25">
      <c r="A51" s="8"/>
      <c r="B51" s="9"/>
      <c r="C51" s="10">
        <v>0</v>
      </c>
      <c r="D51" s="10">
        <f t="shared" si="0"/>
        <v>0</v>
      </c>
    </row>
    <row r="52" spans="1:4" x14ac:dyDescent="0.25">
      <c r="A52" s="8"/>
      <c r="B52" s="9"/>
      <c r="C52" s="10">
        <v>0</v>
      </c>
      <c r="D52" s="10">
        <f t="shared" si="0"/>
        <v>0</v>
      </c>
    </row>
    <row r="53" spans="1:4" x14ac:dyDescent="0.25">
      <c r="A53" s="8"/>
      <c r="B53" s="9"/>
      <c r="C53" s="10">
        <v>0</v>
      </c>
      <c r="D53" s="10">
        <f t="shared" si="0"/>
        <v>0</v>
      </c>
    </row>
    <row r="54" spans="1:4" x14ac:dyDescent="0.25">
      <c r="A54" s="8"/>
      <c r="B54" s="9"/>
      <c r="C54" s="10">
        <v>0</v>
      </c>
      <c r="D54" s="10">
        <f t="shared" si="0"/>
        <v>0</v>
      </c>
    </row>
    <row r="55" spans="1:4" x14ac:dyDescent="0.25">
      <c r="A55" s="8"/>
      <c r="B55" s="9"/>
      <c r="C55" s="10">
        <v>0</v>
      </c>
      <c r="D55" s="10">
        <f t="shared" si="0"/>
        <v>0</v>
      </c>
    </row>
    <row r="56" spans="1:4" x14ac:dyDescent="0.25">
      <c r="A56" s="8"/>
      <c r="B56" s="9"/>
      <c r="C56" s="10">
        <v>0</v>
      </c>
      <c r="D56" s="10">
        <f t="shared" si="0"/>
        <v>0</v>
      </c>
    </row>
    <row r="57" spans="1:4" x14ac:dyDescent="0.25">
      <c r="A57" s="8"/>
      <c r="B57" s="9"/>
      <c r="C57" s="10">
        <v>0</v>
      </c>
      <c r="D57" s="10">
        <f t="shared" si="0"/>
        <v>0</v>
      </c>
    </row>
    <row r="58" spans="1:4" x14ac:dyDescent="0.25">
      <c r="A58" s="8"/>
      <c r="B58" s="9"/>
      <c r="C58" s="10">
        <v>0</v>
      </c>
      <c r="D58" s="10">
        <f t="shared" si="0"/>
        <v>0</v>
      </c>
    </row>
    <row r="59" spans="1:4" x14ac:dyDescent="0.25">
      <c r="A59" s="8"/>
      <c r="B59" s="9"/>
      <c r="C59" s="10">
        <v>0</v>
      </c>
      <c r="D59" s="10">
        <f t="shared" si="0"/>
        <v>0</v>
      </c>
    </row>
    <row r="60" spans="1:4" x14ac:dyDescent="0.25">
      <c r="A60" s="8"/>
      <c r="B60" s="9"/>
      <c r="C60" s="10">
        <v>0</v>
      </c>
      <c r="D60" s="10">
        <f t="shared" si="0"/>
        <v>0</v>
      </c>
    </row>
    <row r="61" spans="1:4" x14ac:dyDescent="0.25">
      <c r="A61" s="8"/>
      <c r="B61" s="9"/>
      <c r="C61" s="10">
        <v>0</v>
      </c>
      <c r="D61" s="10">
        <f t="shared" si="0"/>
        <v>0</v>
      </c>
    </row>
    <row r="62" spans="1:4" x14ac:dyDescent="0.25">
      <c r="A62" s="8"/>
      <c r="B62" s="9"/>
      <c r="C62" s="10">
        <v>0</v>
      </c>
      <c r="D62" s="10">
        <f t="shared" si="0"/>
        <v>0</v>
      </c>
    </row>
    <row r="63" spans="1:4" x14ac:dyDescent="0.25">
      <c r="A63" s="8"/>
      <c r="B63" s="9"/>
      <c r="C63" s="10">
        <v>0</v>
      </c>
      <c r="D63" s="10">
        <f t="shared" si="0"/>
        <v>0</v>
      </c>
    </row>
    <row r="64" spans="1:4" x14ac:dyDescent="0.25">
      <c r="A64" s="8"/>
      <c r="B64" s="9"/>
      <c r="C64" s="10">
        <v>0</v>
      </c>
      <c r="D64" s="10">
        <f t="shared" si="0"/>
        <v>0</v>
      </c>
    </row>
    <row r="65" spans="1:4" x14ac:dyDescent="0.25">
      <c r="A65" s="8"/>
      <c r="B65" s="9"/>
      <c r="C65" s="10">
        <v>0</v>
      </c>
      <c r="D65" s="10">
        <f t="shared" si="0"/>
        <v>0</v>
      </c>
    </row>
    <row r="66" spans="1:4" x14ac:dyDescent="0.25">
      <c r="A66" s="8"/>
      <c r="B66" s="9"/>
      <c r="C66" s="10">
        <v>0</v>
      </c>
      <c r="D66" s="10">
        <f t="shared" si="0"/>
        <v>0</v>
      </c>
    </row>
    <row r="67" spans="1:4" x14ac:dyDescent="0.25">
      <c r="A67" s="8"/>
      <c r="B67" s="9"/>
      <c r="C67" s="10">
        <v>0</v>
      </c>
      <c r="D67" s="10">
        <f t="shared" si="0"/>
        <v>0</v>
      </c>
    </row>
    <row r="68" spans="1:4" x14ac:dyDescent="0.25">
      <c r="A68" s="8"/>
      <c r="B68" s="9"/>
      <c r="C68" s="10">
        <v>0</v>
      </c>
      <c r="D68" s="10">
        <f t="shared" si="0"/>
        <v>0</v>
      </c>
    </row>
    <row r="69" spans="1:4" x14ac:dyDescent="0.25">
      <c r="A69" s="8"/>
      <c r="B69" s="9"/>
      <c r="C69" s="10">
        <v>0</v>
      </c>
      <c r="D69" s="10">
        <f t="shared" si="0"/>
        <v>0</v>
      </c>
    </row>
    <row r="70" spans="1:4" x14ac:dyDescent="0.25">
      <c r="A70" s="8"/>
      <c r="B70" s="9"/>
      <c r="C70" s="10">
        <v>0</v>
      </c>
      <c r="D70" s="10">
        <f t="shared" si="0"/>
        <v>0</v>
      </c>
    </row>
    <row r="71" spans="1:4" x14ac:dyDescent="0.25">
      <c r="A71" s="8"/>
      <c r="B71" s="9"/>
      <c r="C71" s="10">
        <v>0</v>
      </c>
      <c r="D71" s="10">
        <f t="shared" si="0"/>
        <v>0</v>
      </c>
    </row>
    <row r="72" spans="1:4" x14ac:dyDescent="0.25">
      <c r="A72" s="8"/>
      <c r="B72" s="9"/>
      <c r="C72" s="10">
        <v>0</v>
      </c>
      <c r="D72" s="10">
        <f t="shared" si="0"/>
        <v>0</v>
      </c>
    </row>
    <row r="73" spans="1:4" x14ac:dyDescent="0.25">
      <c r="A73" s="8"/>
      <c r="B73" s="9"/>
      <c r="C73" s="10">
        <v>0</v>
      </c>
      <c r="D73" s="10">
        <f t="shared" si="0"/>
        <v>0</v>
      </c>
    </row>
    <row r="74" spans="1:4" x14ac:dyDescent="0.25">
      <c r="A74" s="8"/>
      <c r="B74" s="9"/>
      <c r="C74" s="10">
        <v>0</v>
      </c>
      <c r="D74" s="10">
        <f t="shared" si="0"/>
        <v>0</v>
      </c>
    </row>
    <row r="75" spans="1:4" x14ac:dyDescent="0.25">
      <c r="A75" s="8"/>
      <c r="B75" s="9"/>
      <c r="C75" s="10">
        <v>0</v>
      </c>
      <c r="D75" s="10">
        <f t="shared" ref="D75:D118" si="1">C75</f>
        <v>0</v>
      </c>
    </row>
    <row r="76" spans="1:4" x14ac:dyDescent="0.25">
      <c r="A76" s="8"/>
      <c r="B76" s="9"/>
      <c r="C76" s="10">
        <v>0</v>
      </c>
      <c r="D76" s="10">
        <f t="shared" si="1"/>
        <v>0</v>
      </c>
    </row>
    <row r="77" spans="1:4" x14ac:dyDescent="0.25">
      <c r="A77" s="8"/>
      <c r="B77" s="9"/>
      <c r="C77" s="10">
        <v>0</v>
      </c>
      <c r="D77" s="10">
        <f t="shared" si="1"/>
        <v>0</v>
      </c>
    </row>
    <row r="78" spans="1:4" x14ac:dyDescent="0.25">
      <c r="A78" s="8"/>
      <c r="B78" s="9"/>
      <c r="C78" s="10">
        <v>0</v>
      </c>
      <c r="D78" s="10">
        <f t="shared" si="1"/>
        <v>0</v>
      </c>
    </row>
    <row r="79" spans="1:4" x14ac:dyDescent="0.25">
      <c r="A79" s="8"/>
      <c r="B79" s="9"/>
      <c r="C79" s="10">
        <v>0</v>
      </c>
      <c r="D79" s="10">
        <f t="shared" si="1"/>
        <v>0</v>
      </c>
    </row>
    <row r="80" spans="1:4" x14ac:dyDescent="0.25">
      <c r="A80" s="8"/>
      <c r="B80" s="9"/>
      <c r="C80" s="10">
        <v>0</v>
      </c>
      <c r="D80" s="10">
        <f t="shared" si="1"/>
        <v>0</v>
      </c>
    </row>
    <row r="81" spans="1:4" x14ac:dyDescent="0.25">
      <c r="A81" s="8"/>
      <c r="B81" s="9"/>
      <c r="C81" s="10">
        <v>0</v>
      </c>
      <c r="D81" s="10">
        <f t="shared" si="1"/>
        <v>0</v>
      </c>
    </row>
    <row r="82" spans="1:4" x14ac:dyDescent="0.25">
      <c r="A82" s="8"/>
      <c r="B82" s="9"/>
      <c r="C82" s="10">
        <v>0</v>
      </c>
      <c r="D82" s="10">
        <f t="shared" si="1"/>
        <v>0</v>
      </c>
    </row>
    <row r="83" spans="1:4" x14ac:dyDescent="0.25">
      <c r="A83" s="8"/>
      <c r="B83" s="9"/>
      <c r="C83" s="10">
        <v>0</v>
      </c>
      <c r="D83" s="10">
        <f t="shared" si="1"/>
        <v>0</v>
      </c>
    </row>
    <row r="84" spans="1:4" x14ac:dyDescent="0.25">
      <c r="A84" s="8"/>
      <c r="B84" s="9"/>
      <c r="C84" s="10">
        <v>0</v>
      </c>
      <c r="D84" s="10">
        <f t="shared" si="1"/>
        <v>0</v>
      </c>
    </row>
    <row r="85" spans="1:4" x14ac:dyDescent="0.25">
      <c r="A85" s="8"/>
      <c r="B85" s="9"/>
      <c r="C85" s="10">
        <v>0</v>
      </c>
      <c r="D85" s="10">
        <f t="shared" si="1"/>
        <v>0</v>
      </c>
    </row>
    <row r="86" spans="1:4" x14ac:dyDescent="0.25">
      <c r="A86" s="8"/>
      <c r="B86" s="9"/>
      <c r="C86" s="10">
        <v>0</v>
      </c>
      <c r="D86" s="10">
        <f t="shared" si="1"/>
        <v>0</v>
      </c>
    </row>
    <row r="87" spans="1:4" x14ac:dyDescent="0.25">
      <c r="A87" s="8"/>
      <c r="B87" s="9"/>
      <c r="C87" s="10">
        <v>0</v>
      </c>
      <c r="D87" s="10">
        <f t="shared" si="1"/>
        <v>0</v>
      </c>
    </row>
    <row r="88" spans="1:4" x14ac:dyDescent="0.25">
      <c r="A88" s="8"/>
      <c r="B88" s="9"/>
      <c r="C88" s="10">
        <v>0</v>
      </c>
      <c r="D88" s="10">
        <f t="shared" si="1"/>
        <v>0</v>
      </c>
    </row>
    <row r="89" spans="1:4" x14ac:dyDescent="0.25">
      <c r="A89" s="22"/>
      <c r="B89" s="9"/>
      <c r="C89" s="10">
        <v>0</v>
      </c>
      <c r="D89" s="10">
        <f t="shared" si="1"/>
        <v>0</v>
      </c>
    </row>
    <row r="90" spans="1:4" x14ac:dyDescent="0.25">
      <c r="A90" s="8"/>
      <c r="B90" s="9"/>
      <c r="C90" s="10">
        <v>0</v>
      </c>
      <c r="D90" s="10">
        <f t="shared" si="1"/>
        <v>0</v>
      </c>
    </row>
    <row r="91" spans="1:4" x14ac:dyDescent="0.25">
      <c r="A91" s="8"/>
      <c r="B91" s="9"/>
      <c r="C91" s="10">
        <v>0</v>
      </c>
      <c r="D91" s="10">
        <f t="shared" si="1"/>
        <v>0</v>
      </c>
    </row>
    <row r="92" spans="1:4" x14ac:dyDescent="0.25">
      <c r="A92" s="8"/>
      <c r="B92" s="9"/>
      <c r="C92" s="10">
        <v>0</v>
      </c>
      <c r="D92" s="10">
        <f t="shared" si="1"/>
        <v>0</v>
      </c>
    </row>
    <row r="93" spans="1:4" x14ac:dyDescent="0.25">
      <c r="A93" s="8"/>
      <c r="B93" s="9"/>
      <c r="C93" s="10">
        <v>0</v>
      </c>
      <c r="D93" s="10">
        <f t="shared" si="1"/>
        <v>0</v>
      </c>
    </row>
    <row r="94" spans="1:4" x14ac:dyDescent="0.25">
      <c r="A94" s="8"/>
      <c r="B94" s="9"/>
      <c r="C94" s="10">
        <v>0</v>
      </c>
      <c r="D94" s="10">
        <f t="shared" si="1"/>
        <v>0</v>
      </c>
    </row>
    <row r="95" spans="1:4" x14ac:dyDescent="0.25">
      <c r="A95" s="8"/>
      <c r="B95" s="9"/>
      <c r="C95" s="10">
        <v>0</v>
      </c>
      <c r="D95" s="10">
        <f t="shared" si="1"/>
        <v>0</v>
      </c>
    </row>
    <row r="96" spans="1:4" x14ac:dyDescent="0.25">
      <c r="A96" s="8"/>
      <c r="B96" s="9"/>
      <c r="C96" s="10">
        <v>0</v>
      </c>
      <c r="D96" s="10">
        <f t="shared" si="1"/>
        <v>0</v>
      </c>
    </row>
    <row r="97" spans="1:4" x14ac:dyDescent="0.25">
      <c r="A97" s="8"/>
      <c r="B97" s="9"/>
      <c r="C97" s="10">
        <v>0</v>
      </c>
      <c r="D97" s="10">
        <f t="shared" si="1"/>
        <v>0</v>
      </c>
    </row>
    <row r="98" spans="1:4" x14ac:dyDescent="0.25">
      <c r="A98" s="8"/>
      <c r="B98" s="9"/>
      <c r="C98" s="10">
        <v>0</v>
      </c>
      <c r="D98" s="10">
        <f t="shared" si="1"/>
        <v>0</v>
      </c>
    </row>
    <row r="99" spans="1:4" x14ac:dyDescent="0.25">
      <c r="A99" s="8"/>
      <c r="B99" s="9"/>
      <c r="C99" s="10">
        <v>0</v>
      </c>
      <c r="D99" s="10">
        <f t="shared" si="1"/>
        <v>0</v>
      </c>
    </row>
    <row r="100" spans="1:4" x14ac:dyDescent="0.25">
      <c r="A100" s="8"/>
      <c r="B100" s="9"/>
      <c r="C100" s="10">
        <v>0</v>
      </c>
      <c r="D100" s="10">
        <f t="shared" si="1"/>
        <v>0</v>
      </c>
    </row>
    <row r="101" spans="1:4" x14ac:dyDescent="0.25">
      <c r="A101" s="8"/>
      <c r="B101" s="9"/>
      <c r="C101" s="10">
        <v>0</v>
      </c>
      <c r="D101" s="10">
        <f t="shared" si="1"/>
        <v>0</v>
      </c>
    </row>
    <row r="102" spans="1:4" x14ac:dyDescent="0.25">
      <c r="A102" s="8"/>
      <c r="B102" s="9"/>
      <c r="C102" s="10">
        <v>0</v>
      </c>
      <c r="D102" s="10">
        <f t="shared" si="1"/>
        <v>0</v>
      </c>
    </row>
    <row r="103" spans="1:4" x14ac:dyDescent="0.25">
      <c r="A103" s="8"/>
      <c r="B103" s="9"/>
      <c r="C103" s="10">
        <v>0</v>
      </c>
      <c r="D103" s="10">
        <f t="shared" si="1"/>
        <v>0</v>
      </c>
    </row>
    <row r="104" spans="1:4" x14ac:dyDescent="0.25">
      <c r="A104" s="8"/>
      <c r="B104" s="9"/>
      <c r="C104" s="10">
        <v>0</v>
      </c>
      <c r="D104" s="10">
        <f t="shared" si="1"/>
        <v>0</v>
      </c>
    </row>
    <row r="105" spans="1:4" x14ac:dyDescent="0.25">
      <c r="A105" s="8"/>
      <c r="B105" s="9"/>
      <c r="C105" s="10">
        <v>0</v>
      </c>
      <c r="D105" s="10">
        <f t="shared" si="1"/>
        <v>0</v>
      </c>
    </row>
    <row r="106" spans="1:4" x14ac:dyDescent="0.25">
      <c r="A106" s="8"/>
      <c r="B106" s="9"/>
      <c r="C106" s="10">
        <v>0</v>
      </c>
      <c r="D106" s="10">
        <f t="shared" si="1"/>
        <v>0</v>
      </c>
    </row>
    <row r="107" spans="1:4" x14ac:dyDescent="0.25">
      <c r="A107" s="9"/>
      <c r="B107" s="9"/>
      <c r="C107" s="10">
        <v>0</v>
      </c>
      <c r="D107" s="10">
        <f t="shared" si="1"/>
        <v>0</v>
      </c>
    </row>
    <row r="108" spans="1:4" x14ac:dyDescent="0.25">
      <c r="A108" s="9"/>
      <c r="B108" s="9"/>
      <c r="C108" s="10">
        <v>0</v>
      </c>
      <c r="D108" s="10">
        <f t="shared" si="1"/>
        <v>0</v>
      </c>
    </row>
    <row r="109" spans="1:4" x14ac:dyDescent="0.25">
      <c r="A109" s="9"/>
      <c r="B109" s="9"/>
      <c r="C109" s="10">
        <v>0</v>
      </c>
      <c r="D109" s="10">
        <f t="shared" si="1"/>
        <v>0</v>
      </c>
    </row>
    <row r="110" spans="1:4" x14ac:dyDescent="0.25">
      <c r="A110" s="9"/>
      <c r="B110" s="9"/>
      <c r="C110" s="10">
        <v>0</v>
      </c>
      <c r="D110" s="10">
        <f t="shared" si="1"/>
        <v>0</v>
      </c>
    </row>
    <row r="111" spans="1:4" x14ac:dyDescent="0.25">
      <c r="A111" s="9"/>
      <c r="B111" s="9"/>
      <c r="C111" s="10">
        <v>0</v>
      </c>
      <c r="D111" s="10">
        <f t="shared" si="1"/>
        <v>0</v>
      </c>
    </row>
    <row r="112" spans="1:4" x14ac:dyDescent="0.25">
      <c r="A112" s="9"/>
      <c r="B112" s="9"/>
      <c r="C112" s="10">
        <v>0</v>
      </c>
      <c r="D112" s="10">
        <f t="shared" si="1"/>
        <v>0</v>
      </c>
    </row>
    <row r="113" spans="1:4" x14ac:dyDescent="0.25">
      <c r="A113" s="9"/>
      <c r="B113" s="9"/>
      <c r="C113" s="10">
        <v>0</v>
      </c>
      <c r="D113" s="10">
        <f t="shared" si="1"/>
        <v>0</v>
      </c>
    </row>
    <row r="114" spans="1:4" x14ac:dyDescent="0.25">
      <c r="A114" s="9"/>
      <c r="B114" s="9"/>
      <c r="C114" s="10">
        <v>0</v>
      </c>
      <c r="D114" s="10">
        <f t="shared" si="1"/>
        <v>0</v>
      </c>
    </row>
    <row r="115" spans="1:4" x14ac:dyDescent="0.25">
      <c r="A115" s="9"/>
      <c r="B115" s="9"/>
      <c r="C115" s="10">
        <v>0</v>
      </c>
      <c r="D115" s="10">
        <f t="shared" si="1"/>
        <v>0</v>
      </c>
    </row>
    <row r="116" spans="1:4" x14ac:dyDescent="0.25">
      <c r="A116" s="9"/>
      <c r="B116" s="9"/>
      <c r="C116" s="10">
        <v>0</v>
      </c>
      <c r="D116" s="10">
        <f t="shared" si="1"/>
        <v>0</v>
      </c>
    </row>
    <row r="117" spans="1:4" x14ac:dyDescent="0.25">
      <c r="A117" s="9"/>
      <c r="B117" s="9"/>
      <c r="C117" s="10">
        <v>0</v>
      </c>
      <c r="D117" s="10">
        <f t="shared" si="1"/>
        <v>0</v>
      </c>
    </row>
    <row r="118" spans="1:4" x14ac:dyDescent="0.25">
      <c r="A118" s="9"/>
      <c r="B118" s="9"/>
      <c r="C118" s="10">
        <v>0</v>
      </c>
      <c r="D118" s="10">
        <f t="shared" si="1"/>
        <v>0</v>
      </c>
    </row>
    <row r="119" spans="1:4" x14ac:dyDescent="0.25">
      <c r="A119" s="9"/>
      <c r="B119" s="9"/>
      <c r="C119" s="10"/>
      <c r="D119" s="10"/>
    </row>
    <row r="120" spans="1:4" x14ac:dyDescent="0.25">
      <c r="A120" s="9"/>
      <c r="B120" s="9"/>
      <c r="C120" s="10"/>
      <c r="D120" s="10"/>
    </row>
    <row r="121" spans="1:4" x14ac:dyDescent="0.25">
      <c r="A121" s="9"/>
      <c r="B121" s="9"/>
      <c r="C121" s="10"/>
      <c r="D121" s="10"/>
    </row>
    <row r="122" spans="1:4" x14ac:dyDescent="0.25">
      <c r="A122" s="9"/>
      <c r="B122" s="9"/>
      <c r="C122" s="10"/>
      <c r="D122" s="10"/>
    </row>
    <row r="123" spans="1:4" x14ac:dyDescent="0.25">
      <c r="A123" s="9"/>
      <c r="B123" s="9"/>
      <c r="C123" s="10"/>
      <c r="D123" s="10"/>
    </row>
    <row r="124" spans="1:4" x14ac:dyDescent="0.25">
      <c r="A124" s="9"/>
      <c r="B124" s="9"/>
      <c r="C124" s="10"/>
      <c r="D124" s="10"/>
    </row>
    <row r="125" spans="1:4" x14ac:dyDescent="0.25">
      <c r="A125" s="9"/>
      <c r="B125" s="9"/>
      <c r="C125" s="10"/>
      <c r="D125" s="10"/>
    </row>
    <row r="126" spans="1:4" x14ac:dyDescent="0.25">
      <c r="A126" s="9"/>
      <c r="B126" s="9"/>
      <c r="C126" s="10"/>
      <c r="D126" s="10"/>
    </row>
    <row r="127" spans="1:4" x14ac:dyDescent="0.25">
      <c r="A127" s="9"/>
      <c r="B127" s="9"/>
      <c r="C127" s="10"/>
      <c r="D127" s="10"/>
    </row>
    <row r="128" spans="1:4" x14ac:dyDescent="0.25">
      <c r="A128" s="9"/>
      <c r="B128" s="9"/>
      <c r="C128" s="10"/>
      <c r="D128" s="10"/>
    </row>
    <row r="129" spans="1:4" x14ac:dyDescent="0.25">
      <c r="A129" s="9"/>
      <c r="B129" s="9"/>
      <c r="C129" s="10"/>
      <c r="D129" s="10"/>
    </row>
    <row r="130" spans="1:4" x14ac:dyDescent="0.25">
      <c r="A130" s="9"/>
      <c r="B130" s="9"/>
      <c r="C130" s="10"/>
      <c r="D130" s="10"/>
    </row>
    <row r="131" spans="1:4" x14ac:dyDescent="0.25">
      <c r="A131" s="9"/>
      <c r="B131" s="9"/>
      <c r="C131" s="10"/>
      <c r="D131" s="10"/>
    </row>
    <row r="132" spans="1:4" x14ac:dyDescent="0.25">
      <c r="A132" s="9"/>
      <c r="B132" s="9"/>
      <c r="C132" s="10"/>
      <c r="D132" s="10"/>
    </row>
    <row r="133" spans="1:4" x14ac:dyDescent="0.25">
      <c r="A133" s="9"/>
      <c r="B133" s="9"/>
      <c r="C133" s="10"/>
      <c r="D133" s="10"/>
    </row>
    <row r="134" spans="1:4" x14ac:dyDescent="0.25">
      <c r="A134" s="9"/>
      <c r="B134" s="9"/>
      <c r="C134" s="10"/>
      <c r="D134" s="10"/>
    </row>
    <row r="135" spans="1:4" x14ac:dyDescent="0.25">
      <c r="A135" s="9"/>
      <c r="B135" s="9"/>
      <c r="C135" s="10"/>
      <c r="D135" s="10"/>
    </row>
    <row r="136" spans="1:4" x14ac:dyDescent="0.25">
      <c r="A136" s="9"/>
      <c r="B136" s="9"/>
      <c r="C136" s="10"/>
      <c r="D136" s="10"/>
    </row>
    <row r="137" spans="1:4" x14ac:dyDescent="0.25">
      <c r="A137" s="9"/>
      <c r="B137" s="9"/>
      <c r="C137" s="10"/>
      <c r="D137" s="10"/>
    </row>
    <row r="138" spans="1:4" x14ac:dyDescent="0.25">
      <c r="A138" s="9"/>
      <c r="B138" s="9"/>
      <c r="C138" s="10"/>
      <c r="D138" s="10"/>
    </row>
    <row r="139" spans="1:4" x14ac:dyDescent="0.25">
      <c r="A139" s="9"/>
      <c r="B139" s="9"/>
      <c r="C139" s="10"/>
      <c r="D139" s="10"/>
    </row>
    <row r="140" spans="1:4" x14ac:dyDescent="0.25">
      <c r="A140" s="9"/>
      <c r="B140" s="9"/>
      <c r="C140" s="10"/>
      <c r="D140" s="10"/>
    </row>
    <row r="141" spans="1:4" x14ac:dyDescent="0.25">
      <c r="A141" s="9"/>
      <c r="B141" s="9"/>
      <c r="C141" s="10"/>
      <c r="D141" s="10"/>
    </row>
    <row r="142" spans="1:4" x14ac:dyDescent="0.25">
      <c r="A142" s="9"/>
      <c r="B142" s="9"/>
      <c r="C142" s="10"/>
      <c r="D142" s="10"/>
    </row>
    <row r="143" spans="1:4" x14ac:dyDescent="0.25">
      <c r="A143" s="9"/>
      <c r="B143" s="9"/>
      <c r="C143" s="10"/>
      <c r="D143" s="10"/>
    </row>
    <row r="144" spans="1:4" x14ac:dyDescent="0.25">
      <c r="A144" s="9"/>
      <c r="B144" s="9"/>
      <c r="C144" s="10"/>
      <c r="D144" s="10"/>
    </row>
    <row r="145" spans="1:4" x14ac:dyDescent="0.25">
      <c r="A145" s="9"/>
      <c r="B145" s="9"/>
      <c r="C145" s="10"/>
      <c r="D145" s="10"/>
    </row>
    <row r="146" spans="1:4" x14ac:dyDescent="0.25">
      <c r="A146" s="9"/>
      <c r="B146" s="9"/>
      <c r="C146" s="10"/>
      <c r="D146" s="10"/>
    </row>
    <row r="147" spans="1:4" x14ac:dyDescent="0.25">
      <c r="A147" s="9"/>
      <c r="B147" s="9"/>
      <c r="C147" s="10"/>
      <c r="D147" s="10"/>
    </row>
    <row r="148" spans="1:4" x14ac:dyDescent="0.25">
      <c r="A148" s="9"/>
      <c r="B148" s="9"/>
      <c r="C148" s="10"/>
      <c r="D148" s="10"/>
    </row>
    <row r="149" spans="1:4" x14ac:dyDescent="0.25">
      <c r="A149" s="9"/>
      <c r="B149" s="9"/>
      <c r="C149" s="10"/>
      <c r="D149" s="10"/>
    </row>
    <row r="150" spans="1:4" x14ac:dyDescent="0.25">
      <c r="A150" s="9"/>
      <c r="B150" s="9"/>
      <c r="C150" s="10"/>
      <c r="D150" s="10"/>
    </row>
    <row r="151" spans="1:4" x14ac:dyDescent="0.25">
      <c r="A151" s="9"/>
      <c r="B151" s="9"/>
      <c r="C151" s="10"/>
      <c r="D151" s="10"/>
    </row>
    <row r="152" spans="1:4" x14ac:dyDescent="0.25">
      <c r="A152" s="9"/>
      <c r="B152" s="9"/>
      <c r="C152" s="10"/>
      <c r="D152" s="10"/>
    </row>
    <row r="153" spans="1:4" x14ac:dyDescent="0.25">
      <c r="A153" s="9"/>
      <c r="B153" s="9"/>
      <c r="C153" s="10"/>
      <c r="D153" s="10"/>
    </row>
    <row r="154" spans="1:4" x14ac:dyDescent="0.25">
      <c r="A154" s="9"/>
      <c r="B154" s="9"/>
      <c r="C154" s="10"/>
      <c r="D154" s="10"/>
    </row>
    <row r="155" spans="1:4" x14ac:dyDescent="0.25">
      <c r="A155" s="9"/>
      <c r="B155" s="9"/>
      <c r="C155" s="10"/>
      <c r="D155" s="10"/>
    </row>
    <row r="156" spans="1:4" x14ac:dyDescent="0.25">
      <c r="A156" s="9"/>
      <c r="B156" s="9"/>
      <c r="C156" s="10"/>
      <c r="D156" s="10"/>
    </row>
    <row r="157" spans="1:4" x14ac:dyDescent="0.25">
      <c r="A157" s="9"/>
      <c r="B157" s="9"/>
      <c r="C157" s="10"/>
      <c r="D157" s="10"/>
    </row>
    <row r="158" spans="1:4" x14ac:dyDescent="0.25">
      <c r="A158" s="9"/>
      <c r="B158" s="9"/>
      <c r="C158" s="10"/>
      <c r="D158" s="10"/>
    </row>
    <row r="159" spans="1:4" x14ac:dyDescent="0.25">
      <c r="A159" s="9"/>
      <c r="B159" s="9"/>
      <c r="C159" s="10"/>
      <c r="D159" s="10"/>
    </row>
    <row r="160" spans="1:4" x14ac:dyDescent="0.25">
      <c r="A160" s="9"/>
      <c r="B160" s="9"/>
      <c r="C160" s="10"/>
      <c r="D160" s="10"/>
    </row>
    <row r="161" spans="1:4" x14ac:dyDescent="0.25">
      <c r="A161" s="9"/>
      <c r="B161" s="9"/>
      <c r="C161" s="10"/>
      <c r="D161" s="10"/>
    </row>
    <row r="162" spans="1:4" x14ac:dyDescent="0.25">
      <c r="A162" s="9"/>
      <c r="B162" s="9"/>
      <c r="C162" s="10"/>
      <c r="D162" s="10"/>
    </row>
    <row r="163" spans="1:4" x14ac:dyDescent="0.25">
      <c r="A163" s="9"/>
      <c r="B163" s="9"/>
      <c r="C163" s="10"/>
      <c r="D163" s="10"/>
    </row>
    <row r="164" spans="1:4" x14ac:dyDescent="0.25">
      <c r="A164" s="9"/>
      <c r="B164" s="9"/>
      <c r="C164" s="10"/>
      <c r="D164" s="10"/>
    </row>
    <row r="165" spans="1:4" x14ac:dyDescent="0.25">
      <c r="A165" s="9"/>
      <c r="B165" s="9"/>
      <c r="C165" s="10"/>
      <c r="D165" s="10"/>
    </row>
    <row r="166" spans="1:4" x14ac:dyDescent="0.25">
      <c r="A166" s="9"/>
      <c r="B166" s="9"/>
      <c r="C166" s="10"/>
      <c r="D166" s="10"/>
    </row>
    <row r="167" spans="1:4" x14ac:dyDescent="0.25">
      <c r="A167" s="9"/>
      <c r="B167" s="9"/>
      <c r="C167" s="10"/>
      <c r="D167" s="10"/>
    </row>
    <row r="168" spans="1:4" x14ac:dyDescent="0.25">
      <c r="A168" s="9"/>
      <c r="B168" s="9"/>
      <c r="C168" s="10"/>
      <c r="D168" s="10"/>
    </row>
    <row r="169" spans="1:4" x14ac:dyDescent="0.25">
      <c r="A169" s="9"/>
      <c r="B169" s="9"/>
      <c r="C169" s="10"/>
      <c r="D169" s="10"/>
    </row>
    <row r="170" spans="1:4" x14ac:dyDescent="0.25">
      <c r="A170" s="9"/>
      <c r="B170" s="9"/>
      <c r="C170" s="10"/>
      <c r="D170" s="10"/>
    </row>
    <row r="171" spans="1:4" x14ac:dyDescent="0.25">
      <c r="A171" s="9"/>
      <c r="B171" s="9"/>
      <c r="C171" s="10"/>
      <c r="D171" s="10"/>
    </row>
    <row r="172" spans="1:4" x14ac:dyDescent="0.25">
      <c r="A172" s="9"/>
      <c r="B172" s="9"/>
      <c r="C172" s="10"/>
      <c r="D172" s="10"/>
    </row>
    <row r="173" spans="1:4" x14ac:dyDescent="0.25">
      <c r="A173" s="9"/>
      <c r="B173" s="9"/>
      <c r="C173" s="10"/>
      <c r="D173" s="10"/>
    </row>
    <row r="174" spans="1:4" x14ac:dyDescent="0.25">
      <c r="A174" s="9"/>
      <c r="B174" s="9"/>
      <c r="C174" s="10"/>
      <c r="D174" s="10"/>
    </row>
    <row r="175" spans="1:4" x14ac:dyDescent="0.25">
      <c r="A175" s="9"/>
      <c r="B175" s="9"/>
      <c r="C175" s="10"/>
      <c r="D175" s="10"/>
    </row>
    <row r="176" spans="1:4" x14ac:dyDescent="0.25">
      <c r="A176" s="9"/>
      <c r="B176" s="9"/>
      <c r="C176" s="10"/>
      <c r="D176" s="10"/>
    </row>
    <row r="177" spans="1:4" x14ac:dyDescent="0.25">
      <c r="A177" s="9"/>
      <c r="B177" s="9"/>
      <c r="C177" s="10"/>
      <c r="D177" s="10"/>
    </row>
    <row r="178" spans="1:4" x14ac:dyDescent="0.25">
      <c r="A178" s="9"/>
      <c r="B178" s="9"/>
      <c r="C178" s="10"/>
      <c r="D178" s="10"/>
    </row>
    <row r="179" spans="1:4" x14ac:dyDescent="0.25">
      <c r="A179" s="9"/>
      <c r="B179" s="9"/>
      <c r="C179" s="10"/>
      <c r="D179" s="10"/>
    </row>
    <row r="180" spans="1:4" x14ac:dyDescent="0.25">
      <c r="A180" s="9"/>
      <c r="B180" s="9"/>
      <c r="C180" s="10"/>
      <c r="D180" s="10"/>
    </row>
    <row r="181" spans="1:4" x14ac:dyDescent="0.25">
      <c r="A181" s="9"/>
      <c r="B181" s="9"/>
      <c r="C181" s="10"/>
      <c r="D181" s="10"/>
    </row>
    <row r="182" spans="1:4" x14ac:dyDescent="0.25">
      <c r="A182" s="9"/>
      <c r="B182" s="9"/>
      <c r="C182" s="10"/>
      <c r="D182" s="10"/>
    </row>
    <row r="183" spans="1:4" x14ac:dyDescent="0.25">
      <c r="A183" s="9"/>
      <c r="B183" s="9"/>
      <c r="C183" s="10"/>
      <c r="D183" s="10"/>
    </row>
    <row r="184" spans="1:4" x14ac:dyDescent="0.25">
      <c r="C184" s="6"/>
      <c r="D184" s="6"/>
    </row>
    <row r="185" spans="1:4" x14ac:dyDescent="0.25">
      <c r="C185" s="6"/>
      <c r="D185" s="6"/>
    </row>
    <row r="186" spans="1:4" x14ac:dyDescent="0.25">
      <c r="C186" s="6"/>
      <c r="D186" s="6"/>
    </row>
    <row r="187" spans="1:4" x14ac:dyDescent="0.25">
      <c r="C187" s="6"/>
      <c r="D187" s="6"/>
    </row>
    <row r="188" spans="1:4" x14ac:dyDescent="0.25">
      <c r="C188" s="6"/>
      <c r="D188" s="6"/>
    </row>
    <row r="189" spans="1:4" x14ac:dyDescent="0.25">
      <c r="C189" s="6"/>
      <c r="D189" s="6"/>
    </row>
    <row r="190" spans="1:4" x14ac:dyDescent="0.25">
      <c r="C190" s="6"/>
      <c r="D190" s="6"/>
    </row>
    <row r="191" spans="1:4" x14ac:dyDescent="0.25">
      <c r="C191" s="6"/>
      <c r="D191" s="6"/>
    </row>
    <row r="192" spans="1:4" x14ac:dyDescent="0.25">
      <c r="C192" s="6"/>
      <c r="D192" s="6"/>
    </row>
    <row r="193" spans="3:4" x14ac:dyDescent="0.25">
      <c r="C193" s="6"/>
      <c r="D193" s="6"/>
    </row>
    <row r="194" spans="3:4" x14ac:dyDescent="0.25">
      <c r="C194" s="6"/>
      <c r="D194" s="6"/>
    </row>
    <row r="195" spans="3:4" x14ac:dyDescent="0.25">
      <c r="C195" s="6"/>
      <c r="D195" s="6"/>
    </row>
  </sheetData>
  <mergeCells count="2">
    <mergeCell ref="A4:D4"/>
    <mergeCell ref="B6:D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07AEB-5FC8-435C-836F-617B448C4A18}">
  <sheetPr>
    <tabColor theme="7" tint="0.39997558519241921"/>
  </sheetPr>
  <dimension ref="A4:G182"/>
  <sheetViews>
    <sheetView topLeftCell="A120" workbookViewId="0">
      <selection activeCell="H141" sqref="H141"/>
    </sheetView>
  </sheetViews>
  <sheetFormatPr baseColWidth="10" defaultRowHeight="15" x14ac:dyDescent="0.25"/>
  <cols>
    <col min="1" max="1" width="28.28515625" customWidth="1"/>
    <col min="2" max="2" width="27.140625" customWidth="1"/>
    <col min="3" max="3" width="23.42578125" style="6" customWidth="1"/>
    <col min="4" max="4" width="21.85546875" style="6" customWidth="1"/>
  </cols>
  <sheetData>
    <row r="4" spans="1:7" ht="18" x14ac:dyDescent="0.25">
      <c r="A4" s="98" t="s">
        <v>0</v>
      </c>
      <c r="B4" s="98"/>
      <c r="C4" s="98"/>
      <c r="D4" s="98"/>
      <c r="E4" s="1"/>
      <c r="F4" s="1"/>
      <c r="G4" s="1"/>
    </row>
    <row r="6" spans="1:7" x14ac:dyDescent="0.25">
      <c r="A6" s="2" t="s">
        <v>1</v>
      </c>
      <c r="B6" s="96" t="s">
        <v>13</v>
      </c>
      <c r="C6" s="97"/>
      <c r="D6" s="97"/>
    </row>
    <row r="7" spans="1:7" x14ac:dyDescent="0.25">
      <c r="A7" s="3" t="s">
        <v>11</v>
      </c>
      <c r="B7" s="4" t="s">
        <v>14</v>
      </c>
      <c r="C7" s="4"/>
      <c r="D7" s="4"/>
    </row>
    <row r="8" spans="1:7" x14ac:dyDescent="0.25">
      <c r="B8" s="5"/>
    </row>
    <row r="9" spans="1:7" x14ac:dyDescent="0.25">
      <c r="A9" s="2" t="s">
        <v>2</v>
      </c>
      <c r="B9" s="2" t="s">
        <v>3</v>
      </c>
      <c r="C9" s="7" t="s">
        <v>4</v>
      </c>
      <c r="D9" s="7" t="s">
        <v>5</v>
      </c>
    </row>
    <row r="10" spans="1:7" x14ac:dyDescent="0.25">
      <c r="A10" s="8">
        <v>45834</v>
      </c>
      <c r="B10" s="9" t="s">
        <v>6</v>
      </c>
      <c r="C10" s="10">
        <v>13660</v>
      </c>
      <c r="D10" s="10">
        <f>C10</f>
        <v>13660</v>
      </c>
    </row>
    <row r="11" spans="1:7" x14ac:dyDescent="0.25">
      <c r="A11" s="8">
        <v>45838</v>
      </c>
      <c r="B11" s="9" t="s">
        <v>6</v>
      </c>
      <c r="C11" s="10">
        <v>1310</v>
      </c>
      <c r="D11" s="10">
        <f>D10+C11</f>
        <v>14970</v>
      </c>
    </row>
    <row r="12" spans="1:7" x14ac:dyDescent="0.25">
      <c r="A12" s="8">
        <v>45841</v>
      </c>
      <c r="B12" s="9" t="s">
        <v>46</v>
      </c>
      <c r="C12" s="10">
        <v>-5000</v>
      </c>
      <c r="D12" s="10">
        <f t="shared" ref="D12:D75" si="0">D11+C12</f>
        <v>9970</v>
      </c>
    </row>
    <row r="13" spans="1:7" x14ac:dyDescent="0.25">
      <c r="A13" s="8">
        <v>45852</v>
      </c>
      <c r="B13" s="9" t="s">
        <v>46</v>
      </c>
      <c r="C13" s="10">
        <v>-2000</v>
      </c>
      <c r="D13" s="10">
        <f t="shared" si="0"/>
        <v>7970</v>
      </c>
    </row>
    <row r="14" spans="1:7" x14ac:dyDescent="0.25">
      <c r="A14" s="8">
        <v>45880</v>
      </c>
      <c r="B14" s="9" t="s">
        <v>46</v>
      </c>
      <c r="C14" s="10">
        <v>-3000</v>
      </c>
      <c r="D14" s="10">
        <f t="shared" si="0"/>
        <v>4970</v>
      </c>
    </row>
    <row r="15" spans="1:7" x14ac:dyDescent="0.25">
      <c r="A15" s="8">
        <v>45890</v>
      </c>
      <c r="B15" s="9" t="s">
        <v>46</v>
      </c>
      <c r="C15" s="10">
        <v>-4970</v>
      </c>
      <c r="D15" s="11">
        <f t="shared" si="0"/>
        <v>0</v>
      </c>
    </row>
    <row r="16" spans="1:7" x14ac:dyDescent="0.25">
      <c r="A16" s="8">
        <v>45890</v>
      </c>
      <c r="B16" s="9" t="s">
        <v>6</v>
      </c>
      <c r="C16" s="10">
        <v>2975</v>
      </c>
      <c r="D16" s="10">
        <f t="shared" si="0"/>
        <v>2975</v>
      </c>
    </row>
    <row r="17" spans="1:4" x14ac:dyDescent="0.25">
      <c r="A17" s="8">
        <v>45894</v>
      </c>
      <c r="B17" s="9" t="s">
        <v>6</v>
      </c>
      <c r="C17" s="10">
        <v>2200</v>
      </c>
      <c r="D17" s="10">
        <f t="shared" si="0"/>
        <v>5175</v>
      </c>
    </row>
    <row r="18" spans="1:4" x14ac:dyDescent="0.25">
      <c r="A18" s="8">
        <v>45905</v>
      </c>
      <c r="B18" s="9" t="s">
        <v>6</v>
      </c>
      <c r="C18" s="10">
        <v>1780</v>
      </c>
      <c r="D18" s="10">
        <f t="shared" si="0"/>
        <v>6955</v>
      </c>
    </row>
    <row r="19" spans="1:4" x14ac:dyDescent="0.25">
      <c r="A19" s="8">
        <v>45905</v>
      </c>
      <c r="B19" s="9" t="s">
        <v>46</v>
      </c>
      <c r="C19" s="10">
        <v>-2000</v>
      </c>
      <c r="D19" s="10">
        <f t="shared" si="0"/>
        <v>4955</v>
      </c>
    </row>
    <row r="20" spans="1:4" x14ac:dyDescent="0.25">
      <c r="A20" s="8">
        <v>45908</v>
      </c>
      <c r="B20" s="9" t="s">
        <v>46</v>
      </c>
      <c r="C20" s="10">
        <v>-2000</v>
      </c>
      <c r="D20" s="10">
        <f t="shared" si="0"/>
        <v>2955</v>
      </c>
    </row>
    <row r="21" spans="1:4" x14ac:dyDescent="0.25">
      <c r="A21" s="8">
        <v>45915</v>
      </c>
      <c r="B21" s="9" t="s">
        <v>6</v>
      </c>
      <c r="C21" s="10">
        <v>1530</v>
      </c>
      <c r="D21" s="10">
        <f t="shared" si="0"/>
        <v>4485</v>
      </c>
    </row>
    <row r="22" spans="1:4" x14ac:dyDescent="0.25">
      <c r="A22" s="8">
        <v>45915</v>
      </c>
      <c r="B22" s="9" t="s">
        <v>46</v>
      </c>
      <c r="C22" s="10">
        <v>-1500</v>
      </c>
      <c r="D22" s="10">
        <f t="shared" si="0"/>
        <v>2985</v>
      </c>
    </row>
    <row r="23" spans="1:4" x14ac:dyDescent="0.25">
      <c r="A23" s="8">
        <v>45920</v>
      </c>
      <c r="B23" s="9" t="s">
        <v>6</v>
      </c>
      <c r="C23" s="10">
        <v>2750</v>
      </c>
      <c r="D23" s="10">
        <f t="shared" si="0"/>
        <v>5735</v>
      </c>
    </row>
    <row r="24" spans="1:4" x14ac:dyDescent="0.25">
      <c r="A24" s="8">
        <v>45922</v>
      </c>
      <c r="B24" s="9" t="s">
        <v>6</v>
      </c>
      <c r="C24" s="10">
        <v>2250</v>
      </c>
      <c r="D24" s="10">
        <f t="shared" si="0"/>
        <v>7985</v>
      </c>
    </row>
    <row r="25" spans="1:4" x14ac:dyDescent="0.25">
      <c r="A25" s="8">
        <v>45922</v>
      </c>
      <c r="B25" s="9" t="s">
        <v>46</v>
      </c>
      <c r="C25" s="10">
        <v>-4000</v>
      </c>
      <c r="D25" s="10">
        <f>D24+C25</f>
        <v>3985</v>
      </c>
    </row>
    <row r="26" spans="1:4" x14ac:dyDescent="0.25">
      <c r="A26" s="8">
        <v>45918</v>
      </c>
      <c r="B26" s="9" t="s">
        <v>46</v>
      </c>
      <c r="C26" s="10">
        <v>-2000</v>
      </c>
      <c r="D26" s="10">
        <f t="shared" si="0"/>
        <v>1985</v>
      </c>
    </row>
    <row r="27" spans="1:4" x14ac:dyDescent="0.25">
      <c r="A27" s="8">
        <v>45925</v>
      </c>
      <c r="B27" s="9" t="s">
        <v>6</v>
      </c>
      <c r="C27" s="10">
        <v>3320</v>
      </c>
      <c r="D27" s="10">
        <f t="shared" si="0"/>
        <v>5305</v>
      </c>
    </row>
    <row r="28" spans="1:4" x14ac:dyDescent="0.25">
      <c r="A28" s="8">
        <v>45925</v>
      </c>
      <c r="B28" s="9" t="s">
        <v>46</v>
      </c>
      <c r="C28" s="10">
        <v>-3000</v>
      </c>
      <c r="D28" s="10">
        <f t="shared" si="0"/>
        <v>2305</v>
      </c>
    </row>
    <row r="29" spans="1:4" x14ac:dyDescent="0.25">
      <c r="A29" s="8">
        <v>45929</v>
      </c>
      <c r="B29" s="9" t="s">
        <v>6</v>
      </c>
      <c r="C29" s="10">
        <v>2890</v>
      </c>
      <c r="D29" s="10">
        <f t="shared" si="0"/>
        <v>5195</v>
      </c>
    </row>
    <row r="30" spans="1:4" x14ac:dyDescent="0.25">
      <c r="A30" s="8">
        <v>45929</v>
      </c>
      <c r="B30" s="9" t="s">
        <v>46</v>
      </c>
      <c r="C30" s="10">
        <v>-4000</v>
      </c>
      <c r="D30" s="10">
        <f t="shared" si="0"/>
        <v>1195</v>
      </c>
    </row>
    <row r="31" spans="1:4" x14ac:dyDescent="0.25">
      <c r="A31" s="13" t="s">
        <v>162</v>
      </c>
      <c r="B31" s="9" t="s">
        <v>6</v>
      </c>
      <c r="C31" s="10">
        <v>3870</v>
      </c>
      <c r="D31" s="10">
        <f t="shared" si="0"/>
        <v>5065</v>
      </c>
    </row>
    <row r="32" spans="1:4" x14ac:dyDescent="0.25">
      <c r="A32" s="8">
        <v>45932</v>
      </c>
      <c r="B32" s="9" t="s">
        <v>46</v>
      </c>
      <c r="C32" s="10">
        <v>-2000</v>
      </c>
      <c r="D32" s="10">
        <f t="shared" si="0"/>
        <v>3065</v>
      </c>
    </row>
    <row r="33" spans="1:4" x14ac:dyDescent="0.25">
      <c r="A33" s="8">
        <v>45936</v>
      </c>
      <c r="B33" s="9" t="s">
        <v>6</v>
      </c>
      <c r="C33" s="10">
        <v>2280</v>
      </c>
      <c r="D33" s="10">
        <f t="shared" si="0"/>
        <v>5345</v>
      </c>
    </row>
    <row r="34" spans="1:4" x14ac:dyDescent="0.25">
      <c r="A34" s="8">
        <v>45939</v>
      </c>
      <c r="B34" s="9" t="s">
        <v>6</v>
      </c>
      <c r="C34" s="10">
        <v>1940</v>
      </c>
      <c r="D34" s="10">
        <f t="shared" si="0"/>
        <v>7285</v>
      </c>
    </row>
    <row r="35" spans="1:4" x14ac:dyDescent="0.25">
      <c r="A35" s="8">
        <v>45939</v>
      </c>
      <c r="B35" s="9" t="s">
        <v>178</v>
      </c>
      <c r="C35" s="10">
        <v>-3000</v>
      </c>
      <c r="D35" s="10">
        <f t="shared" si="0"/>
        <v>4285</v>
      </c>
    </row>
    <row r="36" spans="1:4" x14ac:dyDescent="0.25">
      <c r="A36" s="8">
        <v>45967</v>
      </c>
      <c r="B36" s="9" t="s">
        <v>3</v>
      </c>
      <c r="C36" s="10">
        <v>350</v>
      </c>
      <c r="D36" s="10">
        <f t="shared" si="0"/>
        <v>4635</v>
      </c>
    </row>
    <row r="37" spans="1:4" x14ac:dyDescent="0.25">
      <c r="A37" s="8">
        <v>45967</v>
      </c>
      <c r="B37" s="9" t="s">
        <v>178</v>
      </c>
      <c r="C37" s="10">
        <v>-2000</v>
      </c>
      <c r="D37" s="10">
        <f t="shared" si="0"/>
        <v>2635</v>
      </c>
    </row>
    <row r="38" spans="1:4" x14ac:dyDescent="0.25">
      <c r="A38" s="8">
        <v>45971</v>
      </c>
      <c r="B38" s="9" t="s">
        <v>3</v>
      </c>
      <c r="C38" s="10">
        <v>2860</v>
      </c>
      <c r="D38" s="10">
        <f t="shared" si="0"/>
        <v>5495</v>
      </c>
    </row>
    <row r="39" spans="1:4" x14ac:dyDescent="0.25">
      <c r="A39" s="8">
        <v>45974</v>
      </c>
      <c r="B39" s="9" t="s">
        <v>3</v>
      </c>
      <c r="C39" s="10">
        <v>1050</v>
      </c>
      <c r="D39" s="10">
        <f t="shared" si="0"/>
        <v>6545</v>
      </c>
    </row>
    <row r="40" spans="1:4" x14ac:dyDescent="0.25">
      <c r="A40" s="8">
        <v>45974</v>
      </c>
      <c r="B40" s="9" t="s">
        <v>46</v>
      </c>
      <c r="C40" s="10">
        <v>-4860</v>
      </c>
      <c r="D40" s="10">
        <f t="shared" si="0"/>
        <v>1685</v>
      </c>
    </row>
    <row r="41" spans="1:4" x14ac:dyDescent="0.25">
      <c r="A41" s="8">
        <v>45978</v>
      </c>
      <c r="B41" s="9" t="s">
        <v>3</v>
      </c>
      <c r="C41" s="10">
        <v>2000</v>
      </c>
      <c r="D41" s="10">
        <f t="shared" si="0"/>
        <v>3685</v>
      </c>
    </row>
    <row r="42" spans="1:4" x14ac:dyDescent="0.25">
      <c r="A42" s="8">
        <v>45978</v>
      </c>
      <c r="B42" s="9" t="s">
        <v>46</v>
      </c>
      <c r="C42" s="10">
        <v>-2000</v>
      </c>
      <c r="D42" s="10">
        <f t="shared" si="0"/>
        <v>1685</v>
      </c>
    </row>
    <row r="43" spans="1:4" x14ac:dyDescent="0.25">
      <c r="A43" s="8">
        <v>45981</v>
      </c>
      <c r="B43" s="9" t="s">
        <v>3</v>
      </c>
      <c r="C43" s="10">
        <v>2840</v>
      </c>
      <c r="D43" s="10">
        <f t="shared" si="0"/>
        <v>4525</v>
      </c>
    </row>
    <row r="44" spans="1:4" x14ac:dyDescent="0.25">
      <c r="A44" s="8">
        <v>45981</v>
      </c>
      <c r="B44" s="9" t="s">
        <v>46</v>
      </c>
      <c r="C44" s="10">
        <v>-3000</v>
      </c>
      <c r="D44" s="10">
        <f t="shared" si="0"/>
        <v>1525</v>
      </c>
    </row>
    <row r="45" spans="1:4" x14ac:dyDescent="0.25">
      <c r="A45" s="8">
        <v>45985</v>
      </c>
      <c r="B45" s="9" t="s">
        <v>3</v>
      </c>
      <c r="C45" s="10">
        <v>2450</v>
      </c>
      <c r="D45" s="10">
        <f t="shared" si="0"/>
        <v>3975</v>
      </c>
    </row>
    <row r="46" spans="1:4" x14ac:dyDescent="0.25">
      <c r="A46" s="8">
        <v>45985</v>
      </c>
      <c r="B46" s="9" t="s">
        <v>46</v>
      </c>
      <c r="C46" s="10">
        <v>-2800</v>
      </c>
      <c r="D46" s="10">
        <f t="shared" si="0"/>
        <v>1175</v>
      </c>
    </row>
    <row r="47" spans="1:4" x14ac:dyDescent="0.25">
      <c r="A47" s="8">
        <v>45988</v>
      </c>
      <c r="B47" s="9" t="s">
        <v>3</v>
      </c>
      <c r="C47" s="10">
        <v>2720</v>
      </c>
      <c r="D47" s="10">
        <f t="shared" si="0"/>
        <v>3895</v>
      </c>
    </row>
    <row r="48" spans="1:4" x14ac:dyDescent="0.25">
      <c r="A48" s="8">
        <v>45992</v>
      </c>
      <c r="B48" s="9" t="s">
        <v>3</v>
      </c>
      <c r="C48" s="10">
        <v>5320</v>
      </c>
      <c r="D48" s="10">
        <f t="shared" si="0"/>
        <v>9215</v>
      </c>
    </row>
    <row r="49" spans="1:4" x14ac:dyDescent="0.25">
      <c r="A49" s="8">
        <v>45992</v>
      </c>
      <c r="B49" s="9" t="s">
        <v>46</v>
      </c>
      <c r="C49" s="10">
        <v>-4500</v>
      </c>
      <c r="D49" s="10">
        <f t="shared" si="0"/>
        <v>4715</v>
      </c>
    </row>
    <row r="50" spans="1:4" x14ac:dyDescent="0.25">
      <c r="A50" s="8">
        <v>45995</v>
      </c>
      <c r="B50" s="9" t="s">
        <v>3</v>
      </c>
      <c r="C50" s="10">
        <v>3710</v>
      </c>
      <c r="D50" s="10">
        <f t="shared" si="0"/>
        <v>8425</v>
      </c>
    </row>
    <row r="51" spans="1:4" x14ac:dyDescent="0.25">
      <c r="A51" s="8">
        <v>45995</v>
      </c>
      <c r="B51" s="9" t="s">
        <v>46</v>
      </c>
      <c r="C51" s="10">
        <v>-4000</v>
      </c>
      <c r="D51" s="10">
        <f t="shared" si="0"/>
        <v>4425</v>
      </c>
    </row>
    <row r="52" spans="1:4" x14ac:dyDescent="0.25">
      <c r="A52" s="8">
        <v>46002</v>
      </c>
      <c r="B52" s="9" t="s">
        <v>3</v>
      </c>
      <c r="C52" s="10">
        <v>2590</v>
      </c>
      <c r="D52" s="10">
        <f t="shared" si="0"/>
        <v>7015</v>
      </c>
    </row>
    <row r="53" spans="1:4" x14ac:dyDescent="0.25">
      <c r="A53" s="8">
        <v>46002</v>
      </c>
      <c r="B53" s="9" t="s">
        <v>46</v>
      </c>
      <c r="C53" s="10">
        <v>-3000</v>
      </c>
      <c r="D53" s="10">
        <f t="shared" si="0"/>
        <v>4015</v>
      </c>
    </row>
    <row r="54" spans="1:4" x14ac:dyDescent="0.25">
      <c r="A54" s="8">
        <v>46009</v>
      </c>
      <c r="B54" s="9" t="s">
        <v>3</v>
      </c>
      <c r="C54" s="10">
        <v>2980</v>
      </c>
      <c r="D54" s="10">
        <f t="shared" si="0"/>
        <v>6995</v>
      </c>
    </row>
    <row r="55" spans="1:4" x14ac:dyDescent="0.25">
      <c r="A55" s="8">
        <v>46009</v>
      </c>
      <c r="B55" s="9" t="s">
        <v>260</v>
      </c>
      <c r="C55" s="10">
        <v>-3000</v>
      </c>
      <c r="D55" s="10">
        <f t="shared" si="0"/>
        <v>3995</v>
      </c>
    </row>
    <row r="56" spans="1:4" x14ac:dyDescent="0.25">
      <c r="A56" s="8">
        <v>46013</v>
      </c>
      <c r="B56" s="9" t="s">
        <v>3</v>
      </c>
      <c r="C56" s="10">
        <v>1710</v>
      </c>
      <c r="D56" s="10">
        <f t="shared" si="0"/>
        <v>5705</v>
      </c>
    </row>
    <row r="57" spans="1:4" x14ac:dyDescent="0.25">
      <c r="A57" s="8">
        <v>46013</v>
      </c>
      <c r="B57" s="9" t="s">
        <v>178</v>
      </c>
      <c r="C57" s="10">
        <v>-1710</v>
      </c>
      <c r="D57" s="10">
        <f t="shared" si="0"/>
        <v>3995</v>
      </c>
    </row>
    <row r="58" spans="1:4" x14ac:dyDescent="0.25">
      <c r="A58" s="8">
        <v>46020</v>
      </c>
      <c r="B58" s="9" t="s">
        <v>3</v>
      </c>
      <c r="C58" s="10">
        <v>3150</v>
      </c>
      <c r="D58" s="10">
        <f t="shared" si="0"/>
        <v>7145</v>
      </c>
    </row>
    <row r="59" spans="1:4" x14ac:dyDescent="0.25">
      <c r="A59" s="8">
        <v>46020</v>
      </c>
      <c r="B59" s="9" t="s">
        <v>178</v>
      </c>
      <c r="C59" s="10">
        <v>-3500</v>
      </c>
      <c r="D59" s="10">
        <f t="shared" si="0"/>
        <v>3645</v>
      </c>
    </row>
    <row r="60" spans="1:4" x14ac:dyDescent="0.25">
      <c r="A60" s="8">
        <v>46024</v>
      </c>
      <c r="B60" s="9" t="s">
        <v>3</v>
      </c>
      <c r="C60" s="10">
        <v>2350</v>
      </c>
      <c r="D60" s="10">
        <f t="shared" si="0"/>
        <v>5995</v>
      </c>
    </row>
    <row r="61" spans="1:4" x14ac:dyDescent="0.25">
      <c r="A61" s="8">
        <v>46024</v>
      </c>
      <c r="B61" s="9" t="s">
        <v>178</v>
      </c>
      <c r="C61" s="10">
        <v>-3000</v>
      </c>
      <c r="D61" s="10">
        <f t="shared" si="0"/>
        <v>2995</v>
      </c>
    </row>
    <row r="62" spans="1:4" x14ac:dyDescent="0.25">
      <c r="A62" s="8">
        <v>46027</v>
      </c>
      <c r="B62" s="9" t="s">
        <v>3</v>
      </c>
      <c r="C62" s="10">
        <v>2490</v>
      </c>
      <c r="D62" s="10">
        <f t="shared" si="0"/>
        <v>5485</v>
      </c>
    </row>
    <row r="63" spans="1:4" x14ac:dyDescent="0.25">
      <c r="A63" s="8">
        <v>46027</v>
      </c>
      <c r="B63" s="9" t="s">
        <v>178</v>
      </c>
      <c r="C63" s="10">
        <v>-3000</v>
      </c>
      <c r="D63" s="10">
        <f t="shared" si="0"/>
        <v>2485</v>
      </c>
    </row>
    <row r="64" spans="1:4" x14ac:dyDescent="0.25">
      <c r="A64" s="8">
        <v>46030</v>
      </c>
      <c r="B64" s="9" t="s">
        <v>3</v>
      </c>
      <c r="C64" s="10">
        <v>2580</v>
      </c>
      <c r="D64" s="10">
        <f t="shared" si="0"/>
        <v>5065</v>
      </c>
    </row>
    <row r="65" spans="1:4" x14ac:dyDescent="0.25">
      <c r="A65" s="8">
        <v>46030</v>
      </c>
      <c r="B65" s="9" t="s">
        <v>178</v>
      </c>
      <c r="C65" s="10">
        <v>-3000</v>
      </c>
      <c r="D65" s="10">
        <f t="shared" si="0"/>
        <v>2065</v>
      </c>
    </row>
    <row r="66" spans="1:4" x14ac:dyDescent="0.25">
      <c r="A66" s="8">
        <v>46034</v>
      </c>
      <c r="B66" s="9" t="s">
        <v>3</v>
      </c>
      <c r="C66" s="10">
        <v>4770</v>
      </c>
      <c r="D66" s="10">
        <f t="shared" si="0"/>
        <v>6835</v>
      </c>
    </row>
    <row r="67" spans="1:4" x14ac:dyDescent="0.25">
      <c r="A67" s="8">
        <v>46034</v>
      </c>
      <c r="B67" s="9" t="s">
        <v>178</v>
      </c>
      <c r="C67" s="10">
        <v>-5000</v>
      </c>
      <c r="D67" s="10">
        <f t="shared" si="0"/>
        <v>1835</v>
      </c>
    </row>
    <row r="68" spans="1:4" x14ac:dyDescent="0.25">
      <c r="A68" s="8">
        <v>46041</v>
      </c>
      <c r="B68" s="9" t="s">
        <v>3</v>
      </c>
      <c r="C68" s="10">
        <v>4220</v>
      </c>
      <c r="D68" s="10">
        <f t="shared" si="0"/>
        <v>6055</v>
      </c>
    </row>
    <row r="69" spans="1:4" x14ac:dyDescent="0.25">
      <c r="A69" s="8">
        <v>46041</v>
      </c>
      <c r="B69" s="9" t="s">
        <v>178</v>
      </c>
      <c r="C69" s="10">
        <v>-4400</v>
      </c>
      <c r="D69" s="10">
        <f t="shared" si="0"/>
        <v>1655</v>
      </c>
    </row>
    <row r="70" spans="1:4" x14ac:dyDescent="0.25">
      <c r="A70" s="8">
        <v>46044</v>
      </c>
      <c r="B70" s="9" t="s">
        <v>3</v>
      </c>
      <c r="C70" s="10">
        <v>2710</v>
      </c>
      <c r="D70" s="10">
        <f t="shared" si="0"/>
        <v>4365</v>
      </c>
    </row>
    <row r="71" spans="1:4" x14ac:dyDescent="0.25">
      <c r="A71" s="8">
        <v>46044</v>
      </c>
      <c r="B71" s="9" t="s">
        <v>178</v>
      </c>
      <c r="C71" s="10">
        <v>-2710</v>
      </c>
      <c r="D71" s="10">
        <f t="shared" si="0"/>
        <v>1655</v>
      </c>
    </row>
    <row r="72" spans="1:4" x14ac:dyDescent="0.25">
      <c r="A72" s="8">
        <v>46048</v>
      </c>
      <c r="B72" s="9" t="s">
        <v>3</v>
      </c>
      <c r="C72" s="10">
        <v>1530</v>
      </c>
      <c r="D72" s="10">
        <f t="shared" si="0"/>
        <v>3185</v>
      </c>
    </row>
    <row r="73" spans="1:4" x14ac:dyDescent="0.25">
      <c r="A73" s="8">
        <v>46048</v>
      </c>
      <c r="B73" s="9" t="s">
        <v>178</v>
      </c>
      <c r="C73" s="10">
        <v>-2000</v>
      </c>
      <c r="D73" s="10">
        <f t="shared" si="0"/>
        <v>1185</v>
      </c>
    </row>
    <row r="74" spans="1:4" x14ac:dyDescent="0.25">
      <c r="A74" s="8">
        <v>46051</v>
      </c>
      <c r="B74" s="9" t="s">
        <v>3</v>
      </c>
      <c r="C74" s="10">
        <v>3790</v>
      </c>
      <c r="D74" s="10">
        <f t="shared" si="0"/>
        <v>4975</v>
      </c>
    </row>
    <row r="75" spans="1:4" x14ac:dyDescent="0.25">
      <c r="A75" s="8">
        <v>46051</v>
      </c>
      <c r="B75" s="9" t="s">
        <v>178</v>
      </c>
      <c r="C75" s="10">
        <v>-4000</v>
      </c>
      <c r="D75" s="10">
        <f t="shared" si="0"/>
        <v>975</v>
      </c>
    </row>
    <row r="76" spans="1:4" x14ac:dyDescent="0.25">
      <c r="A76" s="8">
        <v>46054</v>
      </c>
      <c r="B76" s="9" t="s">
        <v>3</v>
      </c>
      <c r="C76" s="10">
        <v>3810</v>
      </c>
      <c r="D76" s="10">
        <f t="shared" ref="D76:D140" si="1">D75+C76</f>
        <v>4785</v>
      </c>
    </row>
    <row r="77" spans="1:4" x14ac:dyDescent="0.25">
      <c r="A77" s="8">
        <v>46055</v>
      </c>
      <c r="B77" s="9" t="s">
        <v>3</v>
      </c>
      <c r="C77" s="10">
        <v>1940</v>
      </c>
      <c r="D77" s="10">
        <f t="shared" si="1"/>
        <v>6725</v>
      </c>
    </row>
    <row r="78" spans="1:4" x14ac:dyDescent="0.25">
      <c r="A78" s="8">
        <v>46058</v>
      </c>
      <c r="B78" s="9" t="s">
        <v>178</v>
      </c>
      <c r="C78" s="10">
        <v>-6000</v>
      </c>
      <c r="D78" s="10">
        <f t="shared" si="1"/>
        <v>725</v>
      </c>
    </row>
    <row r="79" spans="1:4" x14ac:dyDescent="0.25">
      <c r="A79" s="8">
        <v>46062</v>
      </c>
      <c r="B79" s="9" t="s">
        <v>3</v>
      </c>
      <c r="C79" s="10">
        <v>2510</v>
      </c>
      <c r="D79" s="10">
        <f t="shared" si="1"/>
        <v>3235</v>
      </c>
    </row>
    <row r="80" spans="1:4" x14ac:dyDescent="0.25">
      <c r="A80" s="8">
        <v>46062</v>
      </c>
      <c r="B80" s="9" t="s">
        <v>178</v>
      </c>
      <c r="C80" s="10">
        <v>-2510</v>
      </c>
      <c r="D80" s="10">
        <f t="shared" si="1"/>
        <v>725</v>
      </c>
    </row>
    <row r="81" spans="1:4" x14ac:dyDescent="0.25">
      <c r="A81" s="8">
        <v>46072</v>
      </c>
      <c r="B81" s="9" t="s">
        <v>3</v>
      </c>
      <c r="C81" s="10">
        <v>3160</v>
      </c>
      <c r="D81" s="10">
        <f t="shared" si="1"/>
        <v>3885</v>
      </c>
    </row>
    <row r="82" spans="1:4" x14ac:dyDescent="0.25">
      <c r="A82" s="8">
        <v>46072</v>
      </c>
      <c r="B82" s="9" t="s">
        <v>178</v>
      </c>
      <c r="C82" s="10">
        <v>-3500</v>
      </c>
      <c r="D82" s="10">
        <f t="shared" si="1"/>
        <v>385</v>
      </c>
    </row>
    <row r="83" spans="1:4" x14ac:dyDescent="0.25">
      <c r="A83" s="8">
        <v>46079</v>
      </c>
      <c r="B83" s="9" t="s">
        <v>3</v>
      </c>
      <c r="C83" s="10">
        <v>1860</v>
      </c>
      <c r="D83" s="10">
        <f t="shared" si="1"/>
        <v>2245</v>
      </c>
    </row>
    <row r="84" spans="1:4" x14ac:dyDescent="0.25">
      <c r="A84" s="8">
        <v>46079</v>
      </c>
      <c r="B84" s="9" t="s">
        <v>178</v>
      </c>
      <c r="C84" s="10">
        <v>-2000</v>
      </c>
      <c r="D84" s="10">
        <f t="shared" si="1"/>
        <v>245</v>
      </c>
    </row>
    <row r="85" spans="1:4" x14ac:dyDescent="0.25">
      <c r="A85" s="8">
        <v>46086</v>
      </c>
      <c r="B85" s="9" t="s">
        <v>3</v>
      </c>
      <c r="C85" s="10">
        <v>1450</v>
      </c>
      <c r="D85" s="10">
        <f t="shared" si="1"/>
        <v>1695</v>
      </c>
    </row>
    <row r="86" spans="1:4" x14ac:dyDescent="0.25">
      <c r="A86" s="8">
        <v>46086</v>
      </c>
      <c r="B86" s="9" t="s">
        <v>178</v>
      </c>
      <c r="C86" s="10">
        <v>-1500</v>
      </c>
      <c r="D86" s="10">
        <f t="shared" si="1"/>
        <v>195</v>
      </c>
    </row>
    <row r="87" spans="1:4" x14ac:dyDescent="0.25">
      <c r="A87" s="8">
        <v>46104</v>
      </c>
      <c r="B87" s="9" t="s">
        <v>3</v>
      </c>
      <c r="C87" s="10">
        <v>2860</v>
      </c>
      <c r="D87" s="10">
        <f t="shared" si="1"/>
        <v>3055</v>
      </c>
    </row>
    <row r="88" spans="1:4" x14ac:dyDescent="0.25">
      <c r="A88" s="8">
        <v>46104</v>
      </c>
      <c r="B88" s="9" t="s">
        <v>178</v>
      </c>
      <c r="C88" s="10">
        <v>-2860</v>
      </c>
      <c r="D88" s="10">
        <f t="shared" si="1"/>
        <v>195</v>
      </c>
    </row>
    <row r="89" spans="1:4" x14ac:dyDescent="0.25">
      <c r="A89" s="22">
        <v>46118</v>
      </c>
      <c r="B89" s="9" t="s">
        <v>3</v>
      </c>
      <c r="C89" s="10">
        <v>3390</v>
      </c>
      <c r="D89" s="10">
        <f t="shared" si="1"/>
        <v>3585</v>
      </c>
    </row>
    <row r="90" spans="1:4" x14ac:dyDescent="0.25">
      <c r="A90" s="8">
        <v>46118</v>
      </c>
      <c r="B90" s="9" t="s">
        <v>178</v>
      </c>
      <c r="C90" s="10">
        <v>-3390</v>
      </c>
      <c r="D90" s="10">
        <f t="shared" si="1"/>
        <v>195</v>
      </c>
    </row>
    <row r="91" spans="1:4" x14ac:dyDescent="0.25">
      <c r="A91" s="8">
        <v>46125</v>
      </c>
      <c r="B91" s="9" t="s">
        <v>3</v>
      </c>
      <c r="C91" s="10">
        <v>2260</v>
      </c>
      <c r="D91" s="10">
        <f t="shared" si="1"/>
        <v>2455</v>
      </c>
    </row>
    <row r="92" spans="1:4" x14ac:dyDescent="0.25">
      <c r="A92" s="8">
        <v>46128</v>
      </c>
      <c r="B92" s="9" t="s">
        <v>3</v>
      </c>
      <c r="C92" s="10">
        <v>3220</v>
      </c>
      <c r="D92" s="10">
        <f t="shared" si="1"/>
        <v>5675</v>
      </c>
    </row>
    <row r="93" spans="1:4" x14ac:dyDescent="0.25">
      <c r="A93" s="8">
        <v>46128</v>
      </c>
      <c r="B93" s="9" t="s">
        <v>178</v>
      </c>
      <c r="C93" s="10">
        <v>-5260</v>
      </c>
      <c r="D93" s="10">
        <f t="shared" si="1"/>
        <v>415</v>
      </c>
    </row>
    <row r="94" spans="1:4" x14ac:dyDescent="0.25">
      <c r="A94" s="8">
        <v>46135</v>
      </c>
      <c r="B94" s="9" t="s">
        <v>3</v>
      </c>
      <c r="C94" s="10">
        <v>3400</v>
      </c>
      <c r="D94" s="10">
        <f t="shared" si="1"/>
        <v>3815</v>
      </c>
    </row>
    <row r="95" spans="1:4" x14ac:dyDescent="0.25">
      <c r="A95" s="8">
        <v>46135</v>
      </c>
      <c r="B95" s="9" t="s">
        <v>178</v>
      </c>
      <c r="C95" s="10">
        <v>-3400</v>
      </c>
      <c r="D95" s="10">
        <f t="shared" si="1"/>
        <v>415</v>
      </c>
    </row>
    <row r="96" spans="1:4" x14ac:dyDescent="0.25">
      <c r="A96" s="8">
        <v>46170</v>
      </c>
      <c r="B96" s="9" t="s">
        <v>3</v>
      </c>
      <c r="C96" s="10">
        <v>1320</v>
      </c>
      <c r="D96" s="10">
        <f t="shared" si="1"/>
        <v>1735</v>
      </c>
    </row>
    <row r="97" spans="1:4" x14ac:dyDescent="0.25">
      <c r="A97" s="8">
        <v>46170</v>
      </c>
      <c r="B97" s="9" t="s">
        <v>178</v>
      </c>
      <c r="C97" s="10">
        <v>-1320</v>
      </c>
      <c r="D97" s="10">
        <f t="shared" si="1"/>
        <v>415</v>
      </c>
    </row>
    <row r="98" spans="1:4" x14ac:dyDescent="0.25">
      <c r="A98" s="8">
        <v>46177</v>
      </c>
      <c r="B98" s="9" t="s">
        <v>3</v>
      </c>
      <c r="C98" s="10">
        <v>550</v>
      </c>
      <c r="D98" s="10">
        <f t="shared" si="1"/>
        <v>965</v>
      </c>
    </row>
    <row r="99" spans="1:4" x14ac:dyDescent="0.25">
      <c r="A99" s="8">
        <v>46177</v>
      </c>
      <c r="B99" s="9" t="s">
        <v>178</v>
      </c>
      <c r="C99" s="10">
        <v>-550</v>
      </c>
      <c r="D99" s="10">
        <f t="shared" si="1"/>
        <v>415</v>
      </c>
    </row>
    <row r="100" spans="1:4" x14ac:dyDescent="0.25">
      <c r="A100" s="8">
        <v>46181</v>
      </c>
      <c r="B100" s="9" t="s">
        <v>3</v>
      </c>
      <c r="C100" s="10">
        <v>2750</v>
      </c>
      <c r="D100" s="10">
        <f t="shared" si="1"/>
        <v>3165</v>
      </c>
    </row>
    <row r="101" spans="1:4" x14ac:dyDescent="0.25">
      <c r="A101" s="8">
        <v>46181</v>
      </c>
      <c r="B101" s="9" t="s">
        <v>178</v>
      </c>
      <c r="C101" s="10">
        <v>-2750</v>
      </c>
      <c r="D101" s="10">
        <f t="shared" si="1"/>
        <v>415</v>
      </c>
    </row>
    <row r="102" spans="1:4" x14ac:dyDescent="0.25">
      <c r="A102" s="8">
        <v>46188</v>
      </c>
      <c r="B102" s="9" t="s">
        <v>3</v>
      </c>
      <c r="C102" s="10">
        <v>2140</v>
      </c>
      <c r="D102" s="10">
        <f t="shared" si="1"/>
        <v>2555</v>
      </c>
    </row>
    <row r="103" spans="1:4" x14ac:dyDescent="0.25">
      <c r="A103" s="8">
        <v>46188</v>
      </c>
      <c r="B103" s="9" t="s">
        <v>178</v>
      </c>
      <c r="C103" s="10">
        <v>-2140</v>
      </c>
      <c r="D103" s="10">
        <f t="shared" si="1"/>
        <v>415</v>
      </c>
    </row>
    <row r="104" spans="1:4" x14ac:dyDescent="0.25">
      <c r="A104" s="8">
        <v>46191</v>
      </c>
      <c r="B104" s="9" t="s">
        <v>3</v>
      </c>
      <c r="C104" s="10">
        <v>1600</v>
      </c>
      <c r="D104" s="10">
        <f t="shared" si="1"/>
        <v>2015</v>
      </c>
    </row>
    <row r="105" spans="1:4" x14ac:dyDescent="0.25">
      <c r="A105" s="8">
        <v>46195</v>
      </c>
      <c r="B105" s="9" t="s">
        <v>3</v>
      </c>
      <c r="C105" s="10">
        <v>2230</v>
      </c>
      <c r="D105" s="10">
        <f t="shared" si="1"/>
        <v>4245</v>
      </c>
    </row>
    <row r="106" spans="1:4" x14ac:dyDescent="0.25">
      <c r="A106" s="8">
        <v>46195</v>
      </c>
      <c r="B106" s="9" t="s">
        <v>178</v>
      </c>
      <c r="C106" s="10">
        <v>-3830</v>
      </c>
      <c r="D106" s="10">
        <f t="shared" si="1"/>
        <v>415</v>
      </c>
    </row>
    <row r="107" spans="1:4" x14ac:dyDescent="0.25">
      <c r="A107" s="8">
        <v>46209</v>
      </c>
      <c r="B107" s="9" t="s">
        <v>3</v>
      </c>
      <c r="C107" s="10">
        <v>3890</v>
      </c>
      <c r="D107" s="10">
        <f t="shared" si="1"/>
        <v>4305</v>
      </c>
    </row>
    <row r="108" spans="1:4" x14ac:dyDescent="0.25">
      <c r="A108" s="8">
        <v>46209</v>
      </c>
      <c r="B108" s="9" t="s">
        <v>178</v>
      </c>
      <c r="C108" s="10">
        <v>-3890</v>
      </c>
      <c r="D108" s="10">
        <f t="shared" si="1"/>
        <v>415</v>
      </c>
    </row>
    <row r="109" spans="1:4" x14ac:dyDescent="0.25">
      <c r="A109" s="8">
        <v>46216</v>
      </c>
      <c r="B109" s="9" t="s">
        <v>3</v>
      </c>
      <c r="C109" s="10">
        <v>560</v>
      </c>
      <c r="D109" s="10">
        <f t="shared" si="1"/>
        <v>975</v>
      </c>
    </row>
    <row r="110" spans="1:4" x14ac:dyDescent="0.25">
      <c r="A110" s="8">
        <v>46216</v>
      </c>
      <c r="B110" s="9" t="s">
        <v>178</v>
      </c>
      <c r="C110" s="10">
        <v>-560</v>
      </c>
      <c r="D110" s="10">
        <f t="shared" si="1"/>
        <v>415</v>
      </c>
    </row>
    <row r="111" spans="1:4" x14ac:dyDescent="0.25">
      <c r="A111" s="8">
        <v>46219</v>
      </c>
      <c r="B111" s="9" t="s">
        <v>3</v>
      </c>
      <c r="C111" s="10">
        <v>3480</v>
      </c>
      <c r="D111" s="10">
        <f t="shared" si="1"/>
        <v>3895</v>
      </c>
    </row>
    <row r="112" spans="1:4" x14ac:dyDescent="0.25">
      <c r="A112" s="8">
        <v>46219</v>
      </c>
      <c r="B112" s="9" t="s">
        <v>178</v>
      </c>
      <c r="C112" s="10">
        <v>-3480</v>
      </c>
      <c r="D112" s="10">
        <f t="shared" si="1"/>
        <v>415</v>
      </c>
    </row>
    <row r="113" spans="1:6" x14ac:dyDescent="0.25">
      <c r="A113" s="8">
        <v>46223</v>
      </c>
      <c r="B113" s="9" t="s">
        <v>3</v>
      </c>
      <c r="C113" s="10">
        <v>3110</v>
      </c>
      <c r="D113" s="10">
        <f t="shared" si="1"/>
        <v>3525</v>
      </c>
    </row>
    <row r="114" spans="1:6" x14ac:dyDescent="0.25">
      <c r="A114" s="8">
        <v>46226</v>
      </c>
      <c r="B114" s="9" t="s">
        <v>3</v>
      </c>
      <c r="C114" s="10">
        <v>2450</v>
      </c>
      <c r="D114" s="10">
        <f t="shared" si="1"/>
        <v>5975</v>
      </c>
    </row>
    <row r="115" spans="1:6" x14ac:dyDescent="0.25">
      <c r="A115" s="8">
        <v>46226</v>
      </c>
      <c r="B115" s="9" t="s">
        <v>178</v>
      </c>
      <c r="C115" s="10">
        <v>-3110</v>
      </c>
      <c r="D115" s="10">
        <f t="shared" si="1"/>
        <v>2865</v>
      </c>
      <c r="E115" s="6"/>
    </row>
    <row r="116" spans="1:6" x14ac:dyDescent="0.25">
      <c r="A116" s="8">
        <v>46230</v>
      </c>
      <c r="B116" s="9" t="s">
        <v>3</v>
      </c>
      <c r="C116" s="10">
        <v>2690</v>
      </c>
      <c r="D116" s="10">
        <f t="shared" si="1"/>
        <v>5555</v>
      </c>
    </row>
    <row r="117" spans="1:6" x14ac:dyDescent="0.25">
      <c r="A117" s="8">
        <v>46230</v>
      </c>
      <c r="B117" s="9" t="s">
        <v>178</v>
      </c>
      <c r="C117" s="10">
        <v>-5140</v>
      </c>
      <c r="D117" s="10">
        <f t="shared" si="1"/>
        <v>415</v>
      </c>
      <c r="F117" s="6"/>
    </row>
    <row r="118" spans="1:6" x14ac:dyDescent="0.25">
      <c r="A118" s="8">
        <v>46233</v>
      </c>
      <c r="B118" s="9" t="s">
        <v>3</v>
      </c>
      <c r="C118" s="10">
        <v>850</v>
      </c>
      <c r="D118" s="10">
        <f t="shared" si="1"/>
        <v>1265</v>
      </c>
    </row>
    <row r="119" spans="1:6" x14ac:dyDescent="0.25">
      <c r="A119" s="8">
        <v>46203</v>
      </c>
      <c r="B119" s="9" t="s">
        <v>178</v>
      </c>
      <c r="C119" s="10">
        <v>-850</v>
      </c>
      <c r="D119" s="10">
        <f t="shared" si="1"/>
        <v>415</v>
      </c>
    </row>
    <row r="120" spans="1:6" x14ac:dyDescent="0.25">
      <c r="A120" s="8">
        <v>46237</v>
      </c>
      <c r="B120" s="9" t="s">
        <v>3</v>
      </c>
      <c r="C120" s="10">
        <v>5500</v>
      </c>
      <c r="D120" s="10">
        <f t="shared" si="1"/>
        <v>5915</v>
      </c>
    </row>
    <row r="121" spans="1:6" x14ac:dyDescent="0.25">
      <c r="A121" s="8">
        <v>46240</v>
      </c>
      <c r="B121" s="9" t="s">
        <v>3</v>
      </c>
      <c r="C121" s="10">
        <v>300</v>
      </c>
      <c r="D121" s="10">
        <f t="shared" si="1"/>
        <v>6215</v>
      </c>
    </row>
    <row r="122" spans="1:6" x14ac:dyDescent="0.25">
      <c r="A122" s="8">
        <v>46240</v>
      </c>
      <c r="B122" s="9" t="s">
        <v>178</v>
      </c>
      <c r="C122" s="10">
        <v>-5500</v>
      </c>
      <c r="D122" s="10">
        <f t="shared" si="1"/>
        <v>715</v>
      </c>
    </row>
    <row r="123" spans="1:6" x14ac:dyDescent="0.25">
      <c r="A123" s="8">
        <v>46334</v>
      </c>
      <c r="B123" s="9" t="s">
        <v>546</v>
      </c>
      <c r="C123" s="10">
        <v>1500</v>
      </c>
      <c r="D123" s="10">
        <f t="shared" si="1"/>
        <v>2215</v>
      </c>
    </row>
    <row r="124" spans="1:6" x14ac:dyDescent="0.25">
      <c r="A124" s="8">
        <v>46244</v>
      </c>
      <c r="B124" s="9" t="s">
        <v>3</v>
      </c>
      <c r="C124" s="10">
        <v>820</v>
      </c>
      <c r="D124" s="10">
        <f t="shared" si="1"/>
        <v>3035</v>
      </c>
      <c r="F124" s="6"/>
    </row>
    <row r="125" spans="1:6" x14ac:dyDescent="0.25">
      <c r="A125" s="8">
        <v>46244</v>
      </c>
      <c r="B125" s="9" t="s">
        <v>178</v>
      </c>
      <c r="C125" s="10">
        <v>-2620</v>
      </c>
      <c r="D125" s="10">
        <f t="shared" si="1"/>
        <v>415</v>
      </c>
    </row>
    <row r="126" spans="1:6" x14ac:dyDescent="0.25">
      <c r="A126" s="8">
        <v>46247</v>
      </c>
      <c r="B126" s="9" t="s">
        <v>3</v>
      </c>
      <c r="C126" s="10">
        <v>2880</v>
      </c>
      <c r="D126" s="10">
        <f t="shared" si="1"/>
        <v>3295</v>
      </c>
    </row>
    <row r="127" spans="1:6" x14ac:dyDescent="0.25">
      <c r="A127" s="8">
        <v>46247</v>
      </c>
      <c r="B127" s="9" t="s">
        <v>178</v>
      </c>
      <c r="C127" s="10">
        <v>-2880</v>
      </c>
      <c r="D127" s="10">
        <f t="shared" si="1"/>
        <v>415</v>
      </c>
    </row>
    <row r="128" spans="1:6" x14ac:dyDescent="0.25">
      <c r="A128" s="8">
        <v>46258</v>
      </c>
      <c r="B128" s="9" t="s">
        <v>3</v>
      </c>
      <c r="C128" s="10">
        <v>2690</v>
      </c>
      <c r="D128" s="10">
        <f t="shared" si="1"/>
        <v>3105</v>
      </c>
    </row>
    <row r="129" spans="1:4" x14ac:dyDescent="0.25">
      <c r="A129" s="8">
        <v>46258</v>
      </c>
      <c r="B129" s="9" t="s">
        <v>178</v>
      </c>
      <c r="C129" s="10">
        <v>-2890</v>
      </c>
      <c r="D129" s="10">
        <f t="shared" si="1"/>
        <v>215</v>
      </c>
    </row>
    <row r="130" spans="1:4" x14ac:dyDescent="0.25">
      <c r="A130" s="8">
        <v>46263</v>
      </c>
      <c r="B130" s="9" t="s">
        <v>546</v>
      </c>
      <c r="C130" s="10">
        <v>3780</v>
      </c>
      <c r="D130" s="10">
        <f t="shared" si="1"/>
        <v>3995</v>
      </c>
    </row>
    <row r="131" spans="1:4" x14ac:dyDescent="0.25">
      <c r="A131" s="8">
        <v>46265</v>
      </c>
      <c r="B131" s="9" t="s">
        <v>3</v>
      </c>
      <c r="C131" s="10">
        <v>1360</v>
      </c>
      <c r="D131" s="10">
        <f t="shared" si="1"/>
        <v>5355</v>
      </c>
    </row>
    <row r="132" spans="1:4" x14ac:dyDescent="0.25">
      <c r="A132" s="8">
        <v>46265</v>
      </c>
      <c r="B132" s="9" t="s">
        <v>178</v>
      </c>
      <c r="C132" s="10">
        <v>-5140</v>
      </c>
      <c r="D132" s="10">
        <f t="shared" si="1"/>
        <v>215</v>
      </c>
    </row>
    <row r="133" spans="1:4" x14ac:dyDescent="0.25">
      <c r="A133" s="8">
        <v>46268</v>
      </c>
      <c r="B133" s="9" t="s">
        <v>3</v>
      </c>
      <c r="C133" s="10">
        <v>670</v>
      </c>
      <c r="D133" s="10">
        <f t="shared" si="1"/>
        <v>885</v>
      </c>
    </row>
    <row r="134" spans="1:4" x14ac:dyDescent="0.25">
      <c r="A134" s="8">
        <v>46268</v>
      </c>
      <c r="B134" s="9" t="s">
        <v>178</v>
      </c>
      <c r="C134" s="10">
        <v>-700</v>
      </c>
      <c r="D134" s="10">
        <f t="shared" si="1"/>
        <v>185</v>
      </c>
    </row>
    <row r="135" spans="1:4" x14ac:dyDescent="0.25">
      <c r="A135" s="8">
        <v>46270</v>
      </c>
      <c r="B135" s="9" t="s">
        <v>546</v>
      </c>
      <c r="C135" s="10">
        <v>1440</v>
      </c>
      <c r="D135" s="10">
        <f t="shared" si="1"/>
        <v>1625</v>
      </c>
    </row>
    <row r="136" spans="1:4" x14ac:dyDescent="0.25">
      <c r="A136" s="8">
        <v>46272</v>
      </c>
      <c r="B136" s="9" t="s">
        <v>3</v>
      </c>
      <c r="C136" s="10">
        <v>2070</v>
      </c>
      <c r="D136" s="10">
        <f t="shared" si="1"/>
        <v>3695</v>
      </c>
    </row>
    <row r="137" spans="1:4" x14ac:dyDescent="0.25">
      <c r="A137" s="8">
        <v>46272</v>
      </c>
      <c r="B137" s="9" t="s">
        <v>178</v>
      </c>
      <c r="C137" s="10">
        <v>-3500</v>
      </c>
      <c r="D137" s="10">
        <f t="shared" si="1"/>
        <v>195</v>
      </c>
    </row>
    <row r="138" spans="1:4" x14ac:dyDescent="0.25">
      <c r="A138" s="8">
        <v>46275</v>
      </c>
      <c r="B138" s="9" t="s">
        <v>3</v>
      </c>
      <c r="C138" s="10">
        <v>1000</v>
      </c>
      <c r="D138" s="10">
        <f t="shared" si="1"/>
        <v>1195</v>
      </c>
    </row>
    <row r="139" spans="1:4" x14ac:dyDescent="0.25">
      <c r="A139" s="8">
        <v>46275</v>
      </c>
      <c r="B139" s="9" t="s">
        <v>178</v>
      </c>
      <c r="C139" s="10">
        <v>-1000</v>
      </c>
      <c r="D139" s="10">
        <f t="shared" si="1"/>
        <v>195</v>
      </c>
    </row>
    <row r="140" spans="1:4" x14ac:dyDescent="0.25">
      <c r="A140" s="8">
        <v>46286</v>
      </c>
      <c r="B140" s="9" t="s">
        <v>589</v>
      </c>
      <c r="C140" s="10">
        <v>10500</v>
      </c>
      <c r="D140" s="10">
        <f t="shared" si="1"/>
        <v>10695</v>
      </c>
    </row>
    <row r="141" spans="1:4" x14ac:dyDescent="0.25">
      <c r="A141" s="8">
        <v>46293</v>
      </c>
      <c r="B141" s="9" t="s">
        <v>178</v>
      </c>
      <c r="C141" s="10">
        <v>-10500</v>
      </c>
      <c r="D141" s="10">
        <f t="shared" ref="D141:D142" si="2">D140+C141</f>
        <v>195</v>
      </c>
    </row>
    <row r="142" spans="1:4" x14ac:dyDescent="0.25">
      <c r="A142" s="8">
        <v>46296</v>
      </c>
      <c r="B142" s="9" t="s">
        <v>3</v>
      </c>
      <c r="C142" s="10">
        <v>1740</v>
      </c>
      <c r="D142" s="10">
        <f t="shared" si="2"/>
        <v>1935</v>
      </c>
    </row>
    <row r="143" spans="1:4" x14ac:dyDescent="0.25">
      <c r="A143" s="8">
        <v>46296</v>
      </c>
      <c r="B143" s="9" t="s">
        <v>178</v>
      </c>
      <c r="C143" s="10">
        <v>-1740</v>
      </c>
      <c r="D143" s="10">
        <f t="shared" ref="D143:D150" si="3">D142+C143</f>
        <v>195</v>
      </c>
    </row>
    <row r="144" spans="1:4" x14ac:dyDescent="0.25">
      <c r="A144" s="8">
        <v>46300</v>
      </c>
      <c r="B144" s="9" t="s">
        <v>613</v>
      </c>
      <c r="C144" s="10">
        <v>4540</v>
      </c>
      <c r="D144" s="10">
        <f t="shared" si="3"/>
        <v>4735</v>
      </c>
    </row>
    <row r="145" spans="1:4" x14ac:dyDescent="0.25">
      <c r="A145" s="9"/>
      <c r="B145" s="9"/>
      <c r="C145" s="10"/>
      <c r="D145" s="10">
        <f t="shared" si="3"/>
        <v>4735</v>
      </c>
    </row>
    <row r="146" spans="1:4" x14ac:dyDescent="0.25">
      <c r="A146" s="9"/>
      <c r="B146" s="9"/>
      <c r="C146" s="10"/>
      <c r="D146" s="10">
        <f t="shared" si="3"/>
        <v>4735</v>
      </c>
    </row>
    <row r="147" spans="1:4" x14ac:dyDescent="0.25">
      <c r="A147" s="9"/>
      <c r="B147" s="9"/>
      <c r="C147" s="10"/>
      <c r="D147" s="10">
        <f t="shared" si="3"/>
        <v>4735</v>
      </c>
    </row>
    <row r="148" spans="1:4" x14ac:dyDescent="0.25">
      <c r="A148" s="9"/>
      <c r="B148" s="9"/>
      <c r="C148" s="10"/>
      <c r="D148" s="10">
        <f t="shared" si="3"/>
        <v>4735</v>
      </c>
    </row>
    <row r="149" spans="1:4" x14ac:dyDescent="0.25">
      <c r="A149" s="9"/>
      <c r="B149" s="9"/>
      <c r="C149" s="10"/>
      <c r="D149" s="10">
        <f t="shared" si="3"/>
        <v>4735</v>
      </c>
    </row>
    <row r="150" spans="1:4" x14ac:dyDescent="0.25">
      <c r="A150" s="9"/>
      <c r="B150" s="9"/>
      <c r="C150" s="10"/>
      <c r="D150" s="10">
        <f t="shared" si="3"/>
        <v>4735</v>
      </c>
    </row>
    <row r="151" spans="1:4" x14ac:dyDescent="0.25">
      <c r="A151" s="9"/>
      <c r="B151" s="9"/>
      <c r="C151" s="10"/>
      <c r="D151" s="10"/>
    </row>
    <row r="152" spans="1:4" x14ac:dyDescent="0.25">
      <c r="A152" s="9"/>
      <c r="B152" s="9"/>
      <c r="C152" s="10"/>
      <c r="D152" s="10"/>
    </row>
    <row r="153" spans="1:4" x14ac:dyDescent="0.25">
      <c r="A153" s="9"/>
      <c r="B153" s="9"/>
      <c r="C153" s="10"/>
      <c r="D153" s="10"/>
    </row>
    <row r="154" spans="1:4" x14ac:dyDescent="0.25">
      <c r="A154" s="9"/>
      <c r="B154" s="9"/>
      <c r="C154" s="10"/>
      <c r="D154" s="10"/>
    </row>
    <row r="155" spans="1:4" x14ac:dyDescent="0.25">
      <c r="A155" s="9"/>
      <c r="B155" s="9"/>
      <c r="C155" s="10"/>
      <c r="D155" s="10"/>
    </row>
    <row r="156" spans="1:4" x14ac:dyDescent="0.25">
      <c r="A156" s="9"/>
      <c r="B156" s="9"/>
      <c r="C156" s="10"/>
      <c r="D156" s="10"/>
    </row>
    <row r="157" spans="1:4" x14ac:dyDescent="0.25">
      <c r="A157" s="9"/>
      <c r="B157" s="9"/>
      <c r="C157" s="10"/>
      <c r="D157" s="10"/>
    </row>
    <row r="158" spans="1:4" x14ac:dyDescent="0.25">
      <c r="A158" s="9"/>
      <c r="B158" s="9"/>
      <c r="C158" s="10"/>
      <c r="D158" s="10"/>
    </row>
    <row r="159" spans="1:4" x14ac:dyDescent="0.25">
      <c r="A159" s="9"/>
      <c r="B159" s="9"/>
      <c r="C159" s="10"/>
      <c r="D159" s="10"/>
    </row>
    <row r="160" spans="1:4" x14ac:dyDescent="0.25">
      <c r="A160" s="9"/>
      <c r="B160" s="9"/>
      <c r="C160" s="10"/>
      <c r="D160" s="10"/>
    </row>
    <row r="161" spans="1:4" x14ac:dyDescent="0.25">
      <c r="A161" s="9"/>
      <c r="B161" s="9"/>
      <c r="C161" s="10"/>
      <c r="D161" s="10"/>
    </row>
    <row r="162" spans="1:4" x14ac:dyDescent="0.25">
      <c r="A162" s="9"/>
      <c r="B162" s="9"/>
      <c r="C162" s="10"/>
      <c r="D162" s="10"/>
    </row>
    <row r="163" spans="1:4" x14ac:dyDescent="0.25">
      <c r="A163" s="9"/>
      <c r="B163" s="9"/>
      <c r="C163" s="10"/>
      <c r="D163" s="10"/>
    </row>
    <row r="164" spans="1:4" x14ac:dyDescent="0.25">
      <c r="A164" s="9"/>
      <c r="B164" s="9"/>
      <c r="C164" s="10"/>
      <c r="D164" s="10"/>
    </row>
    <row r="165" spans="1:4" x14ac:dyDescent="0.25">
      <c r="A165" s="9"/>
      <c r="B165" s="9"/>
      <c r="C165" s="10"/>
      <c r="D165" s="10"/>
    </row>
    <row r="166" spans="1:4" x14ac:dyDescent="0.25">
      <c r="A166" s="9"/>
      <c r="B166" s="9"/>
      <c r="C166" s="10"/>
      <c r="D166" s="10"/>
    </row>
    <row r="167" spans="1:4" x14ac:dyDescent="0.25">
      <c r="A167" s="9"/>
      <c r="B167" s="9"/>
      <c r="C167" s="10"/>
      <c r="D167" s="10"/>
    </row>
    <row r="168" spans="1:4" x14ac:dyDescent="0.25">
      <c r="A168" s="9"/>
      <c r="B168" s="9"/>
      <c r="C168" s="10"/>
      <c r="D168" s="10"/>
    </row>
    <row r="169" spans="1:4" x14ac:dyDescent="0.25">
      <c r="A169" s="9"/>
      <c r="B169" s="9"/>
      <c r="C169" s="10"/>
      <c r="D169" s="10"/>
    </row>
    <row r="170" spans="1:4" x14ac:dyDescent="0.25">
      <c r="A170" s="9"/>
      <c r="B170" s="9"/>
      <c r="C170" s="10"/>
      <c r="D170" s="10"/>
    </row>
    <row r="171" spans="1:4" x14ac:dyDescent="0.25">
      <c r="A171" s="9"/>
      <c r="B171" s="9"/>
      <c r="C171" s="10"/>
      <c r="D171" s="10"/>
    </row>
    <row r="172" spans="1:4" x14ac:dyDescent="0.25">
      <c r="A172" s="9"/>
      <c r="B172" s="9"/>
      <c r="C172" s="10"/>
      <c r="D172" s="10"/>
    </row>
    <row r="173" spans="1:4" x14ac:dyDescent="0.25">
      <c r="A173" s="9"/>
      <c r="B173" s="9"/>
      <c r="C173" s="10"/>
      <c r="D173" s="10"/>
    </row>
    <row r="174" spans="1:4" x14ac:dyDescent="0.25">
      <c r="A174" s="9"/>
      <c r="B174" s="9"/>
      <c r="C174" s="10"/>
      <c r="D174" s="10"/>
    </row>
    <row r="175" spans="1:4" x14ac:dyDescent="0.25">
      <c r="A175" s="9"/>
      <c r="B175" s="9"/>
      <c r="C175" s="10"/>
      <c r="D175" s="10"/>
    </row>
    <row r="176" spans="1:4" x14ac:dyDescent="0.25">
      <c r="A176" s="9"/>
      <c r="B176" s="9"/>
      <c r="C176" s="10"/>
      <c r="D176" s="10"/>
    </row>
    <row r="177" spans="1:4" x14ac:dyDescent="0.25">
      <c r="A177" s="9"/>
      <c r="B177" s="9"/>
      <c r="C177" s="10"/>
      <c r="D177" s="10"/>
    </row>
    <row r="178" spans="1:4" x14ac:dyDescent="0.25">
      <c r="A178" s="9"/>
      <c r="B178" s="9"/>
      <c r="C178" s="10"/>
      <c r="D178" s="10"/>
    </row>
    <row r="179" spans="1:4" x14ac:dyDescent="0.25">
      <c r="A179" s="9"/>
      <c r="B179" s="9"/>
      <c r="C179" s="10"/>
      <c r="D179" s="10"/>
    </row>
    <row r="180" spans="1:4" x14ac:dyDescent="0.25">
      <c r="A180" s="9"/>
      <c r="B180" s="9"/>
      <c r="C180" s="10"/>
      <c r="D180" s="10"/>
    </row>
    <row r="181" spans="1:4" x14ac:dyDescent="0.25">
      <c r="A181" s="9"/>
      <c r="B181" s="9"/>
      <c r="C181" s="10"/>
      <c r="D181" s="10"/>
    </row>
    <row r="182" spans="1:4" x14ac:dyDescent="0.25">
      <c r="A182" s="9"/>
      <c r="B182" s="9"/>
      <c r="C182" s="10"/>
      <c r="D182" s="10"/>
    </row>
  </sheetData>
  <mergeCells count="2">
    <mergeCell ref="A4:D4"/>
    <mergeCell ref="B6:D6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3CD11-2413-49FC-8924-AEC8FE86FECA}">
  <sheetPr>
    <tabColor theme="8" tint="0.59999389629810485"/>
  </sheetPr>
  <dimension ref="A4:G216"/>
  <sheetViews>
    <sheetView topLeftCell="A183" workbookViewId="0">
      <selection activeCell="E209" sqref="E209"/>
    </sheetView>
  </sheetViews>
  <sheetFormatPr baseColWidth="10" defaultRowHeight="15" x14ac:dyDescent="0.25"/>
  <cols>
    <col min="1" max="1" width="28.28515625" customWidth="1"/>
    <col min="2" max="2" width="41" customWidth="1"/>
    <col min="3" max="3" width="23.42578125" style="6" customWidth="1"/>
    <col min="4" max="4" width="21.85546875" style="6" customWidth="1"/>
  </cols>
  <sheetData>
    <row r="4" spans="1:7" ht="18" x14ac:dyDescent="0.25">
      <c r="A4" s="98" t="s">
        <v>0</v>
      </c>
      <c r="B4" s="98"/>
      <c r="C4" s="98"/>
      <c r="D4" s="98"/>
      <c r="E4" s="1"/>
      <c r="F4" s="1"/>
      <c r="G4" s="1"/>
    </row>
    <row r="6" spans="1:7" x14ac:dyDescent="0.25">
      <c r="A6" s="2" t="s">
        <v>1</v>
      </c>
      <c r="B6" s="96" t="s">
        <v>15</v>
      </c>
      <c r="C6" s="97"/>
      <c r="D6" s="97"/>
    </row>
    <row r="7" spans="1:7" x14ac:dyDescent="0.25">
      <c r="A7" s="3" t="s">
        <v>11</v>
      </c>
      <c r="B7" s="4" t="s">
        <v>16</v>
      </c>
      <c r="C7" s="4"/>
      <c r="D7" s="4"/>
    </row>
    <row r="8" spans="1:7" x14ac:dyDescent="0.25">
      <c r="B8" s="5"/>
    </row>
    <row r="9" spans="1:7" ht="21" x14ac:dyDescent="0.35">
      <c r="A9" s="66" t="s">
        <v>2</v>
      </c>
      <c r="B9" s="66" t="s">
        <v>3</v>
      </c>
      <c r="C9" s="65" t="s">
        <v>4</v>
      </c>
      <c r="D9" s="65" t="s">
        <v>5</v>
      </c>
    </row>
    <row r="10" spans="1:7" x14ac:dyDescent="0.25">
      <c r="A10" s="8">
        <v>45836</v>
      </c>
      <c r="B10" s="9" t="s">
        <v>6</v>
      </c>
      <c r="C10" s="10">
        <v>970</v>
      </c>
      <c r="D10" s="10">
        <f>C10</f>
        <v>970</v>
      </c>
    </row>
    <row r="11" spans="1:7" x14ac:dyDescent="0.25">
      <c r="A11" s="8">
        <v>45838</v>
      </c>
      <c r="B11" s="9" t="s">
        <v>6</v>
      </c>
      <c r="C11" s="10">
        <v>1690</v>
      </c>
      <c r="D11" s="10">
        <f>D10+C11</f>
        <v>2660</v>
      </c>
    </row>
    <row r="12" spans="1:7" x14ac:dyDescent="0.25">
      <c r="A12" s="8">
        <v>45848</v>
      </c>
      <c r="B12" s="9" t="s">
        <v>7</v>
      </c>
      <c r="C12" s="10">
        <v>-5320</v>
      </c>
      <c r="D12" s="10">
        <f t="shared" ref="D12:D74" si="0">D11+C12</f>
        <v>-2660</v>
      </c>
    </row>
    <row r="13" spans="1:7" x14ac:dyDescent="0.25">
      <c r="A13" s="8">
        <v>45852</v>
      </c>
      <c r="B13" s="9" t="s">
        <v>6</v>
      </c>
      <c r="C13" s="10">
        <v>2840</v>
      </c>
      <c r="D13" s="10">
        <f t="shared" si="0"/>
        <v>180</v>
      </c>
    </row>
    <row r="14" spans="1:7" x14ac:dyDescent="0.25">
      <c r="A14" s="8">
        <v>45855</v>
      </c>
      <c r="B14" s="9" t="s">
        <v>6</v>
      </c>
      <c r="C14" s="10">
        <v>9270</v>
      </c>
      <c r="D14" s="10">
        <f t="shared" si="0"/>
        <v>9450</v>
      </c>
    </row>
    <row r="15" spans="1:7" x14ac:dyDescent="0.25">
      <c r="A15" s="8">
        <v>45859</v>
      </c>
      <c r="B15" s="9" t="s">
        <v>7</v>
      </c>
      <c r="C15" s="10">
        <v>-12110</v>
      </c>
      <c r="D15" s="11">
        <f t="shared" si="0"/>
        <v>-2660</v>
      </c>
    </row>
    <row r="16" spans="1:7" x14ac:dyDescent="0.25">
      <c r="A16" s="8">
        <v>45859</v>
      </c>
      <c r="B16" s="9" t="s">
        <v>6</v>
      </c>
      <c r="C16" s="10">
        <v>2810</v>
      </c>
      <c r="D16" s="10">
        <f t="shared" si="0"/>
        <v>150</v>
      </c>
    </row>
    <row r="17" spans="1:4" x14ac:dyDescent="0.25">
      <c r="A17" s="8">
        <v>45862</v>
      </c>
      <c r="B17" s="9" t="s">
        <v>6</v>
      </c>
      <c r="C17" s="10">
        <v>7080</v>
      </c>
      <c r="D17" s="10">
        <f t="shared" si="0"/>
        <v>7230</v>
      </c>
    </row>
    <row r="18" spans="1:4" x14ac:dyDescent="0.25">
      <c r="A18" s="8">
        <v>45866</v>
      </c>
      <c r="B18" s="9" t="s">
        <v>6</v>
      </c>
      <c r="C18" s="10">
        <v>6020</v>
      </c>
      <c r="D18" s="10">
        <f t="shared" si="0"/>
        <v>13250</v>
      </c>
    </row>
    <row r="19" spans="1:4" x14ac:dyDescent="0.25">
      <c r="A19" s="8">
        <v>45866</v>
      </c>
      <c r="B19" s="9" t="s">
        <v>46</v>
      </c>
      <c r="C19" s="10">
        <v>-9890</v>
      </c>
      <c r="D19" s="10">
        <f t="shared" si="0"/>
        <v>3360</v>
      </c>
    </row>
    <row r="20" spans="1:4" x14ac:dyDescent="0.25">
      <c r="A20" s="8">
        <v>45869</v>
      </c>
      <c r="B20" s="9" t="s">
        <v>6</v>
      </c>
      <c r="C20" s="10">
        <v>6160</v>
      </c>
      <c r="D20" s="10">
        <f t="shared" si="0"/>
        <v>9520</v>
      </c>
    </row>
    <row r="21" spans="1:4" x14ac:dyDescent="0.25">
      <c r="A21" s="8">
        <v>45873</v>
      </c>
      <c r="B21" s="9" t="s">
        <v>46</v>
      </c>
      <c r="C21" s="10">
        <v>-12180</v>
      </c>
      <c r="D21" s="10">
        <f t="shared" si="0"/>
        <v>-2660</v>
      </c>
    </row>
    <row r="22" spans="1:4" x14ac:dyDescent="0.25">
      <c r="A22" s="8">
        <v>45880</v>
      </c>
      <c r="B22" s="9" t="s">
        <v>6</v>
      </c>
      <c r="C22" s="10">
        <v>5630</v>
      </c>
      <c r="D22" s="10">
        <f t="shared" si="0"/>
        <v>2970</v>
      </c>
    </row>
    <row r="23" spans="1:4" x14ac:dyDescent="0.25">
      <c r="A23" s="8">
        <v>45883</v>
      </c>
      <c r="B23" s="9" t="s">
        <v>6</v>
      </c>
      <c r="C23" s="10">
        <v>2580</v>
      </c>
      <c r="D23" s="10">
        <f t="shared" si="0"/>
        <v>5550</v>
      </c>
    </row>
    <row r="24" spans="1:4" x14ac:dyDescent="0.25">
      <c r="A24" s="8">
        <v>45883</v>
      </c>
      <c r="B24" s="9" t="s">
        <v>46</v>
      </c>
      <c r="C24" s="10">
        <v>-6000</v>
      </c>
      <c r="D24" s="10">
        <f t="shared" si="0"/>
        <v>-450</v>
      </c>
    </row>
    <row r="25" spans="1:4" x14ac:dyDescent="0.25">
      <c r="A25" s="8">
        <v>45887</v>
      </c>
      <c r="B25" s="9" t="s">
        <v>6</v>
      </c>
      <c r="C25" s="10">
        <v>5340</v>
      </c>
      <c r="D25" s="10">
        <f t="shared" si="0"/>
        <v>4890</v>
      </c>
    </row>
    <row r="26" spans="1:4" x14ac:dyDescent="0.25">
      <c r="A26" s="8">
        <v>45890</v>
      </c>
      <c r="B26" s="9" t="s">
        <v>92</v>
      </c>
      <c r="C26" s="10">
        <v>-11280</v>
      </c>
      <c r="D26" s="10">
        <f t="shared" si="0"/>
        <v>-6390</v>
      </c>
    </row>
    <row r="27" spans="1:4" x14ac:dyDescent="0.25">
      <c r="A27" s="8">
        <v>45890</v>
      </c>
      <c r="B27" s="9" t="s">
        <v>6</v>
      </c>
      <c r="C27" s="10">
        <v>4320</v>
      </c>
      <c r="D27" s="10">
        <f t="shared" si="0"/>
        <v>-2070</v>
      </c>
    </row>
    <row r="28" spans="1:4" x14ac:dyDescent="0.25">
      <c r="A28" s="8">
        <v>45894</v>
      </c>
      <c r="B28" s="9" t="s">
        <v>6</v>
      </c>
      <c r="C28" s="10">
        <v>2350</v>
      </c>
      <c r="D28" s="10">
        <f t="shared" si="0"/>
        <v>280</v>
      </c>
    </row>
    <row r="29" spans="1:4" x14ac:dyDescent="0.25">
      <c r="A29" s="8">
        <v>45894</v>
      </c>
      <c r="B29" s="9" t="s">
        <v>46</v>
      </c>
      <c r="C29" s="10">
        <v>-4380</v>
      </c>
      <c r="D29" s="10">
        <f t="shared" si="0"/>
        <v>-4100</v>
      </c>
    </row>
    <row r="30" spans="1:4" x14ac:dyDescent="0.25">
      <c r="A30" s="8">
        <v>45897</v>
      </c>
      <c r="B30" s="9" t="s">
        <v>6</v>
      </c>
      <c r="C30" s="10">
        <v>9030</v>
      </c>
      <c r="D30" s="10">
        <f t="shared" si="0"/>
        <v>4930</v>
      </c>
    </row>
    <row r="31" spans="1:4" x14ac:dyDescent="0.25">
      <c r="A31" s="8">
        <v>45901</v>
      </c>
      <c r="B31" s="9" t="s">
        <v>6</v>
      </c>
      <c r="C31" s="10">
        <v>3120</v>
      </c>
      <c r="D31" s="10">
        <f t="shared" si="0"/>
        <v>8050</v>
      </c>
    </row>
    <row r="32" spans="1:4" x14ac:dyDescent="0.25">
      <c r="A32" s="8">
        <v>45901</v>
      </c>
      <c r="B32" s="9" t="s">
        <v>55</v>
      </c>
      <c r="C32" s="10">
        <v>-11380</v>
      </c>
      <c r="D32" s="10">
        <f t="shared" si="0"/>
        <v>-3330</v>
      </c>
    </row>
    <row r="33" spans="1:4" x14ac:dyDescent="0.25">
      <c r="A33" s="8">
        <v>45905</v>
      </c>
      <c r="B33" s="9" t="s">
        <v>6</v>
      </c>
      <c r="C33" s="10">
        <v>7380</v>
      </c>
      <c r="D33" s="10">
        <f t="shared" si="0"/>
        <v>4050</v>
      </c>
    </row>
    <row r="34" spans="1:4" x14ac:dyDescent="0.25">
      <c r="A34" s="8">
        <v>45908</v>
      </c>
      <c r="B34" s="9" t="s">
        <v>6</v>
      </c>
      <c r="C34" s="10">
        <v>3340</v>
      </c>
      <c r="D34" s="10">
        <f t="shared" si="0"/>
        <v>7390</v>
      </c>
    </row>
    <row r="35" spans="1:4" x14ac:dyDescent="0.25">
      <c r="A35" s="8">
        <v>45911</v>
      </c>
      <c r="B35" s="9" t="s">
        <v>6</v>
      </c>
      <c r="C35" s="10">
        <v>6860</v>
      </c>
      <c r="D35" s="10">
        <f t="shared" si="0"/>
        <v>14250</v>
      </c>
    </row>
    <row r="36" spans="1:4" x14ac:dyDescent="0.25">
      <c r="A36" s="8">
        <v>45911</v>
      </c>
      <c r="B36" s="9" t="s">
        <v>74</v>
      </c>
      <c r="C36" s="10">
        <v>-12780</v>
      </c>
      <c r="D36" s="10">
        <f t="shared" si="0"/>
        <v>1470</v>
      </c>
    </row>
    <row r="37" spans="1:4" x14ac:dyDescent="0.25">
      <c r="A37" s="8">
        <v>45915</v>
      </c>
      <c r="B37" s="9" t="s">
        <v>6</v>
      </c>
      <c r="C37" s="10">
        <v>4610</v>
      </c>
      <c r="D37" s="10">
        <f t="shared" si="0"/>
        <v>6080</v>
      </c>
    </row>
    <row r="38" spans="1:4" x14ac:dyDescent="0.25">
      <c r="A38" s="8">
        <v>45918</v>
      </c>
      <c r="B38" s="9" t="s">
        <v>6</v>
      </c>
      <c r="C38" s="10">
        <v>16680</v>
      </c>
      <c r="D38" s="10">
        <f t="shared" si="0"/>
        <v>22760</v>
      </c>
    </row>
    <row r="39" spans="1:4" x14ac:dyDescent="0.25">
      <c r="A39" s="8">
        <v>45922</v>
      </c>
      <c r="B39" s="9" t="s">
        <v>92</v>
      </c>
      <c r="C39" s="10">
        <v>-5000</v>
      </c>
      <c r="D39" s="10">
        <f t="shared" si="0"/>
        <v>17760</v>
      </c>
    </row>
    <row r="40" spans="1:4" x14ac:dyDescent="0.25">
      <c r="A40" s="8">
        <v>45925</v>
      </c>
      <c r="B40" s="9" t="s">
        <v>6</v>
      </c>
      <c r="C40" s="10">
        <v>2210</v>
      </c>
      <c r="D40" s="10">
        <f t="shared" si="0"/>
        <v>19970</v>
      </c>
    </row>
    <row r="41" spans="1:4" x14ac:dyDescent="0.25">
      <c r="A41" s="8">
        <v>45929</v>
      </c>
      <c r="B41" s="9" t="s">
        <v>6</v>
      </c>
      <c r="C41" s="10">
        <v>3680</v>
      </c>
      <c r="D41" s="10">
        <f t="shared" si="0"/>
        <v>23650</v>
      </c>
    </row>
    <row r="42" spans="1:4" x14ac:dyDescent="0.25">
      <c r="A42" s="8">
        <v>45932</v>
      </c>
      <c r="B42" s="9" t="s">
        <v>6</v>
      </c>
      <c r="C42" s="10">
        <v>1650</v>
      </c>
      <c r="D42" s="10">
        <f t="shared" si="0"/>
        <v>25300</v>
      </c>
    </row>
    <row r="43" spans="1:4" x14ac:dyDescent="0.25">
      <c r="A43" s="8">
        <v>45932</v>
      </c>
      <c r="B43" s="9" t="s">
        <v>178</v>
      </c>
      <c r="C43" s="10">
        <v>-20000</v>
      </c>
      <c r="D43" s="10">
        <f t="shared" si="0"/>
        <v>5300</v>
      </c>
    </row>
    <row r="44" spans="1:4" x14ac:dyDescent="0.25">
      <c r="A44" s="8">
        <v>45936</v>
      </c>
      <c r="B44" s="9" t="s">
        <v>3</v>
      </c>
      <c r="C44" s="10">
        <v>1570</v>
      </c>
      <c r="D44" s="10">
        <f t="shared" si="0"/>
        <v>6870</v>
      </c>
    </row>
    <row r="45" spans="1:4" x14ac:dyDescent="0.25">
      <c r="A45" s="8">
        <v>45936</v>
      </c>
      <c r="B45" s="9" t="s">
        <v>178</v>
      </c>
      <c r="C45" s="10">
        <v>-3680</v>
      </c>
      <c r="D45" s="10">
        <f t="shared" si="0"/>
        <v>3190</v>
      </c>
    </row>
    <row r="46" spans="1:4" x14ac:dyDescent="0.25">
      <c r="A46" s="8">
        <v>45939</v>
      </c>
      <c r="B46" s="9" t="s">
        <v>6</v>
      </c>
      <c r="C46" s="10">
        <v>2210</v>
      </c>
      <c r="D46" s="10">
        <f t="shared" si="0"/>
        <v>5400</v>
      </c>
    </row>
    <row r="47" spans="1:4" x14ac:dyDescent="0.25">
      <c r="A47" s="8">
        <v>45943</v>
      </c>
      <c r="B47" s="9" t="s">
        <v>6</v>
      </c>
      <c r="C47" s="10">
        <v>3040</v>
      </c>
      <c r="D47" s="10">
        <f t="shared" si="0"/>
        <v>8440</v>
      </c>
    </row>
    <row r="48" spans="1:4" x14ac:dyDescent="0.25">
      <c r="A48" s="8">
        <v>45943</v>
      </c>
      <c r="B48" s="9" t="s">
        <v>190</v>
      </c>
      <c r="C48" s="10">
        <v>-5640</v>
      </c>
      <c r="D48" s="10">
        <f t="shared" si="0"/>
        <v>2800</v>
      </c>
    </row>
    <row r="49" spans="1:4" x14ac:dyDescent="0.25">
      <c r="A49" s="8">
        <v>45946</v>
      </c>
      <c r="B49" s="9" t="s">
        <v>6</v>
      </c>
      <c r="C49" s="10">
        <v>3180</v>
      </c>
      <c r="D49" s="10">
        <f t="shared" si="0"/>
        <v>5980</v>
      </c>
    </row>
    <row r="50" spans="1:4" x14ac:dyDescent="0.25">
      <c r="A50" s="8">
        <v>45947</v>
      </c>
      <c r="B50" s="9" t="s">
        <v>143</v>
      </c>
      <c r="C50" s="10">
        <v>1290</v>
      </c>
      <c r="D50" s="10">
        <f t="shared" si="0"/>
        <v>7270</v>
      </c>
    </row>
    <row r="51" spans="1:4" x14ac:dyDescent="0.25">
      <c r="A51" s="8">
        <v>45950</v>
      </c>
      <c r="B51" s="9" t="s">
        <v>3</v>
      </c>
      <c r="C51" s="10">
        <v>3250</v>
      </c>
      <c r="D51" s="10">
        <f t="shared" si="0"/>
        <v>10520</v>
      </c>
    </row>
    <row r="52" spans="1:4" x14ac:dyDescent="0.25">
      <c r="A52" s="8">
        <v>45950</v>
      </c>
      <c r="B52" s="9" t="s">
        <v>178</v>
      </c>
      <c r="C52" s="10">
        <v>-7510</v>
      </c>
      <c r="D52" s="10">
        <f t="shared" si="0"/>
        <v>3010</v>
      </c>
    </row>
    <row r="53" spans="1:4" x14ac:dyDescent="0.25">
      <c r="A53" s="8">
        <v>45953</v>
      </c>
      <c r="B53" s="9" t="s">
        <v>3</v>
      </c>
      <c r="C53" s="10">
        <v>3760</v>
      </c>
      <c r="D53" s="10">
        <f t="shared" si="0"/>
        <v>6770</v>
      </c>
    </row>
    <row r="54" spans="1:4" x14ac:dyDescent="0.25">
      <c r="A54" s="8">
        <v>45957</v>
      </c>
      <c r="B54" s="9" t="s">
        <v>3</v>
      </c>
      <c r="C54" s="10">
        <v>2560</v>
      </c>
      <c r="D54" s="10">
        <f t="shared" si="0"/>
        <v>9330</v>
      </c>
    </row>
    <row r="55" spans="1:4" x14ac:dyDescent="0.25">
      <c r="A55" s="8">
        <v>45957</v>
      </c>
      <c r="B55" s="9" t="s">
        <v>178</v>
      </c>
      <c r="C55" s="10">
        <v>-7010</v>
      </c>
      <c r="D55" s="10">
        <f t="shared" si="0"/>
        <v>2320</v>
      </c>
    </row>
    <row r="56" spans="1:4" x14ac:dyDescent="0.25">
      <c r="A56" s="8">
        <v>45964</v>
      </c>
      <c r="B56" s="9" t="s">
        <v>3</v>
      </c>
      <c r="C56" s="10">
        <v>2240</v>
      </c>
      <c r="D56" s="10">
        <f t="shared" si="0"/>
        <v>4560</v>
      </c>
    </row>
    <row r="57" spans="1:4" x14ac:dyDescent="0.25">
      <c r="A57" s="8">
        <v>45964</v>
      </c>
      <c r="B57" s="9" t="s">
        <v>178</v>
      </c>
      <c r="C57" s="10">
        <v>-250</v>
      </c>
      <c r="D57" s="10">
        <f t="shared" si="0"/>
        <v>4310</v>
      </c>
    </row>
    <row r="58" spans="1:4" x14ac:dyDescent="0.25">
      <c r="A58" s="8">
        <v>45967</v>
      </c>
      <c r="B58" s="9" t="s">
        <v>3</v>
      </c>
      <c r="C58" s="10">
        <v>750</v>
      </c>
      <c r="D58" s="10">
        <f t="shared" si="0"/>
        <v>5060</v>
      </c>
    </row>
    <row r="59" spans="1:4" x14ac:dyDescent="0.25">
      <c r="A59" s="8">
        <v>45971</v>
      </c>
      <c r="B59" s="9" t="s">
        <v>3</v>
      </c>
      <c r="C59" s="10">
        <v>1780</v>
      </c>
      <c r="D59" s="10">
        <f t="shared" si="0"/>
        <v>6840</v>
      </c>
    </row>
    <row r="60" spans="1:4" x14ac:dyDescent="0.25">
      <c r="A60" s="8">
        <v>45974</v>
      </c>
      <c r="B60" s="9" t="s">
        <v>3</v>
      </c>
      <c r="C60" s="10">
        <v>720</v>
      </c>
      <c r="D60" s="10">
        <f t="shared" si="0"/>
        <v>7560</v>
      </c>
    </row>
    <row r="61" spans="1:4" x14ac:dyDescent="0.25">
      <c r="A61" s="8">
        <v>46341</v>
      </c>
      <c r="B61" s="9" t="s">
        <v>3</v>
      </c>
      <c r="C61" s="10">
        <v>1320</v>
      </c>
      <c r="D61" s="10">
        <f t="shared" si="0"/>
        <v>8880</v>
      </c>
    </row>
    <row r="62" spans="1:4" x14ac:dyDescent="0.25">
      <c r="A62" s="8">
        <v>45978</v>
      </c>
      <c r="B62" s="9" t="s">
        <v>3</v>
      </c>
      <c r="C62" s="10">
        <v>3860</v>
      </c>
      <c r="D62" s="10">
        <f t="shared" si="0"/>
        <v>12740</v>
      </c>
    </row>
    <row r="63" spans="1:4" x14ac:dyDescent="0.25">
      <c r="A63" s="8">
        <v>45978</v>
      </c>
      <c r="B63" s="9" t="s">
        <v>92</v>
      </c>
      <c r="C63" s="10">
        <v>-4500</v>
      </c>
      <c r="D63" s="10">
        <f t="shared" si="0"/>
        <v>8240</v>
      </c>
    </row>
    <row r="64" spans="1:4" x14ac:dyDescent="0.25">
      <c r="A64" s="8">
        <v>45981</v>
      </c>
      <c r="B64" s="9" t="s">
        <v>3</v>
      </c>
      <c r="C64" s="10">
        <v>4500</v>
      </c>
      <c r="D64" s="10">
        <f t="shared" si="0"/>
        <v>12740</v>
      </c>
    </row>
    <row r="65" spans="1:4" x14ac:dyDescent="0.25">
      <c r="A65" s="8">
        <v>45986</v>
      </c>
      <c r="B65" s="9" t="s">
        <v>3</v>
      </c>
      <c r="C65" s="10">
        <v>5470</v>
      </c>
      <c r="D65" s="10">
        <f t="shared" si="0"/>
        <v>18210</v>
      </c>
    </row>
    <row r="66" spans="1:4" x14ac:dyDescent="0.25">
      <c r="A66" s="8">
        <v>45986</v>
      </c>
      <c r="B66" s="9" t="s">
        <v>92</v>
      </c>
      <c r="C66" s="10">
        <v>-7000</v>
      </c>
      <c r="D66" s="10">
        <f t="shared" si="0"/>
        <v>11210</v>
      </c>
    </row>
    <row r="67" spans="1:4" x14ac:dyDescent="0.25">
      <c r="A67" s="8">
        <v>45988</v>
      </c>
      <c r="B67" s="9" t="s">
        <v>92</v>
      </c>
      <c r="C67" s="10">
        <v>-1040</v>
      </c>
      <c r="D67" s="10">
        <f t="shared" si="0"/>
        <v>10170</v>
      </c>
    </row>
    <row r="68" spans="1:4" x14ac:dyDescent="0.25">
      <c r="A68" s="8">
        <v>45992</v>
      </c>
      <c r="B68" s="9" t="s">
        <v>92</v>
      </c>
      <c r="C68" s="10">
        <v>-9000</v>
      </c>
      <c r="D68" s="10">
        <f t="shared" si="0"/>
        <v>1170</v>
      </c>
    </row>
    <row r="69" spans="1:4" x14ac:dyDescent="0.25">
      <c r="A69" s="8">
        <v>45995</v>
      </c>
      <c r="B69" s="9" t="s">
        <v>3</v>
      </c>
      <c r="C69" s="10">
        <v>3990</v>
      </c>
      <c r="D69" s="10">
        <f t="shared" si="0"/>
        <v>5160</v>
      </c>
    </row>
    <row r="70" spans="1:4" x14ac:dyDescent="0.25">
      <c r="A70" s="8">
        <v>45999</v>
      </c>
      <c r="B70" s="9" t="s">
        <v>92</v>
      </c>
      <c r="C70" s="10">
        <v>-3080</v>
      </c>
      <c r="D70" s="10">
        <f t="shared" si="0"/>
        <v>2080</v>
      </c>
    </row>
    <row r="71" spans="1:4" x14ac:dyDescent="0.25">
      <c r="A71" s="8">
        <v>46002</v>
      </c>
      <c r="B71" s="9" t="s">
        <v>256</v>
      </c>
      <c r="C71" s="10">
        <v>8090</v>
      </c>
      <c r="D71" s="10">
        <f t="shared" si="0"/>
        <v>10170</v>
      </c>
    </row>
    <row r="72" spans="1:4" x14ac:dyDescent="0.25">
      <c r="A72" s="8">
        <v>46002</v>
      </c>
      <c r="B72" s="9" t="s">
        <v>7</v>
      </c>
      <c r="C72" s="10">
        <v>-2900</v>
      </c>
      <c r="D72" s="10">
        <f t="shared" si="0"/>
        <v>7270</v>
      </c>
    </row>
    <row r="73" spans="1:4" x14ac:dyDescent="0.25">
      <c r="A73" s="8">
        <v>46006</v>
      </c>
      <c r="B73" s="9" t="s">
        <v>3</v>
      </c>
      <c r="C73" s="10">
        <v>1150</v>
      </c>
      <c r="D73" s="10">
        <f t="shared" si="0"/>
        <v>8420</v>
      </c>
    </row>
    <row r="74" spans="1:4" x14ac:dyDescent="0.25">
      <c r="A74" s="8">
        <v>46009</v>
      </c>
      <c r="B74" s="9" t="s">
        <v>3</v>
      </c>
      <c r="C74" s="10">
        <v>2690</v>
      </c>
      <c r="D74" s="10">
        <f t="shared" si="0"/>
        <v>11110</v>
      </c>
    </row>
    <row r="75" spans="1:4" x14ac:dyDescent="0.25">
      <c r="A75" s="8">
        <v>46010</v>
      </c>
      <c r="B75" s="9"/>
      <c r="C75" s="10">
        <v>2690</v>
      </c>
      <c r="D75" s="10">
        <f t="shared" ref="D75:D80" si="1">D74+C75</f>
        <v>13800</v>
      </c>
    </row>
    <row r="76" spans="1:4" x14ac:dyDescent="0.25">
      <c r="A76" s="8">
        <v>46011</v>
      </c>
      <c r="B76" s="9" t="s">
        <v>178</v>
      </c>
      <c r="C76" s="10">
        <v>2190</v>
      </c>
      <c r="D76" s="10">
        <f t="shared" si="1"/>
        <v>15990</v>
      </c>
    </row>
    <row r="77" spans="1:4" x14ac:dyDescent="0.25">
      <c r="A77" s="8">
        <v>46013</v>
      </c>
      <c r="B77" s="9" t="s">
        <v>3</v>
      </c>
      <c r="C77" s="10">
        <v>2690</v>
      </c>
      <c r="D77" s="10">
        <f t="shared" si="1"/>
        <v>18680</v>
      </c>
    </row>
    <row r="78" spans="1:4" x14ac:dyDescent="0.25">
      <c r="A78" s="8">
        <v>46385</v>
      </c>
      <c r="B78" s="9" t="s">
        <v>3</v>
      </c>
      <c r="C78" s="10">
        <v>3340</v>
      </c>
      <c r="D78" s="10">
        <f t="shared" si="1"/>
        <v>22020</v>
      </c>
    </row>
    <row r="79" spans="1:4" x14ac:dyDescent="0.25">
      <c r="A79" s="8">
        <v>46020</v>
      </c>
      <c r="B79" s="9" t="s">
        <v>178</v>
      </c>
      <c r="C79" s="10">
        <v>-18040</v>
      </c>
      <c r="D79" s="10">
        <f t="shared" si="1"/>
        <v>3980</v>
      </c>
    </row>
    <row r="80" spans="1:4" x14ac:dyDescent="0.25">
      <c r="A80" s="8">
        <v>46027</v>
      </c>
      <c r="B80" s="9" t="s">
        <v>3</v>
      </c>
      <c r="C80" s="10">
        <v>3710</v>
      </c>
      <c r="D80" s="10">
        <f t="shared" si="1"/>
        <v>7690</v>
      </c>
    </row>
    <row r="81" spans="1:4" x14ac:dyDescent="0.25">
      <c r="A81" s="8">
        <v>46027</v>
      </c>
      <c r="B81" s="9" t="s">
        <v>178</v>
      </c>
      <c r="C81" s="10">
        <v>-3340</v>
      </c>
      <c r="D81" s="10">
        <f t="shared" ref="D81:D144" si="2">D80+C81</f>
        <v>4350</v>
      </c>
    </row>
    <row r="82" spans="1:4" x14ac:dyDescent="0.25">
      <c r="A82" s="8">
        <v>46030</v>
      </c>
      <c r="B82" s="9" t="s">
        <v>3</v>
      </c>
      <c r="C82" s="10">
        <v>1250</v>
      </c>
      <c r="D82" s="10">
        <f t="shared" si="2"/>
        <v>5600</v>
      </c>
    </row>
    <row r="83" spans="1:4" x14ac:dyDescent="0.25">
      <c r="A83" s="8">
        <v>46034</v>
      </c>
      <c r="B83" s="9" t="s">
        <v>3</v>
      </c>
      <c r="C83" s="10">
        <v>6200</v>
      </c>
      <c r="D83" s="10">
        <f t="shared" si="2"/>
        <v>11800</v>
      </c>
    </row>
    <row r="84" spans="1:4" x14ac:dyDescent="0.25">
      <c r="A84" s="8">
        <v>46034</v>
      </c>
      <c r="B84" s="9" t="s">
        <v>178</v>
      </c>
      <c r="C84" s="10">
        <v>-5500</v>
      </c>
      <c r="D84" s="10">
        <f t="shared" si="2"/>
        <v>6300</v>
      </c>
    </row>
    <row r="85" spans="1:4" x14ac:dyDescent="0.25">
      <c r="A85" s="8">
        <v>46037</v>
      </c>
      <c r="B85" s="9" t="s">
        <v>3</v>
      </c>
      <c r="C85" s="10">
        <v>3310</v>
      </c>
      <c r="D85" s="10">
        <f t="shared" si="2"/>
        <v>9610</v>
      </c>
    </row>
    <row r="86" spans="1:4" x14ac:dyDescent="0.25">
      <c r="A86" s="8">
        <v>46037</v>
      </c>
      <c r="B86" s="9" t="s">
        <v>178</v>
      </c>
      <c r="C86" s="10">
        <v>-6300</v>
      </c>
      <c r="D86" s="10">
        <f t="shared" si="2"/>
        <v>3310</v>
      </c>
    </row>
    <row r="87" spans="1:4" x14ac:dyDescent="0.25">
      <c r="A87" s="8">
        <v>46041</v>
      </c>
      <c r="B87" s="9" t="s">
        <v>3</v>
      </c>
      <c r="C87" s="10">
        <v>2380</v>
      </c>
      <c r="D87" s="10">
        <f t="shared" si="2"/>
        <v>5690</v>
      </c>
    </row>
    <row r="88" spans="1:4" x14ac:dyDescent="0.25">
      <c r="A88" s="8">
        <v>46041</v>
      </c>
      <c r="B88" s="9" t="s">
        <v>178</v>
      </c>
      <c r="C88" s="10">
        <v>-3310</v>
      </c>
      <c r="D88" s="10">
        <f t="shared" si="2"/>
        <v>2380</v>
      </c>
    </row>
    <row r="89" spans="1:4" x14ac:dyDescent="0.25">
      <c r="A89" s="8">
        <v>46044</v>
      </c>
      <c r="B89" s="9" t="s">
        <v>3</v>
      </c>
      <c r="C89" s="10">
        <v>630</v>
      </c>
      <c r="D89" s="10">
        <f t="shared" si="2"/>
        <v>3010</v>
      </c>
    </row>
    <row r="90" spans="1:4" x14ac:dyDescent="0.25">
      <c r="A90" s="8">
        <v>46048</v>
      </c>
      <c r="B90" s="9" t="s">
        <v>149</v>
      </c>
      <c r="C90" s="10">
        <v>3250</v>
      </c>
      <c r="D90" s="10">
        <f t="shared" si="2"/>
        <v>6260</v>
      </c>
    </row>
    <row r="91" spans="1:4" x14ac:dyDescent="0.25">
      <c r="A91" s="8">
        <v>46048</v>
      </c>
      <c r="B91" s="9" t="s">
        <v>178</v>
      </c>
      <c r="C91" s="10">
        <v>-3030</v>
      </c>
      <c r="D91" s="10">
        <f t="shared" si="2"/>
        <v>3230</v>
      </c>
    </row>
    <row r="92" spans="1:4" x14ac:dyDescent="0.25">
      <c r="A92" s="8">
        <v>46049</v>
      </c>
      <c r="B92" s="9" t="s">
        <v>344</v>
      </c>
      <c r="C92" s="10">
        <v>13090050</v>
      </c>
      <c r="D92" s="10">
        <f t="shared" si="2"/>
        <v>13093280</v>
      </c>
    </row>
    <row r="93" spans="1:4" x14ac:dyDescent="0.25">
      <c r="A93" s="8">
        <v>46051</v>
      </c>
      <c r="B93" s="9" t="s">
        <v>3</v>
      </c>
      <c r="C93" s="10">
        <v>5950</v>
      </c>
      <c r="D93" s="10">
        <f t="shared" si="2"/>
        <v>13099230</v>
      </c>
    </row>
    <row r="94" spans="1:4" x14ac:dyDescent="0.25">
      <c r="A94" s="8">
        <v>46055</v>
      </c>
      <c r="B94" s="9" t="s">
        <v>3</v>
      </c>
      <c r="C94" s="10">
        <v>4720</v>
      </c>
      <c r="D94" s="10">
        <f t="shared" si="2"/>
        <v>13103950</v>
      </c>
    </row>
    <row r="95" spans="1:4" x14ac:dyDescent="0.25">
      <c r="A95" s="8">
        <v>46055</v>
      </c>
      <c r="B95" s="9" t="s">
        <v>178</v>
      </c>
      <c r="C95" s="10">
        <v>-5950</v>
      </c>
      <c r="D95" s="10">
        <f t="shared" si="2"/>
        <v>13098000</v>
      </c>
    </row>
    <row r="96" spans="1:4" x14ac:dyDescent="0.25">
      <c r="A96" s="8">
        <v>46062</v>
      </c>
      <c r="B96" s="9" t="s">
        <v>178</v>
      </c>
      <c r="C96" s="10">
        <v>-7000</v>
      </c>
      <c r="D96" s="10">
        <f t="shared" si="2"/>
        <v>13091000</v>
      </c>
    </row>
    <row r="97" spans="1:4" x14ac:dyDescent="0.25">
      <c r="A97" s="8">
        <v>46066</v>
      </c>
      <c r="B97" s="9" t="s">
        <v>3</v>
      </c>
      <c r="C97" s="10">
        <v>58225</v>
      </c>
      <c r="D97" s="10">
        <f t="shared" si="2"/>
        <v>13149225</v>
      </c>
    </row>
    <row r="98" spans="1:4" x14ac:dyDescent="0.25">
      <c r="A98" s="8">
        <v>46069</v>
      </c>
      <c r="B98" s="9" t="s">
        <v>3</v>
      </c>
      <c r="C98" s="10">
        <v>2620</v>
      </c>
      <c r="D98" s="10">
        <f t="shared" si="2"/>
        <v>13151845</v>
      </c>
    </row>
    <row r="99" spans="1:4" x14ac:dyDescent="0.25">
      <c r="A99" s="8">
        <v>46072</v>
      </c>
      <c r="B99" s="9" t="s">
        <v>178</v>
      </c>
      <c r="C99" s="10">
        <v>-61795</v>
      </c>
      <c r="D99" s="10">
        <f t="shared" si="2"/>
        <v>13090050</v>
      </c>
    </row>
    <row r="100" spans="1:4" x14ac:dyDescent="0.25">
      <c r="A100" s="8">
        <v>46072</v>
      </c>
      <c r="B100" s="9" t="s">
        <v>3</v>
      </c>
      <c r="C100" s="10">
        <v>5380</v>
      </c>
      <c r="D100" s="10">
        <f t="shared" si="2"/>
        <v>13095430</v>
      </c>
    </row>
    <row r="101" spans="1:4" x14ac:dyDescent="0.25">
      <c r="A101" s="8">
        <v>46079</v>
      </c>
      <c r="B101" s="9" t="s">
        <v>3</v>
      </c>
      <c r="C101" s="10">
        <v>1740</v>
      </c>
      <c r="D101" s="10">
        <f t="shared" si="2"/>
        <v>13097170</v>
      </c>
    </row>
    <row r="102" spans="1:4" x14ac:dyDescent="0.25">
      <c r="A102" s="8">
        <v>46079</v>
      </c>
      <c r="B102" s="9" t="s">
        <v>178</v>
      </c>
      <c r="C102" s="10">
        <v>-5380</v>
      </c>
      <c r="D102" s="10">
        <f t="shared" si="2"/>
        <v>13091790</v>
      </c>
    </row>
    <row r="103" spans="1:4" x14ac:dyDescent="0.25">
      <c r="A103" s="8">
        <v>46083</v>
      </c>
      <c r="B103" s="9" t="s">
        <v>3</v>
      </c>
      <c r="C103" s="10">
        <v>1610</v>
      </c>
      <c r="D103" s="10">
        <f t="shared" si="2"/>
        <v>13093400</v>
      </c>
    </row>
    <row r="104" spans="1:4" x14ac:dyDescent="0.25">
      <c r="A104" s="8">
        <v>46083</v>
      </c>
      <c r="B104" s="9" t="s">
        <v>345</v>
      </c>
      <c r="C104" s="10">
        <v>-13090050</v>
      </c>
      <c r="D104" s="10">
        <f t="shared" si="2"/>
        <v>3350</v>
      </c>
    </row>
    <row r="105" spans="1:4" x14ac:dyDescent="0.25">
      <c r="A105" s="8">
        <v>46086</v>
      </c>
      <c r="B105" s="9" t="s">
        <v>3</v>
      </c>
      <c r="C105" s="10">
        <v>1640</v>
      </c>
      <c r="D105" s="10">
        <f t="shared" si="2"/>
        <v>4990</v>
      </c>
    </row>
    <row r="106" spans="1:4" x14ac:dyDescent="0.25">
      <c r="A106" s="8">
        <v>46086</v>
      </c>
      <c r="B106" s="9" t="s">
        <v>178</v>
      </c>
      <c r="C106" s="10">
        <v>-3350</v>
      </c>
      <c r="D106" s="10">
        <f t="shared" si="2"/>
        <v>1640</v>
      </c>
    </row>
    <row r="107" spans="1:4" x14ac:dyDescent="0.25">
      <c r="A107" s="8">
        <v>46090</v>
      </c>
      <c r="B107" s="9" t="s">
        <v>3</v>
      </c>
      <c r="C107" s="10">
        <v>1270</v>
      </c>
      <c r="D107" s="10">
        <f t="shared" si="2"/>
        <v>2910</v>
      </c>
    </row>
    <row r="108" spans="1:4" x14ac:dyDescent="0.25">
      <c r="A108" s="8">
        <v>46093</v>
      </c>
      <c r="B108" s="9" t="s">
        <v>3</v>
      </c>
      <c r="C108" s="10">
        <v>4140</v>
      </c>
      <c r="D108" s="10">
        <f t="shared" si="2"/>
        <v>7050</v>
      </c>
    </row>
    <row r="109" spans="1:4" x14ac:dyDescent="0.25">
      <c r="A109" s="8">
        <v>46093</v>
      </c>
      <c r="B109" s="9" t="s">
        <v>356</v>
      </c>
      <c r="C109" s="10">
        <v>-2910</v>
      </c>
      <c r="D109" s="10">
        <f t="shared" si="2"/>
        <v>4140</v>
      </c>
    </row>
    <row r="110" spans="1:4" x14ac:dyDescent="0.25">
      <c r="A110" s="8">
        <v>46099</v>
      </c>
      <c r="B110" s="9" t="s">
        <v>129</v>
      </c>
      <c r="C110" s="10">
        <v>4120</v>
      </c>
      <c r="D110" s="10">
        <f t="shared" si="2"/>
        <v>8260</v>
      </c>
    </row>
    <row r="111" spans="1:4" x14ac:dyDescent="0.25">
      <c r="A111" s="8">
        <v>46100</v>
      </c>
      <c r="B111" s="9" t="s">
        <v>3</v>
      </c>
      <c r="C111" s="10">
        <v>2290</v>
      </c>
      <c r="D111" s="10">
        <f t="shared" si="2"/>
        <v>10550</v>
      </c>
    </row>
    <row r="112" spans="1:4" x14ac:dyDescent="0.25">
      <c r="A112" s="8">
        <v>46104</v>
      </c>
      <c r="B112" s="9" t="s">
        <v>3</v>
      </c>
      <c r="C112" s="10">
        <v>2660</v>
      </c>
      <c r="D112" s="10">
        <f t="shared" si="2"/>
        <v>13210</v>
      </c>
    </row>
    <row r="113" spans="1:4" x14ac:dyDescent="0.25">
      <c r="A113" s="8">
        <v>46104</v>
      </c>
      <c r="B113" s="9" t="s">
        <v>178</v>
      </c>
      <c r="C113" s="10">
        <v>-10000</v>
      </c>
      <c r="D113" s="10">
        <f t="shared" si="2"/>
        <v>3210</v>
      </c>
    </row>
    <row r="114" spans="1:4" x14ac:dyDescent="0.25">
      <c r="A114" s="8">
        <v>46229</v>
      </c>
      <c r="B114" s="9" t="s">
        <v>178</v>
      </c>
      <c r="C114" s="10">
        <v>-3210</v>
      </c>
      <c r="D114" s="10">
        <f t="shared" si="2"/>
        <v>0</v>
      </c>
    </row>
    <row r="115" spans="1:4" x14ac:dyDescent="0.25">
      <c r="A115" s="8">
        <v>46138</v>
      </c>
      <c r="B115" s="9" t="s">
        <v>3</v>
      </c>
      <c r="C115" s="10">
        <v>2870</v>
      </c>
      <c r="D115" s="10">
        <f t="shared" si="2"/>
        <v>2870</v>
      </c>
    </row>
    <row r="116" spans="1:4" x14ac:dyDescent="0.25">
      <c r="A116" s="8">
        <v>46111</v>
      </c>
      <c r="B116" s="9" t="s">
        <v>3</v>
      </c>
      <c r="C116" s="10">
        <v>3440</v>
      </c>
      <c r="D116" s="10">
        <f t="shared" si="2"/>
        <v>6310</v>
      </c>
    </row>
    <row r="117" spans="1:4" x14ac:dyDescent="0.25">
      <c r="A117" s="8">
        <v>46118</v>
      </c>
      <c r="B117" s="9" t="s">
        <v>3</v>
      </c>
      <c r="C117" s="10">
        <v>4400</v>
      </c>
      <c r="D117" s="10">
        <f t="shared" si="2"/>
        <v>10710</v>
      </c>
    </row>
    <row r="118" spans="1:4" x14ac:dyDescent="0.25">
      <c r="A118" s="8">
        <v>46118</v>
      </c>
      <c r="B118" s="9" t="s">
        <v>196</v>
      </c>
      <c r="C118" s="10">
        <v>-3440</v>
      </c>
      <c r="D118" s="10">
        <f t="shared" si="2"/>
        <v>7270</v>
      </c>
    </row>
    <row r="119" spans="1:4" x14ac:dyDescent="0.25">
      <c r="A119" s="8">
        <v>46121</v>
      </c>
      <c r="B119" s="9" t="s">
        <v>3</v>
      </c>
      <c r="C119" s="10">
        <v>5080</v>
      </c>
      <c r="D119" s="10">
        <f t="shared" si="2"/>
        <v>12350</v>
      </c>
    </row>
    <row r="120" spans="1:4" x14ac:dyDescent="0.25">
      <c r="A120" s="8">
        <v>46121</v>
      </c>
      <c r="B120" s="9" t="s">
        <v>178</v>
      </c>
      <c r="C120" s="10">
        <v>-6900</v>
      </c>
      <c r="D120" s="10">
        <f t="shared" si="2"/>
        <v>5450</v>
      </c>
    </row>
    <row r="121" spans="1:4" x14ac:dyDescent="0.25">
      <c r="A121" s="8">
        <v>46125</v>
      </c>
      <c r="B121" s="9" t="s">
        <v>3</v>
      </c>
      <c r="C121" s="10">
        <v>4050</v>
      </c>
      <c r="D121" s="10">
        <f t="shared" si="2"/>
        <v>9500</v>
      </c>
    </row>
    <row r="122" spans="1:4" x14ac:dyDescent="0.25">
      <c r="A122" s="8">
        <v>46125</v>
      </c>
      <c r="B122" s="9" t="s">
        <v>178</v>
      </c>
      <c r="C122" s="10">
        <v>-5450</v>
      </c>
      <c r="D122" s="10">
        <f t="shared" si="2"/>
        <v>4050</v>
      </c>
    </row>
    <row r="123" spans="1:4" x14ac:dyDescent="0.25">
      <c r="A123" s="8">
        <v>46125</v>
      </c>
      <c r="B123" s="9" t="s">
        <v>395</v>
      </c>
      <c r="C123" s="10">
        <v>-800</v>
      </c>
      <c r="D123" s="10">
        <f t="shared" si="2"/>
        <v>3250</v>
      </c>
    </row>
    <row r="124" spans="1:4" x14ac:dyDescent="0.25">
      <c r="A124" s="8">
        <v>46132</v>
      </c>
      <c r="B124" s="9" t="s">
        <v>3</v>
      </c>
      <c r="C124" s="10">
        <v>3520</v>
      </c>
      <c r="D124" s="10">
        <f t="shared" si="2"/>
        <v>6770</v>
      </c>
    </row>
    <row r="125" spans="1:4" x14ac:dyDescent="0.25">
      <c r="A125" s="8">
        <v>46132</v>
      </c>
      <c r="B125" s="9" t="s">
        <v>178</v>
      </c>
      <c r="C125" s="10">
        <v>-3250</v>
      </c>
      <c r="D125" s="10">
        <f t="shared" si="2"/>
        <v>3520</v>
      </c>
    </row>
    <row r="126" spans="1:4" x14ac:dyDescent="0.25">
      <c r="A126" s="8">
        <v>46135</v>
      </c>
      <c r="B126" s="9" t="s">
        <v>3</v>
      </c>
      <c r="C126" s="10">
        <v>3340</v>
      </c>
      <c r="D126" s="10">
        <f t="shared" si="2"/>
        <v>6860</v>
      </c>
    </row>
    <row r="127" spans="1:4" x14ac:dyDescent="0.25">
      <c r="A127" s="8">
        <v>46139</v>
      </c>
      <c r="B127" s="9" t="s">
        <v>3</v>
      </c>
      <c r="C127" s="10">
        <v>3440</v>
      </c>
      <c r="D127" s="10">
        <f t="shared" si="2"/>
        <v>10300</v>
      </c>
    </row>
    <row r="128" spans="1:4" x14ac:dyDescent="0.25">
      <c r="A128" s="8">
        <v>46139</v>
      </c>
      <c r="B128" s="9" t="s">
        <v>178</v>
      </c>
      <c r="C128" s="10">
        <v>-5000</v>
      </c>
      <c r="D128" s="10">
        <f t="shared" si="2"/>
        <v>5300</v>
      </c>
    </row>
    <row r="129" spans="1:4" x14ac:dyDescent="0.25">
      <c r="A129" s="8">
        <v>46140</v>
      </c>
      <c r="B129" s="9" t="s">
        <v>412</v>
      </c>
      <c r="C129" s="10">
        <v>3190</v>
      </c>
      <c r="D129" s="10">
        <f t="shared" si="2"/>
        <v>8490</v>
      </c>
    </row>
    <row r="130" spans="1:4" x14ac:dyDescent="0.25">
      <c r="A130" s="8">
        <v>46146</v>
      </c>
      <c r="B130" s="9" t="s">
        <v>178</v>
      </c>
      <c r="C130" s="10">
        <v>-3190</v>
      </c>
      <c r="D130" s="10">
        <f t="shared" si="2"/>
        <v>5300</v>
      </c>
    </row>
    <row r="131" spans="1:4" x14ac:dyDescent="0.25">
      <c r="A131" s="8">
        <v>46149</v>
      </c>
      <c r="B131" s="9" t="s">
        <v>416</v>
      </c>
      <c r="C131" s="10">
        <v>46640</v>
      </c>
      <c r="D131" s="10">
        <f t="shared" si="2"/>
        <v>51940</v>
      </c>
    </row>
    <row r="132" spans="1:4" x14ac:dyDescent="0.25">
      <c r="A132" s="8">
        <v>46156</v>
      </c>
      <c r="B132" s="9" t="s">
        <v>3</v>
      </c>
      <c r="C132" s="10">
        <v>2070</v>
      </c>
      <c r="D132" s="10">
        <f t="shared" si="2"/>
        <v>54010</v>
      </c>
    </row>
    <row r="133" spans="1:4" x14ac:dyDescent="0.25">
      <c r="A133" s="8">
        <v>46156</v>
      </c>
      <c r="B133" s="9" t="s">
        <v>178</v>
      </c>
      <c r="C133" s="10">
        <v>-40150</v>
      </c>
      <c r="D133" s="10">
        <f t="shared" si="2"/>
        <v>13860</v>
      </c>
    </row>
    <row r="134" spans="1:4" x14ac:dyDescent="0.25">
      <c r="A134" s="8">
        <v>46160</v>
      </c>
      <c r="B134" s="9" t="s">
        <v>3</v>
      </c>
      <c r="C134" s="10">
        <v>2900</v>
      </c>
      <c r="D134" s="10">
        <f t="shared" si="2"/>
        <v>16760</v>
      </c>
    </row>
    <row r="135" spans="1:4" x14ac:dyDescent="0.25">
      <c r="A135" s="8">
        <v>46160</v>
      </c>
      <c r="B135" s="9" t="s">
        <v>196</v>
      </c>
      <c r="C135" s="10">
        <v>-13860</v>
      </c>
      <c r="D135" s="10">
        <f t="shared" si="2"/>
        <v>2900</v>
      </c>
    </row>
    <row r="136" spans="1:4" x14ac:dyDescent="0.25">
      <c r="A136" s="8">
        <v>46163</v>
      </c>
      <c r="B136" s="9" t="s">
        <v>3</v>
      </c>
      <c r="C136" s="10">
        <v>1690</v>
      </c>
      <c r="D136" s="10">
        <f>D135+C136</f>
        <v>4590</v>
      </c>
    </row>
    <row r="137" spans="1:4" x14ac:dyDescent="0.25">
      <c r="A137" s="8">
        <v>46163</v>
      </c>
      <c r="B137" s="9" t="s">
        <v>178</v>
      </c>
      <c r="C137" s="10">
        <v>-2900</v>
      </c>
      <c r="D137" s="10">
        <f t="shared" si="2"/>
        <v>1690</v>
      </c>
    </row>
    <row r="138" spans="1:4" x14ac:dyDescent="0.25">
      <c r="A138" s="8">
        <v>46167</v>
      </c>
      <c r="B138" s="9" t="s">
        <v>3</v>
      </c>
      <c r="C138" s="10">
        <v>4160</v>
      </c>
      <c r="D138" s="10">
        <f t="shared" si="2"/>
        <v>5850</v>
      </c>
    </row>
    <row r="139" spans="1:4" x14ac:dyDescent="0.25">
      <c r="A139" s="8">
        <v>46170</v>
      </c>
      <c r="B139" s="9" t="s">
        <v>3</v>
      </c>
      <c r="C139" s="10">
        <v>4310</v>
      </c>
      <c r="D139" s="10">
        <f t="shared" si="2"/>
        <v>10160</v>
      </c>
    </row>
    <row r="140" spans="1:4" x14ac:dyDescent="0.25">
      <c r="A140" s="8">
        <v>46170</v>
      </c>
      <c r="B140" s="9" t="s">
        <v>178</v>
      </c>
      <c r="C140" s="10">
        <v>-4310</v>
      </c>
      <c r="D140" s="10">
        <f t="shared" si="2"/>
        <v>5850</v>
      </c>
    </row>
    <row r="141" spans="1:4" x14ac:dyDescent="0.25">
      <c r="A141" s="8">
        <v>46174</v>
      </c>
      <c r="B141" s="9" t="s">
        <v>178</v>
      </c>
      <c r="C141" s="10">
        <v>-2000</v>
      </c>
      <c r="D141" s="10">
        <f t="shared" si="2"/>
        <v>3850</v>
      </c>
    </row>
    <row r="142" spans="1:4" x14ac:dyDescent="0.25">
      <c r="A142" s="8">
        <v>46175</v>
      </c>
      <c r="B142" s="9" t="s">
        <v>129</v>
      </c>
      <c r="C142" s="10">
        <v>2270</v>
      </c>
      <c r="D142" s="10">
        <f t="shared" si="2"/>
        <v>6120</v>
      </c>
    </row>
    <row r="143" spans="1:4" x14ac:dyDescent="0.25">
      <c r="A143" s="8">
        <v>46177</v>
      </c>
      <c r="B143" s="9" t="s">
        <v>178</v>
      </c>
      <c r="C143" s="10">
        <v>-5120</v>
      </c>
      <c r="D143" s="10">
        <f t="shared" si="2"/>
        <v>1000</v>
      </c>
    </row>
    <row r="144" spans="1:4" x14ac:dyDescent="0.25">
      <c r="A144" s="8">
        <v>46181</v>
      </c>
      <c r="B144" s="9" t="s">
        <v>3</v>
      </c>
      <c r="C144" s="10">
        <v>4040</v>
      </c>
      <c r="D144" s="10">
        <f t="shared" si="2"/>
        <v>5040</v>
      </c>
    </row>
    <row r="145" spans="1:4" x14ac:dyDescent="0.25">
      <c r="A145" s="8">
        <v>46184</v>
      </c>
      <c r="B145" s="9" t="s">
        <v>3</v>
      </c>
      <c r="C145" s="10">
        <v>1300</v>
      </c>
      <c r="D145" s="10">
        <f t="shared" ref="D145:D216" si="3">D144+C145</f>
        <v>6340</v>
      </c>
    </row>
    <row r="146" spans="1:4" x14ac:dyDescent="0.25">
      <c r="A146" s="8">
        <v>46184</v>
      </c>
      <c r="B146" s="9" t="s">
        <v>178</v>
      </c>
      <c r="C146" s="10">
        <v>-5040</v>
      </c>
      <c r="D146" s="10">
        <f t="shared" si="3"/>
        <v>1300</v>
      </c>
    </row>
    <row r="147" spans="1:4" x14ac:dyDescent="0.25">
      <c r="A147" s="8">
        <v>46188</v>
      </c>
      <c r="B147" s="9" t="s">
        <v>3</v>
      </c>
      <c r="C147" s="10">
        <v>3620</v>
      </c>
      <c r="D147" s="10">
        <f t="shared" si="3"/>
        <v>4920</v>
      </c>
    </row>
    <row r="148" spans="1:4" x14ac:dyDescent="0.25">
      <c r="A148" s="8">
        <v>46188</v>
      </c>
      <c r="B148" s="9" t="s">
        <v>178</v>
      </c>
      <c r="C148" s="10">
        <v>-1300</v>
      </c>
      <c r="D148" s="10">
        <f t="shared" si="3"/>
        <v>3620</v>
      </c>
    </row>
    <row r="149" spans="1:4" x14ac:dyDescent="0.25">
      <c r="A149" s="8">
        <v>46191</v>
      </c>
      <c r="B149" s="9" t="s">
        <v>3</v>
      </c>
      <c r="C149" s="10">
        <v>5420</v>
      </c>
      <c r="D149" s="10">
        <f t="shared" si="3"/>
        <v>9040</v>
      </c>
    </row>
    <row r="150" spans="1:4" x14ac:dyDescent="0.25">
      <c r="A150" s="8">
        <v>46192</v>
      </c>
      <c r="B150" s="9" t="s">
        <v>129</v>
      </c>
      <c r="C150" s="10">
        <v>8050</v>
      </c>
      <c r="D150" s="10">
        <f t="shared" si="3"/>
        <v>17090</v>
      </c>
    </row>
    <row r="151" spans="1:4" x14ac:dyDescent="0.25">
      <c r="A151" s="8">
        <v>46195</v>
      </c>
      <c r="B151" s="9" t="s">
        <v>3</v>
      </c>
      <c r="C151" s="10">
        <v>1810</v>
      </c>
      <c r="D151" s="10">
        <f t="shared" si="3"/>
        <v>18900</v>
      </c>
    </row>
    <row r="152" spans="1:4" x14ac:dyDescent="0.25">
      <c r="A152" s="8">
        <v>46195</v>
      </c>
      <c r="B152" s="9" t="s">
        <v>178</v>
      </c>
      <c r="C152" s="10">
        <v>-17090</v>
      </c>
      <c r="D152" s="10">
        <f t="shared" si="3"/>
        <v>1810</v>
      </c>
    </row>
    <row r="153" spans="1:4" x14ac:dyDescent="0.25">
      <c r="A153" s="8">
        <v>46198</v>
      </c>
      <c r="B153" s="9" t="s">
        <v>3</v>
      </c>
      <c r="C153" s="10">
        <v>3060</v>
      </c>
      <c r="D153" s="10">
        <f t="shared" si="3"/>
        <v>4870</v>
      </c>
    </row>
    <row r="154" spans="1:4" x14ac:dyDescent="0.25">
      <c r="A154" s="8">
        <v>46202</v>
      </c>
      <c r="B154" s="9" t="s">
        <v>3</v>
      </c>
      <c r="C154" s="10">
        <f>1800+350+350+200+120+300+280+100</f>
        <v>3500</v>
      </c>
      <c r="D154" s="10">
        <f t="shared" si="3"/>
        <v>8370</v>
      </c>
    </row>
    <row r="155" spans="1:4" x14ac:dyDescent="0.25">
      <c r="A155" s="8">
        <v>46202</v>
      </c>
      <c r="B155" s="9" t="s">
        <v>178</v>
      </c>
      <c r="C155" s="10">
        <v>-2340</v>
      </c>
      <c r="D155" s="10">
        <f t="shared" si="3"/>
        <v>6030</v>
      </c>
    </row>
    <row r="156" spans="1:4" x14ac:dyDescent="0.25">
      <c r="A156" s="8">
        <v>46205</v>
      </c>
      <c r="B156" s="9" t="s">
        <v>3</v>
      </c>
      <c r="C156" s="10">
        <v>8490</v>
      </c>
      <c r="D156" s="10">
        <f t="shared" si="3"/>
        <v>14520</v>
      </c>
    </row>
    <row r="157" spans="1:4" x14ac:dyDescent="0.25">
      <c r="A157" s="8">
        <v>46209</v>
      </c>
      <c r="B157" s="9" t="s">
        <v>178</v>
      </c>
      <c r="C157" s="10">
        <v>-15000</v>
      </c>
      <c r="D157" s="10">
        <f t="shared" si="3"/>
        <v>-480</v>
      </c>
    </row>
    <row r="158" spans="1:4" x14ac:dyDescent="0.25">
      <c r="A158" s="8">
        <v>46209</v>
      </c>
      <c r="B158" s="9" t="s">
        <v>3</v>
      </c>
      <c r="C158" s="10">
        <f>900+600+630+170+250+120+650+170+100</f>
        <v>3590</v>
      </c>
      <c r="D158" s="10">
        <f t="shared" si="3"/>
        <v>3110</v>
      </c>
    </row>
    <row r="159" spans="1:4" x14ac:dyDescent="0.25">
      <c r="A159" s="8">
        <v>46212</v>
      </c>
      <c r="B159" s="9" t="s">
        <v>3</v>
      </c>
      <c r="C159" s="10">
        <v>2020</v>
      </c>
      <c r="D159" s="10">
        <f t="shared" si="3"/>
        <v>5130</v>
      </c>
    </row>
    <row r="160" spans="1:4" x14ac:dyDescent="0.25">
      <c r="A160" s="8">
        <v>46219</v>
      </c>
      <c r="B160" s="9" t="s">
        <v>3</v>
      </c>
      <c r="C160" s="10">
        <v>9020</v>
      </c>
      <c r="D160" s="10">
        <f t="shared" si="3"/>
        <v>14150</v>
      </c>
    </row>
    <row r="161" spans="1:4" x14ac:dyDescent="0.25">
      <c r="A161" s="8">
        <v>46219</v>
      </c>
      <c r="B161" s="9" t="s">
        <v>178</v>
      </c>
      <c r="C161" s="10">
        <v>-5130</v>
      </c>
      <c r="D161" s="10">
        <f t="shared" si="3"/>
        <v>9020</v>
      </c>
    </row>
    <row r="162" spans="1:4" x14ac:dyDescent="0.25">
      <c r="A162" s="8">
        <v>46191</v>
      </c>
      <c r="B162" s="9" t="s">
        <v>129</v>
      </c>
      <c r="C162" s="10">
        <v>1200</v>
      </c>
      <c r="D162" s="10">
        <f t="shared" si="3"/>
        <v>10220</v>
      </c>
    </row>
    <row r="163" spans="1:4" x14ac:dyDescent="0.25">
      <c r="A163" s="8">
        <v>46223</v>
      </c>
      <c r="B163" s="9" t="s">
        <v>3</v>
      </c>
      <c r="C163" s="10">
        <v>3300</v>
      </c>
      <c r="D163" s="10">
        <f t="shared" si="3"/>
        <v>13520</v>
      </c>
    </row>
    <row r="164" spans="1:4" x14ac:dyDescent="0.25">
      <c r="A164" s="8">
        <v>46223</v>
      </c>
      <c r="B164" s="9" t="s">
        <v>178</v>
      </c>
      <c r="C164" s="10">
        <v>-10220</v>
      </c>
      <c r="D164" s="10">
        <f t="shared" si="3"/>
        <v>3300</v>
      </c>
    </row>
    <row r="165" spans="1:4" x14ac:dyDescent="0.25">
      <c r="A165" s="8">
        <v>46226</v>
      </c>
      <c r="B165" s="9" t="s">
        <v>3</v>
      </c>
      <c r="C165" s="10">
        <f>900+400+240+170+250+180+400</f>
        <v>2540</v>
      </c>
      <c r="D165" s="10">
        <f t="shared" si="3"/>
        <v>5840</v>
      </c>
    </row>
    <row r="166" spans="1:4" x14ac:dyDescent="0.25">
      <c r="A166" s="8">
        <v>46226</v>
      </c>
      <c r="B166" s="9" t="s">
        <v>178</v>
      </c>
      <c r="C166" s="10">
        <v>-3300</v>
      </c>
      <c r="D166" s="10">
        <f t="shared" si="3"/>
        <v>2540</v>
      </c>
    </row>
    <row r="167" spans="1:4" x14ac:dyDescent="0.25">
      <c r="A167" s="8">
        <v>46230</v>
      </c>
      <c r="B167" s="9" t="s">
        <v>3</v>
      </c>
      <c r="C167" s="10">
        <v>2250</v>
      </c>
      <c r="D167" s="10">
        <f t="shared" si="3"/>
        <v>4790</v>
      </c>
    </row>
    <row r="168" spans="1:4" x14ac:dyDescent="0.25">
      <c r="A168" s="8">
        <v>46230</v>
      </c>
      <c r="B168" s="9" t="s">
        <v>178</v>
      </c>
      <c r="C168" s="10">
        <v>-2540</v>
      </c>
      <c r="D168" s="10">
        <f t="shared" si="3"/>
        <v>2250</v>
      </c>
    </row>
    <row r="169" spans="1:4" x14ac:dyDescent="0.25">
      <c r="A169" s="8">
        <v>46233</v>
      </c>
      <c r="B169" s="9" t="s">
        <v>3</v>
      </c>
      <c r="C169" s="10">
        <v>1620</v>
      </c>
      <c r="D169" s="10">
        <f t="shared" si="3"/>
        <v>3870</v>
      </c>
    </row>
    <row r="170" spans="1:4" x14ac:dyDescent="0.25">
      <c r="A170" s="8">
        <v>46233</v>
      </c>
      <c r="B170" s="9" t="s">
        <v>178</v>
      </c>
      <c r="C170" s="10">
        <v>-2250</v>
      </c>
      <c r="D170" s="10">
        <f t="shared" si="3"/>
        <v>1620</v>
      </c>
    </row>
    <row r="171" spans="1:4" x14ac:dyDescent="0.25">
      <c r="A171" s="8">
        <v>46237</v>
      </c>
      <c r="B171" s="9" t="s">
        <v>3</v>
      </c>
      <c r="C171" s="10">
        <v>3487</v>
      </c>
      <c r="D171" s="10">
        <f t="shared" si="3"/>
        <v>5107</v>
      </c>
    </row>
    <row r="172" spans="1:4" x14ac:dyDescent="0.25">
      <c r="A172" s="8">
        <v>46237</v>
      </c>
      <c r="B172" s="9" t="s">
        <v>356</v>
      </c>
      <c r="C172" s="10">
        <v>-1620</v>
      </c>
      <c r="D172" s="10">
        <f t="shared" si="3"/>
        <v>3487</v>
      </c>
    </row>
    <row r="173" spans="1:4" x14ac:dyDescent="0.25">
      <c r="A173" s="8">
        <v>46240</v>
      </c>
      <c r="B173" s="9" t="s">
        <v>3</v>
      </c>
      <c r="C173" s="10">
        <v>720</v>
      </c>
      <c r="D173" s="10">
        <f t="shared" si="3"/>
        <v>4207</v>
      </c>
    </row>
    <row r="174" spans="1:4" x14ac:dyDescent="0.25">
      <c r="A174" s="8">
        <v>46240</v>
      </c>
      <c r="B174" s="9" t="s">
        <v>178</v>
      </c>
      <c r="C174" s="10">
        <v>-3487</v>
      </c>
      <c r="D174" s="10">
        <f t="shared" si="3"/>
        <v>720</v>
      </c>
    </row>
    <row r="175" spans="1:4" x14ac:dyDescent="0.25">
      <c r="A175" s="8">
        <v>46242</v>
      </c>
      <c r="B175" s="9" t="s">
        <v>545</v>
      </c>
      <c r="C175" s="10">
        <f>2420+300</f>
        <v>2720</v>
      </c>
      <c r="D175" s="10">
        <f t="shared" si="3"/>
        <v>3440</v>
      </c>
    </row>
    <row r="176" spans="1:4" x14ac:dyDescent="0.25">
      <c r="A176" s="8">
        <v>46244</v>
      </c>
      <c r="B176" s="9" t="s">
        <v>459</v>
      </c>
      <c r="C176" s="10">
        <v>4310</v>
      </c>
      <c r="D176" s="10">
        <f t="shared" si="3"/>
        <v>7750</v>
      </c>
    </row>
    <row r="177" spans="1:4" x14ac:dyDescent="0.25">
      <c r="A177" s="8">
        <v>46244</v>
      </c>
      <c r="B177" s="9" t="s">
        <v>178</v>
      </c>
      <c r="C177" s="10">
        <v>-3440</v>
      </c>
      <c r="D177" s="10">
        <f t="shared" si="3"/>
        <v>4310</v>
      </c>
    </row>
    <row r="178" spans="1:4" x14ac:dyDescent="0.25">
      <c r="A178" s="8">
        <v>46247</v>
      </c>
      <c r="B178" s="9" t="s">
        <v>3</v>
      </c>
      <c r="C178" s="10">
        <v>7760</v>
      </c>
      <c r="D178" s="10">
        <f t="shared" si="3"/>
        <v>12070</v>
      </c>
    </row>
    <row r="179" spans="1:4" x14ac:dyDescent="0.25">
      <c r="A179" s="8">
        <v>46251</v>
      </c>
      <c r="B179" s="9" t="s">
        <v>3</v>
      </c>
      <c r="C179" s="10">
        <v>3210</v>
      </c>
      <c r="D179" s="10">
        <f t="shared" si="3"/>
        <v>15280</v>
      </c>
    </row>
    <row r="180" spans="1:4" x14ac:dyDescent="0.25">
      <c r="A180" s="8">
        <v>46251</v>
      </c>
      <c r="B180" s="9" t="s">
        <v>178</v>
      </c>
      <c r="C180" s="10">
        <v>-12070</v>
      </c>
      <c r="D180" s="10">
        <f t="shared" si="3"/>
        <v>3210</v>
      </c>
    </row>
    <row r="181" spans="1:4" x14ac:dyDescent="0.25">
      <c r="A181" s="8">
        <v>46254</v>
      </c>
      <c r="B181" s="9" t="s">
        <v>3</v>
      </c>
      <c r="C181" s="10">
        <v>4850</v>
      </c>
      <c r="D181" s="10">
        <f t="shared" si="3"/>
        <v>8060</v>
      </c>
    </row>
    <row r="182" spans="1:4" x14ac:dyDescent="0.25">
      <c r="A182" s="8">
        <v>46258</v>
      </c>
      <c r="B182" s="9" t="s">
        <v>3</v>
      </c>
      <c r="C182" s="10">
        <v>2100</v>
      </c>
      <c r="D182" s="10">
        <f t="shared" si="3"/>
        <v>10160</v>
      </c>
    </row>
    <row r="183" spans="1:4" x14ac:dyDescent="0.25">
      <c r="A183" s="8">
        <v>46258</v>
      </c>
      <c r="B183" s="9" t="s">
        <v>178</v>
      </c>
      <c r="C183" s="10">
        <v>-8060</v>
      </c>
      <c r="D183" s="10">
        <f t="shared" si="3"/>
        <v>2100</v>
      </c>
    </row>
    <row r="184" spans="1:4" x14ac:dyDescent="0.25">
      <c r="A184" s="8">
        <v>46261</v>
      </c>
      <c r="B184" s="9" t="s">
        <v>3</v>
      </c>
      <c r="C184" s="10">
        <v>4020</v>
      </c>
      <c r="D184" s="10">
        <f t="shared" si="3"/>
        <v>6120</v>
      </c>
    </row>
    <row r="185" spans="1:4" x14ac:dyDescent="0.25">
      <c r="A185" s="8">
        <v>46261</v>
      </c>
      <c r="B185" s="9" t="s">
        <v>178</v>
      </c>
      <c r="C185" s="10">
        <v>-2100</v>
      </c>
      <c r="D185" s="10">
        <f t="shared" si="3"/>
        <v>4020</v>
      </c>
    </row>
    <row r="186" spans="1:4" x14ac:dyDescent="0.25">
      <c r="A186" s="8">
        <v>46265</v>
      </c>
      <c r="B186" s="9" t="s">
        <v>3</v>
      </c>
      <c r="C186" s="10">
        <v>4030</v>
      </c>
      <c r="D186" s="10">
        <f t="shared" si="3"/>
        <v>8050</v>
      </c>
    </row>
    <row r="187" spans="1:4" x14ac:dyDescent="0.25">
      <c r="A187" s="8">
        <v>46265</v>
      </c>
      <c r="B187" s="9" t="s">
        <v>178</v>
      </c>
      <c r="C187" s="10">
        <v>-7000</v>
      </c>
      <c r="D187" s="10">
        <f t="shared" si="3"/>
        <v>1050</v>
      </c>
    </row>
    <row r="188" spans="1:4" x14ac:dyDescent="0.25">
      <c r="A188" s="8">
        <v>46268</v>
      </c>
      <c r="B188" s="9" t="s">
        <v>3</v>
      </c>
      <c r="C188" s="10">
        <v>4120</v>
      </c>
      <c r="D188" s="10">
        <f t="shared" si="3"/>
        <v>5170</v>
      </c>
    </row>
    <row r="189" spans="1:4" x14ac:dyDescent="0.25">
      <c r="A189" s="8">
        <v>46268</v>
      </c>
      <c r="B189" s="9" t="s">
        <v>178</v>
      </c>
      <c r="C189" s="10">
        <v>-1050</v>
      </c>
      <c r="D189" s="10">
        <f t="shared" si="3"/>
        <v>4120</v>
      </c>
    </row>
    <row r="190" spans="1:4" x14ac:dyDescent="0.25">
      <c r="A190" s="8">
        <v>46272</v>
      </c>
      <c r="B190" s="9" t="s">
        <v>3</v>
      </c>
      <c r="C190" s="10">
        <v>4610</v>
      </c>
      <c r="D190" s="10">
        <f t="shared" si="3"/>
        <v>8730</v>
      </c>
    </row>
    <row r="191" spans="1:4" x14ac:dyDescent="0.25">
      <c r="A191" s="8">
        <v>46272</v>
      </c>
      <c r="B191" s="9" t="s">
        <v>178</v>
      </c>
      <c r="C191" s="10">
        <v>-4120</v>
      </c>
      <c r="D191" s="10">
        <f t="shared" si="3"/>
        <v>4610</v>
      </c>
    </row>
    <row r="192" spans="1:4" x14ac:dyDescent="0.25">
      <c r="A192" s="8">
        <v>46275</v>
      </c>
      <c r="B192" s="9" t="s">
        <v>3</v>
      </c>
      <c r="C192" s="10">
        <v>2500</v>
      </c>
      <c r="D192" s="10">
        <f t="shared" si="3"/>
        <v>7110</v>
      </c>
    </row>
    <row r="193" spans="1:4" x14ac:dyDescent="0.25">
      <c r="A193" s="8">
        <v>46275</v>
      </c>
      <c r="B193" s="9" t="s">
        <v>178</v>
      </c>
      <c r="C193" s="10">
        <v>-4610</v>
      </c>
      <c r="D193" s="10">
        <f t="shared" si="3"/>
        <v>2500</v>
      </c>
    </row>
    <row r="194" spans="1:4" x14ac:dyDescent="0.25">
      <c r="A194" s="8">
        <v>46277</v>
      </c>
      <c r="B194" s="9" t="s">
        <v>129</v>
      </c>
      <c r="C194" s="10">
        <v>2020</v>
      </c>
      <c r="D194" s="10">
        <f t="shared" si="3"/>
        <v>4520</v>
      </c>
    </row>
    <row r="195" spans="1:4" x14ac:dyDescent="0.25">
      <c r="A195" s="8">
        <v>46279</v>
      </c>
      <c r="B195" s="9" t="s">
        <v>3</v>
      </c>
      <c r="C195" s="6">
        <v>3860</v>
      </c>
      <c r="D195" s="10">
        <f t="shared" si="3"/>
        <v>8380</v>
      </c>
    </row>
    <row r="196" spans="1:4" x14ac:dyDescent="0.25">
      <c r="A196" s="8">
        <v>46279</v>
      </c>
      <c r="B196" s="9" t="s">
        <v>178</v>
      </c>
      <c r="C196" s="10">
        <v>-2500</v>
      </c>
      <c r="D196" s="10">
        <f t="shared" si="3"/>
        <v>5880</v>
      </c>
    </row>
    <row r="197" spans="1:4" x14ac:dyDescent="0.25">
      <c r="A197" s="8">
        <v>46282</v>
      </c>
      <c r="B197" s="9" t="s">
        <v>3</v>
      </c>
      <c r="C197" s="10">
        <v>14900</v>
      </c>
      <c r="D197" s="10">
        <f t="shared" si="3"/>
        <v>20780</v>
      </c>
    </row>
    <row r="198" spans="1:4" x14ac:dyDescent="0.25">
      <c r="A198" s="8">
        <v>46282</v>
      </c>
      <c r="B198" s="9" t="s">
        <v>178</v>
      </c>
      <c r="C198" s="10">
        <v>-5880</v>
      </c>
      <c r="D198" s="10">
        <f t="shared" si="3"/>
        <v>14900</v>
      </c>
    </row>
    <row r="199" spans="1:4" x14ac:dyDescent="0.25">
      <c r="A199" s="8">
        <v>46286</v>
      </c>
      <c r="B199" s="9" t="s">
        <v>3</v>
      </c>
      <c r="C199" s="10">
        <v>2170</v>
      </c>
      <c r="D199" s="10">
        <f t="shared" si="3"/>
        <v>17070</v>
      </c>
    </row>
    <row r="200" spans="1:4" x14ac:dyDescent="0.25">
      <c r="A200" s="8">
        <v>46287</v>
      </c>
      <c r="B200" s="9" t="s">
        <v>129</v>
      </c>
      <c r="C200" s="10">
        <v>2170</v>
      </c>
      <c r="D200" s="10">
        <f t="shared" si="3"/>
        <v>19240</v>
      </c>
    </row>
    <row r="201" spans="1:4" x14ac:dyDescent="0.25">
      <c r="A201" s="8">
        <v>46289</v>
      </c>
      <c r="B201" s="9" t="s">
        <v>3</v>
      </c>
      <c r="C201" s="10">
        <v>8180</v>
      </c>
      <c r="D201" s="10">
        <f t="shared" si="3"/>
        <v>27420</v>
      </c>
    </row>
    <row r="202" spans="1:4" x14ac:dyDescent="0.25">
      <c r="A202" s="8">
        <v>46289</v>
      </c>
      <c r="B202" s="9" t="s">
        <v>178</v>
      </c>
      <c r="C202" s="10">
        <v>-20000</v>
      </c>
      <c r="D202" s="10">
        <f t="shared" si="3"/>
        <v>7420</v>
      </c>
    </row>
    <row r="203" spans="1:4" x14ac:dyDescent="0.25">
      <c r="A203" s="8">
        <v>46290</v>
      </c>
      <c r="B203" s="9" t="s">
        <v>129</v>
      </c>
      <c r="C203" s="10">
        <v>2450</v>
      </c>
      <c r="D203" s="10">
        <f t="shared" si="3"/>
        <v>9870</v>
      </c>
    </row>
    <row r="204" spans="1:4" x14ac:dyDescent="0.25">
      <c r="A204" s="8">
        <v>46293</v>
      </c>
      <c r="B204" s="9" t="s">
        <v>3</v>
      </c>
      <c r="C204" s="10">
        <v>3640</v>
      </c>
      <c r="D204" s="10">
        <f t="shared" si="3"/>
        <v>13510</v>
      </c>
    </row>
    <row r="205" spans="1:4" x14ac:dyDescent="0.25">
      <c r="A205" s="8">
        <v>46293</v>
      </c>
      <c r="B205" s="9" t="s">
        <v>178</v>
      </c>
      <c r="C205" s="10">
        <v>-9870</v>
      </c>
      <c r="D205" s="10">
        <f t="shared" si="3"/>
        <v>3640</v>
      </c>
    </row>
    <row r="206" spans="1:4" x14ac:dyDescent="0.25">
      <c r="A206" s="8">
        <v>46296</v>
      </c>
      <c r="B206" s="9" t="s">
        <v>589</v>
      </c>
      <c r="C206" s="10">
        <v>4020</v>
      </c>
      <c r="D206" s="10">
        <f t="shared" si="3"/>
        <v>7660</v>
      </c>
    </row>
    <row r="207" spans="1:4" x14ac:dyDescent="0.25">
      <c r="A207" s="8">
        <v>46296</v>
      </c>
      <c r="B207" s="9" t="s">
        <v>178</v>
      </c>
      <c r="C207" s="10">
        <v>-3640</v>
      </c>
      <c r="D207" s="10">
        <f t="shared" si="3"/>
        <v>4020</v>
      </c>
    </row>
    <row r="208" spans="1:4" x14ac:dyDescent="0.25">
      <c r="A208" s="8">
        <v>46300</v>
      </c>
      <c r="B208" s="9" t="s">
        <v>178</v>
      </c>
      <c r="C208" s="10">
        <v>-4020</v>
      </c>
      <c r="D208" s="10">
        <f t="shared" si="3"/>
        <v>0</v>
      </c>
    </row>
    <row r="209" spans="1:4" x14ac:dyDescent="0.25">
      <c r="A209" s="8">
        <v>46300</v>
      </c>
      <c r="B209" s="9" t="s">
        <v>589</v>
      </c>
      <c r="C209" s="10">
        <v>3470</v>
      </c>
      <c r="D209" s="10">
        <f t="shared" si="3"/>
        <v>3470</v>
      </c>
    </row>
    <row r="210" spans="1:4" x14ac:dyDescent="0.25">
      <c r="A210" s="8"/>
      <c r="B210" s="9"/>
      <c r="C210" s="10"/>
      <c r="D210" s="10">
        <f t="shared" si="3"/>
        <v>3470</v>
      </c>
    </row>
    <row r="211" spans="1:4" x14ac:dyDescent="0.25">
      <c r="A211" s="8"/>
      <c r="B211" s="9"/>
      <c r="C211" s="10"/>
      <c r="D211" s="10">
        <f t="shared" si="3"/>
        <v>3470</v>
      </c>
    </row>
    <row r="212" spans="1:4" x14ac:dyDescent="0.25">
      <c r="A212" s="8"/>
      <c r="B212" s="9"/>
      <c r="C212" s="10"/>
      <c r="D212" s="10">
        <f t="shared" si="3"/>
        <v>3470</v>
      </c>
    </row>
    <row r="213" spans="1:4" x14ac:dyDescent="0.25">
      <c r="A213" s="8"/>
      <c r="B213" s="9"/>
      <c r="C213" s="10"/>
      <c r="D213" s="10">
        <f t="shared" si="3"/>
        <v>3470</v>
      </c>
    </row>
    <row r="214" spans="1:4" x14ac:dyDescent="0.25">
      <c r="A214" s="8"/>
      <c r="B214" s="9"/>
      <c r="C214" s="10"/>
      <c r="D214" s="10">
        <f t="shared" si="3"/>
        <v>3470</v>
      </c>
    </row>
    <row r="215" spans="1:4" x14ac:dyDescent="0.25">
      <c r="A215" s="9"/>
      <c r="B215" s="9"/>
      <c r="C215" s="10"/>
      <c r="D215" s="10">
        <f t="shared" si="3"/>
        <v>3470</v>
      </c>
    </row>
    <row r="216" spans="1:4" x14ac:dyDescent="0.25">
      <c r="A216" s="9"/>
      <c r="B216" s="9"/>
      <c r="C216" s="10"/>
      <c r="D216" s="10">
        <f t="shared" si="3"/>
        <v>3470</v>
      </c>
    </row>
  </sheetData>
  <mergeCells count="2">
    <mergeCell ref="A4:D4"/>
    <mergeCell ref="B6:D6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843E9-DC41-47A1-9C02-9BE8DBCDC51C}">
  <dimension ref="F5:N33"/>
  <sheetViews>
    <sheetView workbookViewId="0">
      <selection activeCell="N33" sqref="N33"/>
    </sheetView>
  </sheetViews>
  <sheetFormatPr baseColWidth="10" defaultRowHeight="15" x14ac:dyDescent="0.25"/>
  <cols>
    <col min="6" max="6" width="19.140625" customWidth="1"/>
    <col min="7" max="7" width="23.140625" customWidth="1"/>
    <col min="8" max="8" width="18" customWidth="1"/>
  </cols>
  <sheetData>
    <row r="5" spans="6:13" ht="18" x14ac:dyDescent="0.25">
      <c r="F5" s="98" t="s">
        <v>0</v>
      </c>
      <c r="G5" s="98"/>
      <c r="H5" s="98"/>
      <c r="I5" s="98"/>
    </row>
    <row r="6" spans="6:13" x14ac:dyDescent="0.25">
      <c r="H6" s="6"/>
      <c r="I6" s="6"/>
    </row>
    <row r="7" spans="6:13" x14ac:dyDescent="0.25">
      <c r="F7" s="2" t="s">
        <v>1</v>
      </c>
      <c r="G7" s="96" t="s">
        <v>511</v>
      </c>
      <c r="H7" s="97"/>
      <c r="I7" s="97"/>
    </row>
    <row r="8" spans="6:13" x14ac:dyDescent="0.25">
      <c r="F8" s="3" t="s">
        <v>11</v>
      </c>
      <c r="G8" s="4" t="s">
        <v>512</v>
      </c>
      <c r="H8" s="4"/>
      <c r="I8" s="4"/>
    </row>
    <row r="9" spans="6:13" x14ac:dyDescent="0.25">
      <c r="G9" s="5"/>
      <c r="H9" s="6"/>
      <c r="I9" s="6"/>
    </row>
    <row r="10" spans="6:13" x14ac:dyDescent="0.25">
      <c r="F10" s="2" t="s">
        <v>2</v>
      </c>
      <c r="G10" s="2" t="s">
        <v>3</v>
      </c>
      <c r="H10" s="7" t="s">
        <v>4</v>
      </c>
      <c r="I10" s="7" t="s">
        <v>5</v>
      </c>
    </row>
    <row r="11" spans="6:13" x14ac:dyDescent="0.25">
      <c r="F11" s="8">
        <v>46219</v>
      </c>
      <c r="G11" s="9" t="s">
        <v>3</v>
      </c>
      <c r="H11" s="10">
        <v>1150</v>
      </c>
      <c r="I11" s="10">
        <f>H11</f>
        <v>1150</v>
      </c>
      <c r="K11">
        <v>8000</v>
      </c>
      <c r="L11">
        <v>8000</v>
      </c>
      <c r="M11">
        <v>8000</v>
      </c>
    </row>
    <row r="12" spans="6:13" x14ac:dyDescent="0.25">
      <c r="F12" s="8">
        <v>46219</v>
      </c>
      <c r="G12" s="9" t="s">
        <v>178</v>
      </c>
      <c r="H12" s="10">
        <v>-1150</v>
      </c>
      <c r="I12" s="10">
        <f t="shared" ref="I12:I26" si="0">I11+H12</f>
        <v>0</v>
      </c>
      <c r="K12">
        <v>1280</v>
      </c>
      <c r="L12">
        <v>1280</v>
      </c>
      <c r="M12">
        <v>1280</v>
      </c>
    </row>
    <row r="13" spans="6:13" x14ac:dyDescent="0.25">
      <c r="F13" s="8">
        <v>46254</v>
      </c>
      <c r="G13" s="9" t="s">
        <v>3</v>
      </c>
      <c r="H13" s="10">
        <v>760</v>
      </c>
      <c r="I13" s="10">
        <f t="shared" si="0"/>
        <v>760</v>
      </c>
      <c r="K13">
        <v>1690</v>
      </c>
      <c r="L13">
        <v>1690</v>
      </c>
      <c r="M13">
        <v>1690</v>
      </c>
    </row>
    <row r="14" spans="6:13" x14ac:dyDescent="0.25">
      <c r="F14" s="8">
        <v>46254</v>
      </c>
      <c r="G14" s="9" t="s">
        <v>178</v>
      </c>
      <c r="H14" s="10">
        <v>-760</v>
      </c>
      <c r="I14" s="10">
        <f t="shared" si="0"/>
        <v>0</v>
      </c>
      <c r="K14">
        <v>13680</v>
      </c>
      <c r="L14">
        <v>13680</v>
      </c>
      <c r="M14">
        <v>13680</v>
      </c>
    </row>
    <row r="15" spans="6:13" x14ac:dyDescent="0.25">
      <c r="F15" s="8">
        <v>46275</v>
      </c>
      <c r="G15" s="9" t="s">
        <v>3</v>
      </c>
      <c r="H15" s="10">
        <v>470</v>
      </c>
      <c r="I15" s="89">
        <f t="shared" si="0"/>
        <v>470</v>
      </c>
      <c r="K15">
        <v>8230</v>
      </c>
      <c r="L15">
        <v>8230</v>
      </c>
      <c r="M15">
        <v>8230</v>
      </c>
    </row>
    <row r="16" spans="6:13" x14ac:dyDescent="0.25">
      <c r="F16" s="8">
        <v>46275</v>
      </c>
      <c r="G16" s="9" t="s">
        <v>178</v>
      </c>
      <c r="H16" s="10">
        <v>-470</v>
      </c>
      <c r="I16" s="89">
        <f t="shared" si="0"/>
        <v>0</v>
      </c>
      <c r="K16">
        <v>2290</v>
      </c>
      <c r="L16">
        <v>2290</v>
      </c>
      <c r="M16">
        <v>2290</v>
      </c>
    </row>
    <row r="17" spans="6:13" x14ac:dyDescent="0.25">
      <c r="F17" s="8">
        <v>46296</v>
      </c>
      <c r="G17" s="9" t="s">
        <v>3</v>
      </c>
      <c r="H17" s="10">
        <v>590</v>
      </c>
      <c r="I17" s="89">
        <f t="shared" si="0"/>
        <v>590</v>
      </c>
      <c r="K17">
        <v>1570</v>
      </c>
      <c r="L17">
        <v>1570</v>
      </c>
      <c r="M17">
        <v>1570</v>
      </c>
    </row>
    <row r="18" spans="6:13" x14ac:dyDescent="0.25">
      <c r="F18" s="8">
        <v>46296</v>
      </c>
      <c r="G18" s="9" t="s">
        <v>178</v>
      </c>
      <c r="H18" s="10">
        <v>-590</v>
      </c>
      <c r="I18" s="89">
        <f t="shared" si="0"/>
        <v>0</v>
      </c>
      <c r="K18">
        <v>1740</v>
      </c>
      <c r="L18">
        <v>1740</v>
      </c>
      <c r="M18">
        <v>1740</v>
      </c>
    </row>
    <row r="19" spans="6:13" x14ac:dyDescent="0.25">
      <c r="F19" s="8"/>
      <c r="G19" s="9"/>
      <c r="H19" s="10"/>
      <c r="I19" s="10">
        <f t="shared" si="0"/>
        <v>0</v>
      </c>
      <c r="K19">
        <v>3640</v>
      </c>
      <c r="L19">
        <v>3640</v>
      </c>
      <c r="M19">
        <v>3640</v>
      </c>
    </row>
    <row r="20" spans="6:13" x14ac:dyDescent="0.25">
      <c r="F20" s="8"/>
      <c r="G20" s="9"/>
      <c r="H20" s="10"/>
      <c r="I20" s="10">
        <f t="shared" si="0"/>
        <v>0</v>
      </c>
      <c r="K20">
        <v>590</v>
      </c>
      <c r="L20">
        <v>590</v>
      </c>
      <c r="M20">
        <v>590</v>
      </c>
    </row>
    <row r="21" spans="6:13" x14ac:dyDescent="0.25">
      <c r="F21" s="8"/>
      <c r="G21" s="9"/>
      <c r="H21" s="10"/>
      <c r="I21" s="10">
        <f t="shared" si="0"/>
        <v>0</v>
      </c>
      <c r="K21">
        <v>20000</v>
      </c>
      <c r="L21">
        <v>20000</v>
      </c>
      <c r="M21">
        <v>20000</v>
      </c>
    </row>
    <row r="22" spans="6:13" x14ac:dyDescent="0.25">
      <c r="F22" s="8"/>
      <c r="G22" s="9"/>
      <c r="H22" s="10"/>
      <c r="I22" s="10">
        <f t="shared" si="0"/>
        <v>0</v>
      </c>
      <c r="K22">
        <v>6000</v>
      </c>
      <c r="L22">
        <v>6000</v>
      </c>
      <c r="M22">
        <v>6000</v>
      </c>
    </row>
    <row r="23" spans="6:13" x14ac:dyDescent="0.25">
      <c r="F23" s="8"/>
      <c r="G23" s="9"/>
      <c r="H23" s="10"/>
      <c r="I23" s="10">
        <f t="shared" si="0"/>
        <v>0</v>
      </c>
      <c r="K23">
        <v>900</v>
      </c>
      <c r="L23">
        <v>900</v>
      </c>
      <c r="M23">
        <v>900</v>
      </c>
    </row>
    <row r="24" spans="6:13" x14ac:dyDescent="0.25">
      <c r="F24" s="8"/>
      <c r="G24" s="9"/>
      <c r="H24" s="10"/>
      <c r="I24" s="10">
        <f t="shared" si="0"/>
        <v>0</v>
      </c>
      <c r="K24">
        <v>9000</v>
      </c>
      <c r="L24">
        <v>9000</v>
      </c>
      <c r="M24">
        <v>9000</v>
      </c>
    </row>
    <row r="25" spans="6:13" x14ac:dyDescent="0.25">
      <c r="F25" s="8"/>
      <c r="G25" s="9"/>
      <c r="H25" s="10"/>
      <c r="I25" s="10">
        <f t="shared" si="0"/>
        <v>0</v>
      </c>
      <c r="K25">
        <v>8000</v>
      </c>
      <c r="L25">
        <v>8000</v>
      </c>
      <c r="M25">
        <v>8000</v>
      </c>
    </row>
    <row r="26" spans="6:13" x14ac:dyDescent="0.25">
      <c r="F26" s="8"/>
      <c r="G26" s="9"/>
      <c r="H26" s="10"/>
      <c r="I26" s="10">
        <f t="shared" si="0"/>
        <v>0</v>
      </c>
      <c r="K26">
        <v>1490</v>
      </c>
      <c r="L26">
        <v>1490</v>
      </c>
      <c r="M26">
        <v>1490</v>
      </c>
    </row>
    <row r="27" spans="6:13" x14ac:dyDescent="0.25">
      <c r="K27">
        <v>2000</v>
      </c>
      <c r="L27">
        <v>2000</v>
      </c>
      <c r="M27">
        <v>2000</v>
      </c>
    </row>
    <row r="28" spans="6:13" x14ac:dyDescent="0.25">
      <c r="K28">
        <v>4100</v>
      </c>
      <c r="L28">
        <v>4100</v>
      </c>
      <c r="M28">
        <v>4100</v>
      </c>
    </row>
    <row r="29" spans="6:13" x14ac:dyDescent="0.25">
      <c r="K29">
        <v>2450</v>
      </c>
      <c r="L29">
        <v>2450</v>
      </c>
      <c r="M29">
        <v>2450</v>
      </c>
    </row>
    <row r="30" spans="6:13" x14ac:dyDescent="0.25">
      <c r="K30">
        <v>1050</v>
      </c>
      <c r="L30">
        <v>1050</v>
      </c>
      <c r="M30">
        <v>1050</v>
      </c>
    </row>
    <row r="31" spans="6:13" x14ac:dyDescent="0.25">
      <c r="K31">
        <v>2750</v>
      </c>
      <c r="L31">
        <v>2750</v>
      </c>
      <c r="M31">
        <v>2750</v>
      </c>
    </row>
    <row r="32" spans="6:13" x14ac:dyDescent="0.25">
      <c r="K32">
        <v>11710</v>
      </c>
      <c r="L32">
        <v>11710</v>
      </c>
      <c r="M32">
        <v>11710</v>
      </c>
    </row>
    <row r="33" spans="11:14" x14ac:dyDescent="0.25">
      <c r="K33">
        <f t="shared" ref="K33:L33" si="1">SUM(K11:K32)</f>
        <v>112160</v>
      </c>
      <c r="L33">
        <f t="shared" si="1"/>
        <v>112160</v>
      </c>
      <c r="M33">
        <f>SUM(M11:M32)</f>
        <v>112160</v>
      </c>
      <c r="N33">
        <f>+M33-123130</f>
        <v>-10970</v>
      </c>
    </row>
  </sheetData>
  <mergeCells count="2">
    <mergeCell ref="F5:I5"/>
    <mergeCell ref="G7:I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CFE95-E5C9-485F-91AC-2655C0EEF9E3}">
  <dimension ref="A4:G187"/>
  <sheetViews>
    <sheetView workbookViewId="0">
      <selection activeCell="D32" sqref="D32"/>
    </sheetView>
  </sheetViews>
  <sheetFormatPr baseColWidth="10" defaultRowHeight="15" x14ac:dyDescent="0.25"/>
  <cols>
    <col min="1" max="1" width="28.28515625" customWidth="1"/>
    <col min="2" max="2" width="27.140625" customWidth="1"/>
    <col min="3" max="3" width="23.42578125" style="6" customWidth="1"/>
    <col min="4" max="4" width="21.85546875" style="6" customWidth="1"/>
  </cols>
  <sheetData>
    <row r="4" spans="1:7" ht="18" x14ac:dyDescent="0.25">
      <c r="A4" s="98" t="s">
        <v>0</v>
      </c>
      <c r="B4" s="98"/>
      <c r="C4" s="98"/>
      <c r="D4" s="98"/>
      <c r="E4" s="1"/>
      <c r="F4" s="1"/>
      <c r="G4" s="1"/>
    </row>
    <row r="6" spans="1:7" x14ac:dyDescent="0.25">
      <c r="A6" s="2" t="s">
        <v>1</v>
      </c>
      <c r="B6" s="96" t="s">
        <v>39</v>
      </c>
      <c r="C6" s="97"/>
      <c r="D6" s="97"/>
    </row>
    <row r="7" spans="1:7" x14ac:dyDescent="0.25">
      <c r="A7" s="3" t="s">
        <v>11</v>
      </c>
      <c r="B7" s="4" t="s">
        <v>18</v>
      </c>
      <c r="C7" s="4"/>
      <c r="D7" s="4"/>
    </row>
    <row r="8" spans="1:7" x14ac:dyDescent="0.25">
      <c r="B8" s="5"/>
    </row>
    <row r="9" spans="1:7" x14ac:dyDescent="0.25">
      <c r="A9" s="2" t="s">
        <v>2</v>
      </c>
      <c r="B9" s="2" t="s">
        <v>3</v>
      </c>
      <c r="C9" s="7" t="s">
        <v>4</v>
      </c>
      <c r="D9" s="7" t="s">
        <v>5</v>
      </c>
    </row>
    <row r="10" spans="1:7" x14ac:dyDescent="0.25">
      <c r="A10" s="8">
        <v>45834</v>
      </c>
      <c r="B10" s="9" t="s">
        <v>6</v>
      </c>
      <c r="C10" s="10">
        <v>4800</v>
      </c>
      <c r="D10" s="10">
        <f>C10</f>
        <v>4800</v>
      </c>
    </row>
    <row r="11" spans="1:7" x14ac:dyDescent="0.25">
      <c r="A11" s="8">
        <v>45929</v>
      </c>
      <c r="B11" s="9" t="s">
        <v>6</v>
      </c>
      <c r="C11" s="10">
        <v>980</v>
      </c>
      <c r="D11" s="10">
        <f>D10+C11</f>
        <v>5780</v>
      </c>
    </row>
    <row r="12" spans="1:7" x14ac:dyDescent="0.25">
      <c r="A12" s="8">
        <v>45929</v>
      </c>
      <c r="B12" s="9" t="s">
        <v>92</v>
      </c>
      <c r="C12" s="10">
        <v>-980</v>
      </c>
      <c r="D12" s="10">
        <f t="shared" ref="D12:D31" si="0">D11+C12</f>
        <v>4800</v>
      </c>
    </row>
    <row r="13" spans="1:7" x14ac:dyDescent="0.25">
      <c r="A13" s="8"/>
      <c r="B13" s="9"/>
      <c r="C13" s="10"/>
      <c r="D13" s="10">
        <f t="shared" si="0"/>
        <v>4800</v>
      </c>
    </row>
    <row r="14" spans="1:7" x14ac:dyDescent="0.25">
      <c r="A14" s="8"/>
      <c r="B14" s="9"/>
      <c r="C14" s="10"/>
      <c r="D14" s="10">
        <f t="shared" si="0"/>
        <v>4800</v>
      </c>
    </row>
    <row r="15" spans="1:7" x14ac:dyDescent="0.25">
      <c r="A15" s="8"/>
      <c r="B15" s="9"/>
      <c r="C15" s="10"/>
      <c r="D15" s="11">
        <f t="shared" si="0"/>
        <v>4800</v>
      </c>
    </row>
    <row r="16" spans="1:7" x14ac:dyDescent="0.25">
      <c r="A16" s="8"/>
      <c r="B16" s="9"/>
      <c r="C16" s="10"/>
      <c r="D16" s="10">
        <f t="shared" si="0"/>
        <v>4800</v>
      </c>
    </row>
    <row r="17" spans="1:4" x14ac:dyDescent="0.25">
      <c r="A17" s="8"/>
      <c r="B17" s="9"/>
      <c r="C17" s="10"/>
      <c r="D17" s="10">
        <f t="shared" si="0"/>
        <v>4800</v>
      </c>
    </row>
    <row r="18" spans="1:4" x14ac:dyDescent="0.25">
      <c r="A18" s="8"/>
      <c r="B18" s="9"/>
      <c r="C18" s="10"/>
      <c r="D18" s="10">
        <f t="shared" si="0"/>
        <v>4800</v>
      </c>
    </row>
    <row r="19" spans="1:4" x14ac:dyDescent="0.25">
      <c r="A19" s="8"/>
      <c r="B19" s="9"/>
      <c r="C19" s="10"/>
      <c r="D19" s="10">
        <f t="shared" si="0"/>
        <v>4800</v>
      </c>
    </row>
    <row r="20" spans="1:4" x14ac:dyDescent="0.25">
      <c r="A20" s="8"/>
      <c r="B20" s="9"/>
      <c r="C20" s="10"/>
      <c r="D20" s="10">
        <f t="shared" si="0"/>
        <v>4800</v>
      </c>
    </row>
    <row r="21" spans="1:4" x14ac:dyDescent="0.25">
      <c r="A21" s="8"/>
      <c r="B21" s="9"/>
      <c r="C21" s="10"/>
      <c r="D21" s="10">
        <f t="shared" si="0"/>
        <v>4800</v>
      </c>
    </row>
    <row r="22" spans="1:4" x14ac:dyDescent="0.25">
      <c r="A22" s="8"/>
      <c r="B22" s="9"/>
      <c r="C22" s="10"/>
      <c r="D22" s="10">
        <f t="shared" si="0"/>
        <v>4800</v>
      </c>
    </row>
    <row r="23" spans="1:4" x14ac:dyDescent="0.25">
      <c r="A23" s="8"/>
      <c r="B23" s="9"/>
      <c r="C23" s="10"/>
      <c r="D23" s="10">
        <f t="shared" si="0"/>
        <v>4800</v>
      </c>
    </row>
    <row r="24" spans="1:4" x14ac:dyDescent="0.25">
      <c r="A24" s="8"/>
      <c r="B24" s="9"/>
      <c r="C24" s="10"/>
      <c r="D24" s="10">
        <f t="shared" si="0"/>
        <v>4800</v>
      </c>
    </row>
    <row r="25" spans="1:4" x14ac:dyDescent="0.25">
      <c r="A25" s="8"/>
      <c r="B25" s="9"/>
      <c r="C25" s="10"/>
      <c r="D25" s="10">
        <f>D24+C25</f>
        <v>4800</v>
      </c>
    </row>
    <row r="26" spans="1:4" x14ac:dyDescent="0.25">
      <c r="A26" s="8"/>
      <c r="B26" s="9"/>
      <c r="C26" s="10"/>
      <c r="D26" s="10">
        <f t="shared" si="0"/>
        <v>4800</v>
      </c>
    </row>
    <row r="27" spans="1:4" x14ac:dyDescent="0.25">
      <c r="A27" s="8"/>
      <c r="B27" s="9"/>
      <c r="C27" s="10"/>
      <c r="D27" s="10">
        <f t="shared" si="0"/>
        <v>4800</v>
      </c>
    </row>
    <row r="28" spans="1:4" x14ac:dyDescent="0.25">
      <c r="A28" s="8"/>
      <c r="B28" s="9"/>
      <c r="C28" s="10"/>
      <c r="D28" s="10">
        <f t="shared" si="0"/>
        <v>4800</v>
      </c>
    </row>
    <row r="29" spans="1:4" x14ac:dyDescent="0.25">
      <c r="A29" s="8"/>
      <c r="B29" s="9"/>
      <c r="C29" s="10"/>
      <c r="D29" s="10">
        <f t="shared" si="0"/>
        <v>4800</v>
      </c>
    </row>
    <row r="30" spans="1:4" x14ac:dyDescent="0.25">
      <c r="A30" s="8"/>
      <c r="B30" s="9"/>
      <c r="C30" s="10"/>
      <c r="D30" s="10">
        <f t="shared" si="0"/>
        <v>4800</v>
      </c>
    </row>
    <row r="31" spans="1:4" x14ac:dyDescent="0.25">
      <c r="A31" s="8"/>
      <c r="B31" s="9"/>
      <c r="C31" s="10"/>
      <c r="D31" s="10">
        <f t="shared" si="0"/>
        <v>4800</v>
      </c>
    </row>
    <row r="32" spans="1:4" x14ac:dyDescent="0.25">
      <c r="A32" s="8"/>
      <c r="B32" s="9"/>
      <c r="C32" s="10"/>
      <c r="D32" s="10">
        <f>D31+C32</f>
        <v>4800</v>
      </c>
    </row>
    <row r="33" spans="1:4" x14ac:dyDescent="0.25">
      <c r="A33" s="8"/>
      <c r="B33" s="9"/>
      <c r="C33" s="10"/>
      <c r="D33" s="10"/>
    </row>
    <row r="34" spans="1:4" x14ac:dyDescent="0.25">
      <c r="A34" s="8"/>
      <c r="B34" s="9"/>
      <c r="C34" s="10"/>
      <c r="D34" s="10"/>
    </row>
    <row r="35" spans="1:4" x14ac:dyDescent="0.25">
      <c r="A35" s="8"/>
      <c r="B35" s="9"/>
      <c r="C35" s="10"/>
      <c r="D35" s="10"/>
    </row>
    <row r="36" spans="1:4" x14ac:dyDescent="0.25">
      <c r="A36" s="8"/>
      <c r="B36" s="9"/>
      <c r="C36" s="10"/>
      <c r="D36" s="10"/>
    </row>
    <row r="37" spans="1:4" x14ac:dyDescent="0.25">
      <c r="A37" s="8"/>
      <c r="B37" s="9"/>
      <c r="C37" s="10"/>
      <c r="D37" s="10"/>
    </row>
    <row r="38" spans="1:4" x14ac:dyDescent="0.25">
      <c r="A38" s="8"/>
      <c r="B38" s="9"/>
      <c r="C38" s="10"/>
      <c r="D38" s="10"/>
    </row>
    <row r="39" spans="1:4" x14ac:dyDescent="0.25">
      <c r="A39" s="8"/>
      <c r="B39" s="9"/>
      <c r="C39" s="10"/>
      <c r="D39" s="10"/>
    </row>
    <row r="40" spans="1:4" x14ac:dyDescent="0.25">
      <c r="A40" s="8"/>
      <c r="B40" s="9"/>
      <c r="C40" s="10"/>
      <c r="D40" s="10"/>
    </row>
    <row r="41" spans="1:4" x14ac:dyDescent="0.25">
      <c r="A41" s="8"/>
      <c r="B41" s="9"/>
      <c r="C41" s="10"/>
      <c r="D41" s="10"/>
    </row>
    <row r="42" spans="1:4" x14ac:dyDescent="0.25">
      <c r="A42" s="8"/>
      <c r="B42" s="9"/>
      <c r="C42" s="10"/>
      <c r="D42" s="10"/>
    </row>
    <row r="43" spans="1:4" x14ac:dyDescent="0.25">
      <c r="A43" s="8"/>
      <c r="B43" s="9"/>
      <c r="C43" s="10"/>
      <c r="D43" s="10"/>
    </row>
    <row r="44" spans="1:4" x14ac:dyDescent="0.25">
      <c r="A44" s="8"/>
      <c r="B44" s="9"/>
      <c r="C44" s="10"/>
      <c r="D44" s="10"/>
    </row>
    <row r="45" spans="1:4" x14ac:dyDescent="0.25">
      <c r="A45" s="8"/>
      <c r="B45" s="9"/>
      <c r="C45" s="10"/>
      <c r="D45" s="10"/>
    </row>
    <row r="46" spans="1:4" x14ac:dyDescent="0.25">
      <c r="A46" s="8"/>
      <c r="B46" s="9"/>
      <c r="C46" s="10"/>
      <c r="D46" s="10"/>
    </row>
    <row r="47" spans="1:4" x14ac:dyDescent="0.25">
      <c r="A47" s="8"/>
      <c r="B47" s="9"/>
      <c r="C47" s="10"/>
      <c r="D47" s="10"/>
    </row>
    <row r="48" spans="1:4" x14ac:dyDescent="0.25">
      <c r="A48" s="8"/>
      <c r="B48" s="9"/>
      <c r="C48" s="10"/>
      <c r="D48" s="10"/>
    </row>
    <row r="49" spans="1:4" x14ac:dyDescent="0.25">
      <c r="A49" s="8"/>
      <c r="B49" s="9"/>
      <c r="C49" s="10"/>
      <c r="D49" s="10"/>
    </row>
    <row r="50" spans="1:4" x14ac:dyDescent="0.25">
      <c r="A50" s="8"/>
      <c r="B50" s="9"/>
      <c r="C50" s="10"/>
      <c r="D50" s="10"/>
    </row>
    <row r="51" spans="1:4" x14ac:dyDescent="0.25">
      <c r="A51" s="8"/>
      <c r="B51" s="9"/>
      <c r="C51" s="10"/>
      <c r="D51" s="10"/>
    </row>
    <row r="52" spans="1:4" x14ac:dyDescent="0.25">
      <c r="A52" s="8"/>
      <c r="B52" s="9"/>
      <c r="C52" s="10"/>
      <c r="D52" s="10"/>
    </row>
    <row r="53" spans="1:4" x14ac:dyDescent="0.25">
      <c r="A53" s="8"/>
      <c r="B53" s="9"/>
      <c r="C53" s="10"/>
      <c r="D53" s="10"/>
    </row>
    <row r="54" spans="1:4" x14ac:dyDescent="0.25">
      <c r="A54" s="8"/>
      <c r="B54" s="9"/>
      <c r="C54" s="10"/>
      <c r="D54" s="10"/>
    </row>
    <row r="55" spans="1:4" x14ac:dyDescent="0.25">
      <c r="A55" s="8"/>
      <c r="B55" s="9"/>
      <c r="C55" s="10"/>
      <c r="D55" s="10"/>
    </row>
    <row r="56" spans="1:4" x14ac:dyDescent="0.25">
      <c r="A56" s="8"/>
      <c r="B56" s="9"/>
      <c r="C56" s="10"/>
      <c r="D56" s="10"/>
    </row>
    <row r="57" spans="1:4" x14ac:dyDescent="0.25">
      <c r="A57" s="8"/>
      <c r="B57" s="9"/>
      <c r="C57" s="10"/>
      <c r="D57" s="10"/>
    </row>
    <row r="58" spans="1:4" x14ac:dyDescent="0.25">
      <c r="A58" s="8"/>
      <c r="B58" s="9"/>
      <c r="C58" s="10"/>
      <c r="D58" s="10"/>
    </row>
    <row r="59" spans="1:4" x14ac:dyDescent="0.25">
      <c r="A59" s="8"/>
      <c r="B59" s="9"/>
      <c r="C59" s="10"/>
      <c r="D59" s="10"/>
    </row>
    <row r="60" spans="1:4" x14ac:dyDescent="0.25">
      <c r="A60" s="8"/>
      <c r="B60" s="9"/>
      <c r="C60" s="10"/>
      <c r="D60" s="10"/>
    </row>
    <row r="61" spans="1:4" x14ac:dyDescent="0.25">
      <c r="A61" s="8"/>
      <c r="B61" s="9"/>
      <c r="C61" s="10"/>
      <c r="D61" s="10"/>
    </row>
    <row r="62" spans="1:4" x14ac:dyDescent="0.25">
      <c r="A62" s="8"/>
      <c r="B62" s="9"/>
      <c r="C62" s="10"/>
      <c r="D62" s="10"/>
    </row>
    <row r="63" spans="1:4" x14ac:dyDescent="0.25">
      <c r="A63" s="8"/>
      <c r="B63" s="9"/>
      <c r="C63" s="10"/>
      <c r="D63" s="10"/>
    </row>
    <row r="64" spans="1:4" x14ac:dyDescent="0.25">
      <c r="A64" s="8"/>
      <c r="B64" s="9"/>
      <c r="C64" s="10"/>
      <c r="D64" s="10"/>
    </row>
    <row r="65" spans="1:4" x14ac:dyDescent="0.25">
      <c r="A65" s="8"/>
      <c r="B65" s="9"/>
      <c r="C65" s="10"/>
      <c r="D65" s="10"/>
    </row>
    <row r="66" spans="1:4" x14ac:dyDescent="0.25">
      <c r="A66" s="8"/>
      <c r="B66" s="9"/>
      <c r="C66" s="10"/>
      <c r="D66" s="10"/>
    </row>
    <row r="67" spans="1:4" x14ac:dyDescent="0.25">
      <c r="A67" s="8"/>
      <c r="B67" s="9"/>
      <c r="C67" s="10"/>
      <c r="D67" s="10"/>
    </row>
    <row r="68" spans="1:4" x14ac:dyDescent="0.25">
      <c r="A68" s="8"/>
      <c r="B68" s="9"/>
      <c r="C68" s="10"/>
      <c r="D68" s="10"/>
    </row>
    <row r="69" spans="1:4" x14ac:dyDescent="0.25">
      <c r="A69" s="8"/>
      <c r="B69" s="9"/>
      <c r="C69" s="10"/>
      <c r="D69" s="10"/>
    </row>
    <row r="70" spans="1:4" x14ac:dyDescent="0.25">
      <c r="A70" s="8"/>
      <c r="B70" s="9"/>
      <c r="C70" s="10"/>
      <c r="D70" s="10"/>
    </row>
    <row r="71" spans="1:4" x14ac:dyDescent="0.25">
      <c r="A71" s="8"/>
      <c r="B71" s="9"/>
      <c r="C71" s="10"/>
      <c r="D71" s="10"/>
    </row>
    <row r="72" spans="1:4" x14ac:dyDescent="0.25">
      <c r="A72" s="8"/>
      <c r="B72" s="9"/>
      <c r="C72" s="10"/>
      <c r="D72" s="10"/>
    </row>
    <row r="73" spans="1:4" x14ac:dyDescent="0.25">
      <c r="A73" s="8"/>
      <c r="B73" s="9"/>
      <c r="C73" s="10"/>
      <c r="D73" s="10"/>
    </row>
    <row r="74" spans="1:4" x14ac:dyDescent="0.25">
      <c r="A74" s="9"/>
      <c r="B74" s="9"/>
      <c r="C74" s="10"/>
      <c r="D74" s="10"/>
    </row>
    <row r="75" spans="1:4" x14ac:dyDescent="0.25">
      <c r="A75" s="9"/>
      <c r="B75" s="9"/>
      <c r="C75" s="10"/>
      <c r="D75" s="10"/>
    </row>
    <row r="76" spans="1:4" x14ac:dyDescent="0.25">
      <c r="A76" s="9"/>
      <c r="B76" s="9"/>
      <c r="C76" s="10"/>
      <c r="D76" s="10"/>
    </row>
    <row r="77" spans="1:4" x14ac:dyDescent="0.25">
      <c r="A77" s="9"/>
      <c r="B77" s="9"/>
      <c r="C77" s="10"/>
      <c r="D77" s="10"/>
    </row>
    <row r="78" spans="1:4" x14ac:dyDescent="0.25">
      <c r="A78" s="9"/>
      <c r="B78" s="9"/>
      <c r="C78" s="10"/>
      <c r="D78" s="10"/>
    </row>
    <row r="79" spans="1:4" x14ac:dyDescent="0.25">
      <c r="A79" s="9"/>
      <c r="B79" s="9"/>
      <c r="C79" s="10"/>
      <c r="D79" s="10"/>
    </row>
    <row r="80" spans="1:4" x14ac:dyDescent="0.25">
      <c r="A80" s="9"/>
      <c r="B80" s="9"/>
      <c r="C80" s="10"/>
      <c r="D80" s="10"/>
    </row>
    <row r="81" spans="1:4" x14ac:dyDescent="0.25">
      <c r="A81" s="9"/>
      <c r="B81" s="9"/>
      <c r="C81" s="10"/>
      <c r="D81" s="10"/>
    </row>
    <row r="82" spans="1:4" x14ac:dyDescent="0.25">
      <c r="A82" s="9"/>
      <c r="B82" s="9"/>
      <c r="C82" s="10"/>
      <c r="D82" s="10"/>
    </row>
    <row r="83" spans="1:4" x14ac:dyDescent="0.25">
      <c r="A83" s="9"/>
      <c r="B83" s="9"/>
      <c r="C83" s="10"/>
      <c r="D83" s="10"/>
    </row>
    <row r="84" spans="1:4" x14ac:dyDescent="0.25">
      <c r="A84" s="9"/>
      <c r="B84" s="9"/>
      <c r="C84" s="10"/>
      <c r="D84" s="10"/>
    </row>
    <row r="85" spans="1:4" x14ac:dyDescent="0.25">
      <c r="A85" s="9"/>
      <c r="B85" s="9"/>
      <c r="C85" s="10"/>
      <c r="D85" s="10"/>
    </row>
    <row r="86" spans="1:4" x14ac:dyDescent="0.25">
      <c r="A86" s="9"/>
      <c r="B86" s="9"/>
      <c r="C86" s="10"/>
      <c r="D86" s="10"/>
    </row>
    <row r="87" spans="1:4" x14ac:dyDescent="0.25">
      <c r="A87" s="9"/>
      <c r="B87" s="9"/>
      <c r="C87" s="10"/>
      <c r="D87" s="10"/>
    </row>
    <row r="88" spans="1:4" x14ac:dyDescent="0.25">
      <c r="A88" s="9"/>
      <c r="B88" s="9"/>
      <c r="C88" s="10"/>
      <c r="D88" s="10"/>
    </row>
    <row r="89" spans="1:4" x14ac:dyDescent="0.25">
      <c r="A89" s="9"/>
      <c r="B89" s="9"/>
      <c r="C89" s="10"/>
      <c r="D89" s="10"/>
    </row>
    <row r="90" spans="1:4" x14ac:dyDescent="0.25">
      <c r="A90" s="9"/>
      <c r="B90" s="9"/>
      <c r="C90" s="10"/>
      <c r="D90" s="10"/>
    </row>
    <row r="91" spans="1:4" x14ac:dyDescent="0.25">
      <c r="A91" s="9"/>
      <c r="B91" s="9"/>
      <c r="C91" s="10"/>
      <c r="D91" s="10"/>
    </row>
    <row r="92" spans="1:4" x14ac:dyDescent="0.25">
      <c r="A92" s="9"/>
      <c r="B92" s="9"/>
      <c r="C92" s="10"/>
      <c r="D92" s="10"/>
    </row>
    <row r="93" spans="1:4" x14ac:dyDescent="0.25">
      <c r="A93" s="9"/>
      <c r="B93" s="9"/>
      <c r="C93" s="10"/>
      <c r="D93" s="10"/>
    </row>
    <row r="94" spans="1:4" x14ac:dyDescent="0.25">
      <c r="A94" s="9"/>
      <c r="B94" s="9"/>
      <c r="C94" s="10"/>
      <c r="D94" s="10"/>
    </row>
    <row r="95" spans="1:4" x14ac:dyDescent="0.25">
      <c r="A95" s="9"/>
      <c r="B95" s="9"/>
      <c r="C95" s="10"/>
      <c r="D95" s="10"/>
    </row>
    <row r="96" spans="1:4" x14ac:dyDescent="0.25">
      <c r="A96" s="9"/>
      <c r="B96" s="9"/>
      <c r="C96" s="10"/>
      <c r="D96" s="10"/>
    </row>
    <row r="97" spans="1:4" x14ac:dyDescent="0.25">
      <c r="A97" s="9"/>
      <c r="B97" s="9"/>
      <c r="C97" s="10"/>
      <c r="D97" s="10"/>
    </row>
    <row r="98" spans="1:4" x14ac:dyDescent="0.25">
      <c r="A98" s="9"/>
      <c r="B98" s="9"/>
      <c r="C98" s="10"/>
      <c r="D98" s="10"/>
    </row>
    <row r="99" spans="1:4" x14ac:dyDescent="0.25">
      <c r="A99" s="9"/>
      <c r="B99" s="9"/>
      <c r="C99" s="10"/>
      <c r="D99" s="10"/>
    </row>
    <row r="100" spans="1:4" x14ac:dyDescent="0.25">
      <c r="A100" s="9"/>
      <c r="B100" s="9"/>
      <c r="C100" s="10"/>
      <c r="D100" s="10"/>
    </row>
    <row r="101" spans="1:4" x14ac:dyDescent="0.25">
      <c r="A101" s="9"/>
      <c r="B101" s="9"/>
      <c r="C101" s="10"/>
      <c r="D101" s="10"/>
    </row>
    <row r="102" spans="1:4" x14ac:dyDescent="0.25">
      <c r="A102" s="9"/>
      <c r="B102" s="9"/>
      <c r="C102" s="10"/>
      <c r="D102" s="10"/>
    </row>
    <row r="103" spans="1:4" x14ac:dyDescent="0.25">
      <c r="A103" s="9"/>
      <c r="B103" s="9"/>
      <c r="C103" s="10"/>
      <c r="D103" s="10"/>
    </row>
    <row r="104" spans="1:4" x14ac:dyDescent="0.25">
      <c r="A104" s="9"/>
      <c r="B104" s="9"/>
      <c r="C104" s="10"/>
      <c r="D104" s="10"/>
    </row>
    <row r="105" spans="1:4" x14ac:dyDescent="0.25">
      <c r="A105" s="9"/>
      <c r="B105" s="9"/>
      <c r="C105" s="10"/>
      <c r="D105" s="10"/>
    </row>
    <row r="106" spans="1:4" x14ac:dyDescent="0.25">
      <c r="A106" s="9"/>
      <c r="B106" s="9"/>
      <c r="C106" s="10"/>
      <c r="D106" s="10"/>
    </row>
    <row r="107" spans="1:4" x14ac:dyDescent="0.25">
      <c r="A107" s="9"/>
      <c r="B107" s="9"/>
      <c r="C107" s="10"/>
      <c r="D107" s="10"/>
    </row>
    <row r="108" spans="1:4" x14ac:dyDescent="0.25">
      <c r="A108" s="9"/>
      <c r="B108" s="9"/>
      <c r="C108" s="10"/>
      <c r="D108" s="10"/>
    </row>
    <row r="109" spans="1:4" x14ac:dyDescent="0.25">
      <c r="A109" s="9"/>
      <c r="B109" s="9"/>
      <c r="C109" s="10"/>
      <c r="D109" s="10"/>
    </row>
    <row r="110" spans="1:4" x14ac:dyDescent="0.25">
      <c r="A110" s="9"/>
      <c r="B110" s="9"/>
      <c r="C110" s="10"/>
      <c r="D110" s="10"/>
    </row>
    <row r="111" spans="1:4" x14ac:dyDescent="0.25">
      <c r="A111" s="9"/>
      <c r="B111" s="9"/>
      <c r="C111" s="10"/>
      <c r="D111" s="10"/>
    </row>
    <row r="112" spans="1:4" x14ac:dyDescent="0.25">
      <c r="A112" s="9"/>
      <c r="B112" s="9"/>
      <c r="C112" s="10"/>
      <c r="D112" s="10"/>
    </row>
    <row r="113" spans="1:4" x14ac:dyDescent="0.25">
      <c r="A113" s="9"/>
      <c r="B113" s="9"/>
      <c r="C113" s="10"/>
      <c r="D113" s="10"/>
    </row>
    <row r="114" spans="1:4" x14ac:dyDescent="0.25">
      <c r="A114" s="9"/>
      <c r="B114" s="9"/>
      <c r="C114" s="10"/>
      <c r="D114" s="10"/>
    </row>
    <row r="115" spans="1:4" x14ac:dyDescent="0.25">
      <c r="A115" s="9"/>
      <c r="B115" s="9"/>
      <c r="C115" s="10"/>
      <c r="D115" s="10"/>
    </row>
    <row r="116" spans="1:4" x14ac:dyDescent="0.25">
      <c r="A116" s="9"/>
      <c r="B116" s="9"/>
      <c r="C116" s="10"/>
      <c r="D116" s="10"/>
    </row>
    <row r="117" spans="1:4" x14ac:dyDescent="0.25">
      <c r="A117" s="9"/>
      <c r="B117" s="9"/>
      <c r="C117" s="10"/>
      <c r="D117" s="10"/>
    </row>
    <row r="118" spans="1:4" x14ac:dyDescent="0.25">
      <c r="A118" s="9"/>
      <c r="B118" s="9"/>
      <c r="C118" s="10"/>
      <c r="D118" s="10"/>
    </row>
    <row r="119" spans="1:4" x14ac:dyDescent="0.25">
      <c r="A119" s="9"/>
      <c r="B119" s="9"/>
      <c r="C119" s="10"/>
      <c r="D119" s="10"/>
    </row>
    <row r="120" spans="1:4" x14ac:dyDescent="0.25">
      <c r="A120" s="9"/>
      <c r="B120" s="9"/>
      <c r="C120" s="10"/>
      <c r="D120" s="10"/>
    </row>
    <row r="121" spans="1:4" x14ac:dyDescent="0.25">
      <c r="A121" s="9"/>
      <c r="B121" s="9"/>
      <c r="C121" s="10"/>
      <c r="D121" s="10"/>
    </row>
    <row r="122" spans="1:4" x14ac:dyDescent="0.25">
      <c r="A122" s="9"/>
      <c r="B122" s="9"/>
      <c r="C122" s="10"/>
      <c r="D122" s="10"/>
    </row>
    <row r="123" spans="1:4" x14ac:dyDescent="0.25">
      <c r="A123" s="9"/>
      <c r="B123" s="9"/>
      <c r="C123" s="10"/>
      <c r="D123" s="10"/>
    </row>
    <row r="124" spans="1:4" x14ac:dyDescent="0.25">
      <c r="A124" s="9"/>
      <c r="B124" s="9"/>
      <c r="C124" s="10"/>
      <c r="D124" s="10"/>
    </row>
    <row r="125" spans="1:4" x14ac:dyDescent="0.25">
      <c r="A125" s="9"/>
      <c r="B125" s="9"/>
      <c r="C125" s="10"/>
      <c r="D125" s="10"/>
    </row>
    <row r="126" spans="1:4" x14ac:dyDescent="0.25">
      <c r="A126" s="9"/>
      <c r="B126" s="9"/>
      <c r="C126" s="10"/>
      <c r="D126" s="10"/>
    </row>
    <row r="127" spans="1:4" x14ac:dyDescent="0.25">
      <c r="A127" s="9"/>
      <c r="B127" s="9"/>
      <c r="C127" s="10"/>
      <c r="D127" s="10"/>
    </row>
    <row r="128" spans="1:4" x14ac:dyDescent="0.25">
      <c r="A128" s="9"/>
      <c r="B128" s="9"/>
      <c r="C128" s="10"/>
      <c r="D128" s="10"/>
    </row>
    <row r="129" spans="1:4" x14ac:dyDescent="0.25">
      <c r="A129" s="9"/>
      <c r="B129" s="9"/>
      <c r="C129" s="10"/>
      <c r="D129" s="10"/>
    </row>
    <row r="130" spans="1:4" x14ac:dyDescent="0.25">
      <c r="A130" s="9"/>
      <c r="B130" s="9"/>
      <c r="C130" s="10"/>
      <c r="D130" s="10"/>
    </row>
    <row r="131" spans="1:4" x14ac:dyDescent="0.25">
      <c r="A131" s="9"/>
      <c r="B131" s="9"/>
      <c r="C131" s="10"/>
      <c r="D131" s="10"/>
    </row>
    <row r="132" spans="1:4" x14ac:dyDescent="0.25">
      <c r="A132" s="9"/>
      <c r="B132" s="9"/>
      <c r="C132" s="10"/>
      <c r="D132" s="10"/>
    </row>
    <row r="133" spans="1:4" x14ac:dyDescent="0.25">
      <c r="A133" s="9"/>
      <c r="B133" s="9"/>
      <c r="C133" s="10"/>
      <c r="D133" s="10"/>
    </row>
    <row r="134" spans="1:4" x14ac:dyDescent="0.25">
      <c r="A134" s="9"/>
      <c r="B134" s="9"/>
      <c r="C134" s="10"/>
      <c r="D134" s="10"/>
    </row>
    <row r="135" spans="1:4" x14ac:dyDescent="0.25">
      <c r="A135" s="9"/>
      <c r="B135" s="9"/>
      <c r="C135" s="10"/>
      <c r="D135" s="10"/>
    </row>
    <row r="136" spans="1:4" x14ac:dyDescent="0.25">
      <c r="A136" s="9"/>
      <c r="B136" s="9"/>
      <c r="C136" s="10"/>
      <c r="D136" s="10"/>
    </row>
    <row r="137" spans="1:4" x14ac:dyDescent="0.25">
      <c r="A137" s="9"/>
      <c r="B137" s="9"/>
      <c r="C137" s="10"/>
      <c r="D137" s="10"/>
    </row>
    <row r="138" spans="1:4" x14ac:dyDescent="0.25">
      <c r="A138" s="9"/>
      <c r="B138" s="9"/>
      <c r="C138" s="10"/>
      <c r="D138" s="10"/>
    </row>
    <row r="139" spans="1:4" x14ac:dyDescent="0.25">
      <c r="A139" s="9"/>
      <c r="B139" s="9"/>
      <c r="C139" s="10"/>
      <c r="D139" s="10"/>
    </row>
    <row r="140" spans="1:4" x14ac:dyDescent="0.25">
      <c r="A140" s="9"/>
      <c r="B140" s="9"/>
      <c r="C140" s="10"/>
      <c r="D140" s="10"/>
    </row>
    <row r="141" spans="1:4" x14ac:dyDescent="0.25">
      <c r="A141" s="9"/>
      <c r="B141" s="9"/>
      <c r="C141" s="10"/>
      <c r="D141" s="10"/>
    </row>
    <row r="142" spans="1:4" x14ac:dyDescent="0.25">
      <c r="A142" s="9"/>
      <c r="B142" s="9"/>
      <c r="C142" s="10"/>
      <c r="D142" s="10"/>
    </row>
    <row r="143" spans="1:4" x14ac:dyDescent="0.25">
      <c r="A143" s="9"/>
      <c r="B143" s="9"/>
      <c r="C143" s="10"/>
      <c r="D143" s="10"/>
    </row>
    <row r="144" spans="1:4" x14ac:dyDescent="0.25">
      <c r="A144" s="9"/>
      <c r="B144" s="9"/>
      <c r="C144" s="10"/>
      <c r="D144" s="10"/>
    </row>
    <row r="145" spans="1:4" x14ac:dyDescent="0.25">
      <c r="A145" s="9"/>
      <c r="B145" s="9"/>
      <c r="C145" s="10"/>
      <c r="D145" s="10"/>
    </row>
    <row r="146" spans="1:4" x14ac:dyDescent="0.25">
      <c r="A146" s="9"/>
      <c r="B146" s="9"/>
      <c r="C146" s="10"/>
      <c r="D146" s="10"/>
    </row>
    <row r="147" spans="1:4" x14ac:dyDescent="0.25">
      <c r="A147" s="9"/>
      <c r="B147" s="9"/>
      <c r="C147" s="10"/>
      <c r="D147" s="10"/>
    </row>
    <row r="148" spans="1:4" x14ac:dyDescent="0.25">
      <c r="A148" s="9"/>
      <c r="B148" s="9"/>
      <c r="C148" s="10"/>
      <c r="D148" s="10"/>
    </row>
    <row r="149" spans="1:4" x14ac:dyDescent="0.25">
      <c r="A149" s="9"/>
      <c r="B149" s="9"/>
      <c r="C149" s="10"/>
      <c r="D149" s="10"/>
    </row>
    <row r="150" spans="1:4" x14ac:dyDescent="0.25">
      <c r="A150" s="9"/>
      <c r="B150" s="9"/>
      <c r="C150" s="10"/>
      <c r="D150" s="10"/>
    </row>
    <row r="151" spans="1:4" x14ac:dyDescent="0.25">
      <c r="A151" s="9"/>
      <c r="B151" s="9"/>
      <c r="C151" s="10"/>
      <c r="D151" s="10"/>
    </row>
    <row r="152" spans="1:4" x14ac:dyDescent="0.25">
      <c r="A152" s="9"/>
      <c r="B152" s="9"/>
      <c r="C152" s="10"/>
      <c r="D152" s="10"/>
    </row>
    <row r="153" spans="1:4" x14ac:dyDescent="0.25">
      <c r="A153" s="9"/>
      <c r="B153" s="9"/>
      <c r="C153" s="10"/>
      <c r="D153" s="10"/>
    </row>
    <row r="154" spans="1:4" x14ac:dyDescent="0.25">
      <c r="A154" s="9"/>
      <c r="B154" s="9"/>
      <c r="C154" s="10"/>
      <c r="D154" s="10"/>
    </row>
    <row r="155" spans="1:4" x14ac:dyDescent="0.25">
      <c r="A155" s="9"/>
      <c r="B155" s="9"/>
      <c r="C155" s="10"/>
      <c r="D155" s="10"/>
    </row>
    <row r="156" spans="1:4" x14ac:dyDescent="0.25">
      <c r="A156" s="9"/>
      <c r="B156" s="9"/>
      <c r="C156" s="10"/>
      <c r="D156" s="10"/>
    </row>
    <row r="157" spans="1:4" x14ac:dyDescent="0.25">
      <c r="A157" s="9"/>
      <c r="B157" s="9"/>
      <c r="C157" s="10"/>
      <c r="D157" s="10"/>
    </row>
    <row r="158" spans="1:4" x14ac:dyDescent="0.25">
      <c r="A158" s="9"/>
      <c r="B158" s="9"/>
      <c r="C158" s="10"/>
      <c r="D158" s="10"/>
    </row>
    <row r="159" spans="1:4" x14ac:dyDescent="0.25">
      <c r="A159" s="9"/>
      <c r="B159" s="9"/>
      <c r="C159" s="10"/>
      <c r="D159" s="10"/>
    </row>
    <row r="160" spans="1:4" x14ac:dyDescent="0.25">
      <c r="A160" s="9"/>
      <c r="B160" s="9"/>
      <c r="C160" s="10"/>
      <c r="D160" s="10"/>
    </row>
    <row r="161" spans="1:4" x14ac:dyDescent="0.25">
      <c r="A161" s="9"/>
      <c r="B161" s="9"/>
      <c r="C161" s="10"/>
      <c r="D161" s="10"/>
    </row>
    <row r="162" spans="1:4" x14ac:dyDescent="0.25">
      <c r="A162" s="9"/>
      <c r="B162" s="9"/>
      <c r="C162" s="10"/>
      <c r="D162" s="10"/>
    </row>
    <row r="163" spans="1:4" x14ac:dyDescent="0.25">
      <c r="A163" s="9"/>
      <c r="B163" s="9"/>
      <c r="C163" s="10"/>
      <c r="D163" s="10"/>
    </row>
    <row r="164" spans="1:4" x14ac:dyDescent="0.25">
      <c r="A164" s="9"/>
      <c r="B164" s="9"/>
      <c r="C164" s="10"/>
      <c r="D164" s="10"/>
    </row>
    <row r="165" spans="1:4" x14ac:dyDescent="0.25">
      <c r="A165" s="9"/>
      <c r="B165" s="9"/>
      <c r="C165" s="10"/>
      <c r="D165" s="10"/>
    </row>
    <row r="166" spans="1:4" x14ac:dyDescent="0.25">
      <c r="A166" s="9"/>
      <c r="B166" s="9"/>
      <c r="C166" s="10"/>
      <c r="D166" s="10"/>
    </row>
    <row r="167" spans="1:4" x14ac:dyDescent="0.25">
      <c r="A167" s="9"/>
      <c r="B167" s="9"/>
      <c r="C167" s="10"/>
      <c r="D167" s="10"/>
    </row>
    <row r="168" spans="1:4" x14ac:dyDescent="0.25">
      <c r="A168" s="9"/>
      <c r="B168" s="9"/>
      <c r="C168" s="10"/>
      <c r="D168" s="10"/>
    </row>
    <row r="169" spans="1:4" x14ac:dyDescent="0.25">
      <c r="A169" s="9"/>
      <c r="B169" s="9"/>
      <c r="C169" s="10"/>
      <c r="D169" s="10"/>
    </row>
    <row r="170" spans="1:4" x14ac:dyDescent="0.25">
      <c r="A170" s="9"/>
      <c r="B170" s="9"/>
      <c r="C170" s="10"/>
      <c r="D170" s="10"/>
    </row>
    <row r="171" spans="1:4" x14ac:dyDescent="0.25">
      <c r="A171" s="9"/>
      <c r="B171" s="9"/>
      <c r="C171" s="10"/>
      <c r="D171" s="10"/>
    </row>
    <row r="172" spans="1:4" x14ac:dyDescent="0.25">
      <c r="A172" s="9"/>
      <c r="B172" s="9"/>
      <c r="C172" s="10"/>
      <c r="D172" s="10"/>
    </row>
    <row r="173" spans="1:4" x14ac:dyDescent="0.25">
      <c r="A173" s="9"/>
      <c r="B173" s="9"/>
      <c r="C173" s="10"/>
      <c r="D173" s="10"/>
    </row>
    <row r="174" spans="1:4" x14ac:dyDescent="0.25">
      <c r="A174" s="9"/>
      <c r="B174" s="9"/>
      <c r="C174" s="10"/>
      <c r="D174" s="10"/>
    </row>
    <row r="175" spans="1:4" x14ac:dyDescent="0.25">
      <c r="A175" s="9"/>
      <c r="B175" s="9"/>
      <c r="C175" s="10"/>
      <c r="D175" s="10"/>
    </row>
    <row r="176" spans="1:4" x14ac:dyDescent="0.25">
      <c r="A176" s="9"/>
      <c r="B176" s="9"/>
      <c r="C176" s="10"/>
      <c r="D176" s="10"/>
    </row>
    <row r="177" spans="1:4" x14ac:dyDescent="0.25">
      <c r="A177" s="9"/>
      <c r="B177" s="9"/>
      <c r="C177" s="10"/>
      <c r="D177" s="10"/>
    </row>
    <row r="178" spans="1:4" x14ac:dyDescent="0.25">
      <c r="A178" s="9"/>
      <c r="B178" s="9"/>
      <c r="C178" s="10"/>
      <c r="D178" s="10"/>
    </row>
    <row r="179" spans="1:4" x14ac:dyDescent="0.25">
      <c r="A179" s="9"/>
      <c r="B179" s="9"/>
      <c r="C179" s="10"/>
      <c r="D179" s="10"/>
    </row>
    <row r="180" spans="1:4" x14ac:dyDescent="0.25">
      <c r="A180" s="9"/>
      <c r="B180" s="9"/>
      <c r="C180" s="10"/>
      <c r="D180" s="10"/>
    </row>
    <row r="181" spans="1:4" x14ac:dyDescent="0.25">
      <c r="A181" s="9"/>
      <c r="B181" s="9"/>
      <c r="C181" s="10"/>
      <c r="D181" s="10"/>
    </row>
    <row r="182" spans="1:4" x14ac:dyDescent="0.25">
      <c r="A182" s="9"/>
      <c r="B182" s="9"/>
      <c r="C182" s="10"/>
      <c r="D182" s="10"/>
    </row>
    <row r="183" spans="1:4" x14ac:dyDescent="0.25">
      <c r="A183" s="9"/>
      <c r="B183" s="9"/>
      <c r="C183" s="10"/>
      <c r="D183" s="10"/>
    </row>
    <row r="184" spans="1:4" x14ac:dyDescent="0.25">
      <c r="A184" s="9"/>
      <c r="B184" s="9"/>
      <c r="C184" s="10"/>
      <c r="D184" s="10"/>
    </row>
    <row r="185" spans="1:4" x14ac:dyDescent="0.25">
      <c r="A185" s="9"/>
      <c r="B185" s="9"/>
      <c r="C185" s="10"/>
      <c r="D185" s="10"/>
    </row>
    <row r="186" spans="1:4" x14ac:dyDescent="0.25">
      <c r="A186" s="9"/>
      <c r="B186" s="9"/>
      <c r="C186" s="10"/>
      <c r="D186" s="10"/>
    </row>
    <row r="187" spans="1:4" x14ac:dyDescent="0.25">
      <c r="A187" s="9"/>
      <c r="B187" s="9"/>
      <c r="C187" s="10"/>
      <c r="D187" s="10"/>
    </row>
  </sheetData>
  <mergeCells count="2">
    <mergeCell ref="A4:D4"/>
    <mergeCell ref="B6:D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6F0B4-73C4-4556-B0B8-4A0523574CD0}">
  <sheetPr>
    <tabColor theme="5" tint="0.39997558519241921"/>
  </sheetPr>
  <dimension ref="A2:F111"/>
  <sheetViews>
    <sheetView topLeftCell="A82" zoomScaleNormal="100" workbookViewId="0">
      <selection activeCell="H105" sqref="H105"/>
    </sheetView>
  </sheetViews>
  <sheetFormatPr baseColWidth="10" defaultRowHeight="15" x14ac:dyDescent="0.25"/>
  <cols>
    <col min="1" max="1" width="15.140625" customWidth="1"/>
    <col min="2" max="2" width="24.85546875" customWidth="1"/>
    <col min="3" max="3" width="13.42578125" customWidth="1"/>
    <col min="4" max="4" width="21" customWidth="1"/>
  </cols>
  <sheetData>
    <row r="2" spans="1:6" x14ac:dyDescent="0.25">
      <c r="A2" s="33" t="s">
        <v>1</v>
      </c>
      <c r="B2" s="105" t="s">
        <v>17</v>
      </c>
      <c r="C2" s="106"/>
      <c r="D2" s="106"/>
    </row>
    <row r="3" spans="1:6" x14ac:dyDescent="0.25">
      <c r="A3" s="34" t="s">
        <v>11</v>
      </c>
      <c r="B3" s="30" t="s">
        <v>18</v>
      </c>
      <c r="C3" s="30"/>
      <c r="D3" s="30"/>
    </row>
    <row r="4" spans="1:6" ht="18" x14ac:dyDescent="0.25">
      <c r="A4" s="31"/>
      <c r="B4" s="35"/>
      <c r="C4" s="32"/>
      <c r="D4" s="32"/>
      <c r="E4" s="1"/>
      <c r="F4" s="1"/>
    </row>
    <row r="5" spans="1:6" x14ac:dyDescent="0.25">
      <c r="A5" s="33" t="s">
        <v>2</v>
      </c>
      <c r="B5" s="33" t="s">
        <v>3</v>
      </c>
      <c r="C5" s="36" t="s">
        <v>4</v>
      </c>
      <c r="D5" s="36" t="s">
        <v>5</v>
      </c>
    </row>
    <row r="6" spans="1:6" x14ac:dyDescent="0.25">
      <c r="A6" s="37">
        <v>45834</v>
      </c>
      <c r="B6" s="38" t="s">
        <v>6</v>
      </c>
      <c r="C6" s="39">
        <v>212370</v>
      </c>
      <c r="D6" s="39">
        <f>C6</f>
        <v>212370</v>
      </c>
    </row>
    <row r="7" spans="1:6" x14ac:dyDescent="0.25">
      <c r="A7" s="37">
        <v>45838</v>
      </c>
      <c r="B7" s="38" t="s">
        <v>40</v>
      </c>
      <c r="C7" s="39">
        <v>7130</v>
      </c>
      <c r="D7" s="39">
        <f>D6+C7</f>
        <v>219500</v>
      </c>
    </row>
    <row r="8" spans="1:6" x14ac:dyDescent="0.25">
      <c r="A8" s="37">
        <v>45841</v>
      </c>
      <c r="B8" s="38" t="s">
        <v>48</v>
      </c>
      <c r="C8" s="39">
        <v>2270</v>
      </c>
      <c r="D8" s="39">
        <f t="shared" ref="D8:D70" si="0">D7+C8</f>
        <v>221770</v>
      </c>
    </row>
    <row r="9" spans="1:6" x14ac:dyDescent="0.25">
      <c r="A9" s="37">
        <v>45845</v>
      </c>
      <c r="B9" s="38" t="s">
        <v>50</v>
      </c>
      <c r="C9" s="39">
        <v>3780</v>
      </c>
      <c r="D9" s="39">
        <f t="shared" si="0"/>
        <v>225550</v>
      </c>
    </row>
    <row r="10" spans="1:6" x14ac:dyDescent="0.25">
      <c r="A10" s="37">
        <v>45852</v>
      </c>
      <c r="B10" s="38" t="s">
        <v>58</v>
      </c>
      <c r="C10" s="39">
        <v>5955</v>
      </c>
      <c r="D10" s="39">
        <f t="shared" si="0"/>
        <v>231505</v>
      </c>
    </row>
    <row r="11" spans="1:6" x14ac:dyDescent="0.25">
      <c r="A11" s="37">
        <v>45852</v>
      </c>
      <c r="B11" s="38" t="s">
        <v>7</v>
      </c>
      <c r="C11" s="39">
        <v>-98170</v>
      </c>
      <c r="D11" s="39">
        <f t="shared" si="0"/>
        <v>133335</v>
      </c>
    </row>
    <row r="12" spans="1:6" x14ac:dyDescent="0.25">
      <c r="A12" s="37">
        <v>45855</v>
      </c>
      <c r="B12" s="38" t="s">
        <v>57</v>
      </c>
      <c r="C12" s="39">
        <v>3910</v>
      </c>
      <c r="D12" s="39">
        <f t="shared" si="0"/>
        <v>137245</v>
      </c>
    </row>
    <row r="13" spans="1:6" x14ac:dyDescent="0.25">
      <c r="A13" s="37">
        <v>45859</v>
      </c>
      <c r="B13" s="38" t="s">
        <v>72</v>
      </c>
      <c r="C13" s="39">
        <v>4535</v>
      </c>
      <c r="D13" s="39">
        <f t="shared" si="0"/>
        <v>141780</v>
      </c>
    </row>
    <row r="14" spans="1:6" x14ac:dyDescent="0.25">
      <c r="A14" s="37">
        <v>45866</v>
      </c>
      <c r="B14" s="38" t="s">
        <v>76</v>
      </c>
      <c r="C14" s="39">
        <v>8770</v>
      </c>
      <c r="D14" s="39">
        <f t="shared" si="0"/>
        <v>150550</v>
      </c>
    </row>
    <row r="15" spans="1:6" x14ac:dyDescent="0.25">
      <c r="A15" s="37">
        <v>45873</v>
      </c>
      <c r="B15" s="38" t="s">
        <v>85</v>
      </c>
      <c r="C15" s="39">
        <v>4500</v>
      </c>
      <c r="D15" s="39">
        <f t="shared" si="0"/>
        <v>155050</v>
      </c>
    </row>
    <row r="16" spans="1:6" x14ac:dyDescent="0.25">
      <c r="A16" s="37">
        <v>45880</v>
      </c>
      <c r="B16" s="38" t="s">
        <v>562</v>
      </c>
      <c r="C16" s="39">
        <v>3740</v>
      </c>
      <c r="D16" s="39">
        <f t="shared" si="0"/>
        <v>158790</v>
      </c>
    </row>
    <row r="17" spans="1:4" x14ac:dyDescent="0.25">
      <c r="A17" s="37">
        <v>45883</v>
      </c>
      <c r="B17" s="38" t="s">
        <v>89</v>
      </c>
      <c r="C17" s="39">
        <v>3850</v>
      </c>
      <c r="D17" s="39">
        <f t="shared" si="0"/>
        <v>162640</v>
      </c>
    </row>
    <row r="18" spans="1:4" x14ac:dyDescent="0.25">
      <c r="A18" s="37">
        <v>45887</v>
      </c>
      <c r="B18" s="38" t="s">
        <v>95</v>
      </c>
      <c r="C18" s="39">
        <v>6440</v>
      </c>
      <c r="D18" s="39">
        <f t="shared" si="0"/>
        <v>169080</v>
      </c>
    </row>
    <row r="19" spans="1:4" x14ac:dyDescent="0.25">
      <c r="A19" s="37">
        <v>45890</v>
      </c>
      <c r="B19" s="38" t="s">
        <v>215</v>
      </c>
      <c r="C19" s="39">
        <v>3160</v>
      </c>
      <c r="D19" s="39">
        <f t="shared" si="0"/>
        <v>172240</v>
      </c>
    </row>
    <row r="20" spans="1:4" x14ac:dyDescent="0.25">
      <c r="A20" s="37">
        <v>45894</v>
      </c>
      <c r="B20" s="38" t="s">
        <v>100</v>
      </c>
      <c r="C20" s="39">
        <v>2940</v>
      </c>
      <c r="D20" s="39">
        <f t="shared" si="0"/>
        <v>175180</v>
      </c>
    </row>
    <row r="21" spans="1:4" x14ac:dyDescent="0.25">
      <c r="A21" s="37">
        <v>45894</v>
      </c>
      <c r="B21" s="38" t="s">
        <v>44</v>
      </c>
      <c r="C21" s="39">
        <v>-58790</v>
      </c>
      <c r="D21" s="39">
        <f t="shared" si="0"/>
        <v>116390</v>
      </c>
    </row>
    <row r="22" spans="1:4" x14ac:dyDescent="0.25">
      <c r="A22" s="37">
        <v>45901</v>
      </c>
      <c r="B22" s="38" t="s">
        <v>105</v>
      </c>
      <c r="C22" s="39">
        <v>4500</v>
      </c>
      <c r="D22" s="39">
        <f t="shared" si="0"/>
        <v>120890</v>
      </c>
    </row>
    <row r="23" spans="1:4" x14ac:dyDescent="0.25">
      <c r="A23" s="37">
        <v>45908</v>
      </c>
      <c r="B23" s="38" t="s">
        <v>109</v>
      </c>
      <c r="C23" s="39">
        <v>5990</v>
      </c>
      <c r="D23" s="39">
        <f t="shared" si="0"/>
        <v>126880</v>
      </c>
    </row>
    <row r="24" spans="1:4" x14ac:dyDescent="0.25">
      <c r="A24" s="40" t="s">
        <v>176</v>
      </c>
      <c r="B24" s="38" t="s">
        <v>44</v>
      </c>
      <c r="C24" s="39">
        <v>-39765</v>
      </c>
      <c r="D24" s="39">
        <f t="shared" si="0"/>
        <v>87115</v>
      </c>
    </row>
    <row r="25" spans="1:4" x14ac:dyDescent="0.25">
      <c r="A25" s="37">
        <v>45916</v>
      </c>
      <c r="B25" s="38" t="s">
        <v>117</v>
      </c>
      <c r="C25" s="39">
        <v>6830</v>
      </c>
      <c r="D25" s="39">
        <f t="shared" si="0"/>
        <v>93945</v>
      </c>
    </row>
    <row r="26" spans="1:4" x14ac:dyDescent="0.25">
      <c r="A26" s="37">
        <v>45922</v>
      </c>
      <c r="B26" s="38" t="s">
        <v>131</v>
      </c>
      <c r="C26" s="39">
        <v>20040</v>
      </c>
      <c r="D26" s="39">
        <f t="shared" si="0"/>
        <v>113985</v>
      </c>
    </row>
    <row r="27" spans="1:4" x14ac:dyDescent="0.25">
      <c r="A27" s="37">
        <v>45926</v>
      </c>
      <c r="B27" s="38" t="s">
        <v>132</v>
      </c>
      <c r="C27" s="39">
        <v>7130</v>
      </c>
      <c r="D27" s="39">
        <f t="shared" si="0"/>
        <v>121115</v>
      </c>
    </row>
    <row r="28" spans="1:4" x14ac:dyDescent="0.25">
      <c r="A28" s="40">
        <v>45931</v>
      </c>
      <c r="B28" s="38" t="s">
        <v>133</v>
      </c>
      <c r="C28" s="39">
        <v>4370</v>
      </c>
      <c r="D28" s="39">
        <f t="shared" si="0"/>
        <v>125485</v>
      </c>
    </row>
    <row r="29" spans="1:4" x14ac:dyDescent="0.25">
      <c r="A29" s="37">
        <v>45933</v>
      </c>
      <c r="B29" s="38" t="s">
        <v>166</v>
      </c>
      <c r="C29" s="39">
        <v>1800</v>
      </c>
      <c r="D29" s="39">
        <f t="shared" si="0"/>
        <v>127285</v>
      </c>
    </row>
    <row r="30" spans="1:4" x14ac:dyDescent="0.25">
      <c r="A30" s="37">
        <v>45936</v>
      </c>
      <c r="B30" s="38" t="s">
        <v>186</v>
      </c>
      <c r="C30" s="39">
        <v>2870</v>
      </c>
      <c r="D30" s="39">
        <f t="shared" si="0"/>
        <v>130155</v>
      </c>
    </row>
    <row r="31" spans="1:4" x14ac:dyDescent="0.25">
      <c r="A31" s="37">
        <v>45939</v>
      </c>
      <c r="B31" s="38" t="s">
        <v>192</v>
      </c>
      <c r="C31" s="39">
        <v>5030</v>
      </c>
      <c r="D31" s="39">
        <f t="shared" si="0"/>
        <v>135185</v>
      </c>
    </row>
    <row r="32" spans="1:4" x14ac:dyDescent="0.25">
      <c r="A32" s="37">
        <v>45943</v>
      </c>
      <c r="B32" s="38" t="s">
        <v>193</v>
      </c>
      <c r="C32" s="39">
        <v>5210</v>
      </c>
      <c r="D32" s="39">
        <f t="shared" si="0"/>
        <v>140395</v>
      </c>
    </row>
    <row r="33" spans="1:4" x14ac:dyDescent="0.25">
      <c r="A33" s="37">
        <v>45946</v>
      </c>
      <c r="B33" s="38" t="s">
        <v>194</v>
      </c>
      <c r="C33" s="39">
        <v>3590</v>
      </c>
      <c r="D33" s="39">
        <f t="shared" si="0"/>
        <v>143985</v>
      </c>
    </row>
    <row r="34" spans="1:4" x14ac:dyDescent="0.25">
      <c r="A34" s="37">
        <v>45953</v>
      </c>
      <c r="B34" s="38" t="s">
        <v>563</v>
      </c>
      <c r="C34" s="39">
        <v>6120</v>
      </c>
      <c r="D34" s="39">
        <f t="shared" si="0"/>
        <v>150105</v>
      </c>
    </row>
    <row r="35" spans="1:4" x14ac:dyDescent="0.25">
      <c r="A35" s="37">
        <v>45960</v>
      </c>
      <c r="B35" s="38" t="s">
        <v>7</v>
      </c>
      <c r="C35" s="39">
        <v>-59270</v>
      </c>
      <c r="D35" s="39">
        <f t="shared" si="0"/>
        <v>90835</v>
      </c>
    </row>
    <row r="36" spans="1:4" x14ac:dyDescent="0.25">
      <c r="A36" s="37">
        <v>45964</v>
      </c>
      <c r="B36" s="38" t="s">
        <v>213</v>
      </c>
      <c r="C36" s="39">
        <v>19440</v>
      </c>
      <c r="D36" s="39">
        <f t="shared" si="0"/>
        <v>110275</v>
      </c>
    </row>
    <row r="37" spans="1:4" x14ac:dyDescent="0.25">
      <c r="A37" s="37">
        <v>45964</v>
      </c>
      <c r="B37" s="38" t="s">
        <v>214</v>
      </c>
      <c r="C37" s="39">
        <v>5050</v>
      </c>
      <c r="D37" s="39">
        <f t="shared" si="0"/>
        <v>115325</v>
      </c>
    </row>
    <row r="38" spans="1:4" ht="15.75" x14ac:dyDescent="0.25">
      <c r="A38" s="43">
        <v>45972</v>
      </c>
      <c r="B38" s="44" t="s">
        <v>217</v>
      </c>
      <c r="C38" s="45">
        <v>5490</v>
      </c>
      <c r="D38" s="45">
        <f t="shared" si="0"/>
        <v>120815</v>
      </c>
    </row>
    <row r="39" spans="1:4" ht="15.75" x14ac:dyDescent="0.25">
      <c r="A39" s="43">
        <v>45972</v>
      </c>
      <c r="B39" s="44" t="s">
        <v>218</v>
      </c>
      <c r="C39" s="45">
        <v>4320</v>
      </c>
      <c r="D39" s="45">
        <f t="shared" si="0"/>
        <v>125135</v>
      </c>
    </row>
    <row r="40" spans="1:4" ht="15.75" x14ac:dyDescent="0.25">
      <c r="A40" s="43">
        <v>45979</v>
      </c>
      <c r="B40" s="44" t="s">
        <v>229</v>
      </c>
      <c r="C40" s="45">
        <v>5290</v>
      </c>
      <c r="D40" s="45">
        <f t="shared" si="0"/>
        <v>130425</v>
      </c>
    </row>
    <row r="41" spans="1:4" ht="15.75" x14ac:dyDescent="0.25">
      <c r="A41" s="43">
        <v>45988</v>
      </c>
      <c r="B41" s="44" t="s">
        <v>252</v>
      </c>
      <c r="C41" s="45">
        <v>9280</v>
      </c>
      <c r="D41" s="45">
        <f t="shared" si="0"/>
        <v>139705</v>
      </c>
    </row>
    <row r="42" spans="1:4" ht="15.75" x14ac:dyDescent="0.25">
      <c r="A42" s="43">
        <v>45988</v>
      </c>
      <c r="B42" s="44" t="s">
        <v>7</v>
      </c>
      <c r="C42" s="45">
        <v>-30990</v>
      </c>
      <c r="D42" s="45">
        <f t="shared" si="0"/>
        <v>108715</v>
      </c>
    </row>
    <row r="43" spans="1:4" ht="15.75" x14ac:dyDescent="0.25">
      <c r="A43" s="43">
        <v>45995</v>
      </c>
      <c r="B43" s="44" t="s">
        <v>257</v>
      </c>
      <c r="C43" s="45">
        <v>9290</v>
      </c>
      <c r="D43" s="45">
        <f t="shared" si="0"/>
        <v>118005</v>
      </c>
    </row>
    <row r="44" spans="1:4" ht="15.75" x14ac:dyDescent="0.25">
      <c r="A44" s="43">
        <v>45999</v>
      </c>
      <c r="B44" s="44" t="s">
        <v>258</v>
      </c>
      <c r="C44" s="45">
        <v>6500</v>
      </c>
      <c r="D44" s="45">
        <f t="shared" si="0"/>
        <v>124505</v>
      </c>
    </row>
    <row r="45" spans="1:4" ht="15.75" x14ac:dyDescent="0.25">
      <c r="A45" s="43">
        <v>46002</v>
      </c>
      <c r="B45" s="44" t="s">
        <v>7</v>
      </c>
      <c r="C45" s="45">
        <v>-38530</v>
      </c>
      <c r="D45" s="45">
        <f t="shared" si="0"/>
        <v>85975</v>
      </c>
    </row>
    <row r="46" spans="1:4" ht="15.75" x14ac:dyDescent="0.25">
      <c r="A46" s="43">
        <v>46006</v>
      </c>
      <c r="B46" s="44" t="s">
        <v>263</v>
      </c>
      <c r="C46" s="45">
        <v>8090</v>
      </c>
      <c r="D46" s="46">
        <f t="shared" si="0"/>
        <v>94065</v>
      </c>
    </row>
    <row r="47" spans="1:4" ht="15.75" x14ac:dyDescent="0.25">
      <c r="A47" s="43">
        <v>46013</v>
      </c>
      <c r="B47" s="44" t="s">
        <v>269</v>
      </c>
      <c r="C47" s="45">
        <v>3500</v>
      </c>
      <c r="D47" s="46">
        <f t="shared" si="0"/>
        <v>97565</v>
      </c>
    </row>
    <row r="48" spans="1:4" ht="15.75" x14ac:dyDescent="0.25">
      <c r="A48" s="43">
        <v>46017</v>
      </c>
      <c r="B48" s="44" t="s">
        <v>270</v>
      </c>
      <c r="C48" s="45">
        <v>10190</v>
      </c>
      <c r="D48" s="46">
        <f t="shared" si="0"/>
        <v>107755</v>
      </c>
    </row>
    <row r="49" spans="1:5" ht="15.75" x14ac:dyDescent="0.25">
      <c r="A49" s="43">
        <v>46031</v>
      </c>
      <c r="B49" s="44" t="s">
        <v>272</v>
      </c>
      <c r="C49" s="45">
        <v>6670</v>
      </c>
      <c r="D49" s="46">
        <f t="shared" si="0"/>
        <v>114425</v>
      </c>
    </row>
    <row r="50" spans="1:5" ht="15.75" x14ac:dyDescent="0.25">
      <c r="A50" s="43">
        <v>46038</v>
      </c>
      <c r="B50" s="44" t="s">
        <v>294</v>
      </c>
      <c r="C50" s="45">
        <v>7030</v>
      </c>
      <c r="D50" s="46">
        <f t="shared" si="0"/>
        <v>121455</v>
      </c>
    </row>
    <row r="51" spans="1:5" ht="15.75" x14ac:dyDescent="0.25">
      <c r="A51" s="43">
        <v>46041</v>
      </c>
      <c r="B51" s="44" t="s">
        <v>295</v>
      </c>
      <c r="C51" s="45">
        <v>10350</v>
      </c>
      <c r="D51" s="46">
        <f t="shared" si="0"/>
        <v>131805</v>
      </c>
    </row>
    <row r="52" spans="1:5" ht="15.75" x14ac:dyDescent="0.25">
      <c r="A52" s="43">
        <v>46046</v>
      </c>
      <c r="B52" s="44" t="s">
        <v>306</v>
      </c>
      <c r="C52" s="45">
        <v>11250</v>
      </c>
      <c r="D52" s="46">
        <f t="shared" si="0"/>
        <v>143055</v>
      </c>
    </row>
    <row r="53" spans="1:5" ht="15.75" x14ac:dyDescent="0.25">
      <c r="A53" s="47" t="s">
        <v>305</v>
      </c>
      <c r="B53" s="44" t="s">
        <v>3</v>
      </c>
      <c r="C53" s="45">
        <v>5620</v>
      </c>
      <c r="D53" s="46">
        <f t="shared" si="0"/>
        <v>148675</v>
      </c>
    </row>
    <row r="54" spans="1:5" ht="15.75" x14ac:dyDescent="0.25">
      <c r="A54" s="43">
        <v>46044</v>
      </c>
      <c r="B54" s="44" t="s">
        <v>179</v>
      </c>
      <c r="C54" s="45">
        <v>-49070</v>
      </c>
      <c r="D54" s="46">
        <f t="shared" si="0"/>
        <v>99605</v>
      </c>
    </row>
    <row r="55" spans="1:5" ht="15.75" x14ac:dyDescent="0.25">
      <c r="A55" s="43">
        <v>46059</v>
      </c>
      <c r="B55" s="44" t="s">
        <v>319</v>
      </c>
      <c r="C55" s="45">
        <v>4370</v>
      </c>
      <c r="D55" s="46">
        <f t="shared" si="0"/>
        <v>103975</v>
      </c>
    </row>
    <row r="56" spans="1:5" ht="15.75" x14ac:dyDescent="0.25">
      <c r="A56" s="43">
        <v>46064</v>
      </c>
      <c r="B56" s="44" t="s">
        <v>179</v>
      </c>
      <c r="C56" s="45">
        <v>-64865</v>
      </c>
      <c r="D56" s="46">
        <f t="shared" si="0"/>
        <v>39110</v>
      </c>
    </row>
    <row r="57" spans="1:5" ht="15.75" x14ac:dyDescent="0.25">
      <c r="A57" s="43">
        <v>46065</v>
      </c>
      <c r="B57" s="44" t="s">
        <v>322</v>
      </c>
      <c r="C57" s="45">
        <v>84430</v>
      </c>
      <c r="D57" s="46">
        <f t="shared" si="0"/>
        <v>123540</v>
      </c>
    </row>
    <row r="58" spans="1:5" ht="15.75" x14ac:dyDescent="0.25">
      <c r="A58" s="43">
        <v>46065</v>
      </c>
      <c r="B58" s="44" t="s">
        <v>323</v>
      </c>
      <c r="C58" s="45">
        <v>31800</v>
      </c>
      <c r="D58" s="46">
        <f t="shared" si="0"/>
        <v>155340</v>
      </c>
    </row>
    <row r="59" spans="1:5" ht="15.75" x14ac:dyDescent="0.25">
      <c r="A59" s="43">
        <v>46066</v>
      </c>
      <c r="B59" s="44" t="s">
        <v>324</v>
      </c>
      <c r="C59" s="45">
        <v>8000</v>
      </c>
      <c r="D59" s="46">
        <f t="shared" si="0"/>
        <v>163340</v>
      </c>
      <c r="E59" t="s">
        <v>346</v>
      </c>
    </row>
    <row r="60" spans="1:5" ht="15.75" x14ac:dyDescent="0.25">
      <c r="A60" s="43">
        <v>46083</v>
      </c>
      <c r="B60" s="44" t="s">
        <v>342</v>
      </c>
      <c r="C60" s="45">
        <v>3440</v>
      </c>
      <c r="D60" s="46">
        <f t="shared" si="0"/>
        <v>166780</v>
      </c>
    </row>
    <row r="61" spans="1:5" ht="15.75" x14ac:dyDescent="0.25">
      <c r="A61" s="43">
        <v>46094</v>
      </c>
      <c r="B61" s="44" t="s">
        <v>179</v>
      </c>
      <c r="C61" s="45">
        <v>-80000</v>
      </c>
      <c r="D61" s="46">
        <f t="shared" si="0"/>
        <v>86780</v>
      </c>
    </row>
    <row r="62" spans="1:5" ht="17.25" customHeight="1" x14ac:dyDescent="0.25">
      <c r="A62" s="8">
        <v>46090</v>
      </c>
      <c r="B62" s="9" t="s">
        <v>353</v>
      </c>
      <c r="C62" s="10">
        <v>3330</v>
      </c>
      <c r="D62" s="46">
        <f t="shared" si="0"/>
        <v>90110</v>
      </c>
    </row>
    <row r="63" spans="1:5" ht="15.75" x14ac:dyDescent="0.25">
      <c r="A63" s="43">
        <v>46097</v>
      </c>
      <c r="B63" s="44" t="s">
        <v>360</v>
      </c>
      <c r="C63" s="45">
        <v>3740</v>
      </c>
      <c r="D63" s="46">
        <f t="shared" si="0"/>
        <v>93850</v>
      </c>
    </row>
    <row r="64" spans="1:5" ht="16.5" customHeight="1" x14ac:dyDescent="0.25">
      <c r="A64" s="43">
        <v>46100</v>
      </c>
      <c r="B64" s="44" t="s">
        <v>363</v>
      </c>
      <c r="C64" s="45">
        <v>5760</v>
      </c>
      <c r="D64" s="46">
        <f t="shared" si="0"/>
        <v>99610</v>
      </c>
    </row>
    <row r="65" spans="1:4" ht="16.5" customHeight="1" x14ac:dyDescent="0.25">
      <c r="A65" s="43">
        <v>46104</v>
      </c>
      <c r="B65" s="44" t="s">
        <v>367</v>
      </c>
      <c r="C65" s="45">
        <v>5410</v>
      </c>
      <c r="D65" s="46">
        <f t="shared" si="0"/>
        <v>105020</v>
      </c>
    </row>
    <row r="66" spans="1:4" ht="16.5" customHeight="1" x14ac:dyDescent="0.25">
      <c r="A66" s="43">
        <v>46111</v>
      </c>
      <c r="B66" s="44" t="s">
        <v>377</v>
      </c>
      <c r="C66" s="45">
        <v>3560</v>
      </c>
      <c r="D66" s="46">
        <f t="shared" si="0"/>
        <v>108580</v>
      </c>
    </row>
    <row r="67" spans="1:4" ht="16.5" customHeight="1" x14ac:dyDescent="0.25">
      <c r="A67" s="43">
        <v>46121</v>
      </c>
      <c r="B67" s="44" t="s">
        <v>390</v>
      </c>
      <c r="C67" s="45">
        <v>4470</v>
      </c>
      <c r="D67" s="46">
        <f t="shared" si="0"/>
        <v>113050</v>
      </c>
    </row>
    <row r="68" spans="1:4" ht="16.5" customHeight="1" x14ac:dyDescent="0.25">
      <c r="A68" s="43">
        <v>46128</v>
      </c>
      <c r="B68" s="44" t="s">
        <v>398</v>
      </c>
      <c r="C68" s="45">
        <v>8870</v>
      </c>
      <c r="D68" s="46">
        <f t="shared" si="0"/>
        <v>121920</v>
      </c>
    </row>
    <row r="69" spans="1:4" ht="16.5" customHeight="1" x14ac:dyDescent="0.25">
      <c r="A69" s="43">
        <v>46135</v>
      </c>
      <c r="B69" s="44" t="s">
        <v>179</v>
      </c>
      <c r="C69" s="45">
        <v>-64870</v>
      </c>
      <c r="D69" s="46">
        <f t="shared" si="0"/>
        <v>57050</v>
      </c>
    </row>
    <row r="70" spans="1:4" ht="16.5" customHeight="1" x14ac:dyDescent="0.25">
      <c r="A70" s="43">
        <v>46137</v>
      </c>
      <c r="B70" s="44" t="s">
        <v>407</v>
      </c>
      <c r="C70" s="45">
        <v>9020</v>
      </c>
      <c r="D70" s="46">
        <f t="shared" si="0"/>
        <v>66070</v>
      </c>
    </row>
    <row r="71" spans="1:4" ht="16.5" customHeight="1" x14ac:dyDescent="0.25">
      <c r="A71" s="43">
        <v>46142</v>
      </c>
      <c r="B71" s="44" t="s">
        <v>414</v>
      </c>
      <c r="C71" s="45">
        <v>6920</v>
      </c>
      <c r="D71" s="46">
        <f t="shared" ref="D71:D109" si="1">D70+C71</f>
        <v>72990</v>
      </c>
    </row>
    <row r="72" spans="1:4" ht="16.5" customHeight="1" x14ac:dyDescent="0.25">
      <c r="A72" s="43">
        <v>46150</v>
      </c>
      <c r="B72" s="44" t="s">
        <v>413</v>
      </c>
      <c r="C72" s="45">
        <v>107410</v>
      </c>
      <c r="D72" s="46">
        <f t="shared" si="1"/>
        <v>180400</v>
      </c>
    </row>
    <row r="73" spans="1:4" ht="16.5" customHeight="1" x14ac:dyDescent="0.25">
      <c r="A73" s="43">
        <v>46120</v>
      </c>
      <c r="B73" s="44" t="s">
        <v>415</v>
      </c>
      <c r="C73" s="45">
        <v>1800</v>
      </c>
      <c r="D73" s="46">
        <f t="shared" si="1"/>
        <v>182200</v>
      </c>
    </row>
    <row r="74" spans="1:4" ht="16.5" customHeight="1" x14ac:dyDescent="0.25">
      <c r="A74" s="43">
        <v>46160</v>
      </c>
      <c r="B74" s="44" t="s">
        <v>178</v>
      </c>
      <c r="C74" s="45">
        <v>-1800</v>
      </c>
      <c r="D74" s="46">
        <f t="shared" si="1"/>
        <v>180400</v>
      </c>
    </row>
    <row r="75" spans="1:4" ht="16.5" customHeight="1" x14ac:dyDescent="0.25">
      <c r="A75" s="43">
        <v>46163</v>
      </c>
      <c r="B75" s="44" t="s">
        <v>434</v>
      </c>
      <c r="C75" s="45">
        <v>4440</v>
      </c>
      <c r="D75" s="46">
        <f t="shared" si="1"/>
        <v>184840</v>
      </c>
    </row>
    <row r="76" spans="1:4" ht="16.5" customHeight="1" x14ac:dyDescent="0.25">
      <c r="A76" s="43">
        <v>46170</v>
      </c>
      <c r="B76" s="44" t="s">
        <v>441</v>
      </c>
      <c r="C76" s="45">
        <v>5270</v>
      </c>
      <c r="D76" s="46">
        <f t="shared" si="1"/>
        <v>190110</v>
      </c>
    </row>
    <row r="77" spans="1:4" ht="16.5" customHeight="1" x14ac:dyDescent="0.25">
      <c r="A77" s="43">
        <v>46177</v>
      </c>
      <c r="B77" s="44" t="s">
        <v>447</v>
      </c>
      <c r="C77" s="45">
        <v>5650</v>
      </c>
      <c r="D77" s="46">
        <f t="shared" si="1"/>
        <v>195760</v>
      </c>
    </row>
    <row r="78" spans="1:4" ht="16.5" customHeight="1" x14ac:dyDescent="0.25">
      <c r="A78" s="43">
        <v>46184</v>
      </c>
      <c r="B78" s="44" t="s">
        <v>458</v>
      </c>
      <c r="C78" s="45">
        <v>5810</v>
      </c>
      <c r="D78" s="46">
        <f t="shared" si="1"/>
        <v>201570</v>
      </c>
    </row>
    <row r="79" spans="1:4" ht="16.5" customHeight="1" x14ac:dyDescent="0.25">
      <c r="A79" s="43">
        <v>46192</v>
      </c>
      <c r="B79" s="88" t="s">
        <v>466</v>
      </c>
      <c r="C79" s="45">
        <v>3880</v>
      </c>
      <c r="D79" s="46">
        <f t="shared" si="1"/>
        <v>205450</v>
      </c>
    </row>
    <row r="80" spans="1:4" ht="16.5" customHeight="1" x14ac:dyDescent="0.25">
      <c r="A80" s="43">
        <v>46195</v>
      </c>
      <c r="B80" s="44" t="s">
        <v>469</v>
      </c>
      <c r="C80" s="45">
        <v>4280</v>
      </c>
      <c r="D80" s="46">
        <f t="shared" si="1"/>
        <v>209730</v>
      </c>
    </row>
    <row r="81" spans="1:4" ht="16.5" customHeight="1" x14ac:dyDescent="0.25">
      <c r="A81" s="43">
        <v>46204</v>
      </c>
      <c r="B81" s="44" t="s">
        <v>488</v>
      </c>
      <c r="C81" s="45">
        <v>9300</v>
      </c>
      <c r="D81" s="46">
        <f t="shared" si="1"/>
        <v>219030</v>
      </c>
    </row>
    <row r="82" spans="1:4" ht="16.5" customHeight="1" x14ac:dyDescent="0.25">
      <c r="A82" s="43">
        <v>46212</v>
      </c>
      <c r="B82" s="44" t="s">
        <v>500</v>
      </c>
      <c r="C82" s="45">
        <v>1140</v>
      </c>
      <c r="D82" s="46">
        <f t="shared" si="1"/>
        <v>220170</v>
      </c>
    </row>
    <row r="83" spans="1:4" ht="16.5" customHeight="1" x14ac:dyDescent="0.25">
      <c r="A83" s="43">
        <v>46211</v>
      </c>
      <c r="B83" s="44" t="s">
        <v>273</v>
      </c>
      <c r="C83" s="45">
        <v>-70000</v>
      </c>
      <c r="D83" s="46">
        <f t="shared" si="1"/>
        <v>150170</v>
      </c>
    </row>
    <row r="84" spans="1:4" ht="16.5" customHeight="1" x14ac:dyDescent="0.25">
      <c r="A84" s="43">
        <v>46223</v>
      </c>
      <c r="B84" s="44" t="s">
        <v>513</v>
      </c>
      <c r="C84" s="45">
        <v>5680</v>
      </c>
      <c r="D84" s="46">
        <f t="shared" si="1"/>
        <v>155850</v>
      </c>
    </row>
    <row r="85" spans="1:4" ht="16.5" customHeight="1" x14ac:dyDescent="0.25">
      <c r="A85" s="43">
        <v>46230</v>
      </c>
      <c r="B85" s="44" t="s">
        <v>526</v>
      </c>
      <c r="C85" s="45">
        <v>4580</v>
      </c>
      <c r="D85" s="46">
        <f t="shared" si="1"/>
        <v>160430</v>
      </c>
    </row>
    <row r="86" spans="1:4" ht="16.5" customHeight="1" x14ac:dyDescent="0.25">
      <c r="A86" s="43">
        <v>46233</v>
      </c>
      <c r="B86" s="44" t="s">
        <v>529</v>
      </c>
      <c r="C86" s="45">
        <v>2885</v>
      </c>
      <c r="D86" s="46">
        <f t="shared" si="1"/>
        <v>163315</v>
      </c>
    </row>
    <row r="87" spans="1:4" ht="16.5" customHeight="1" x14ac:dyDescent="0.25">
      <c r="A87" s="43">
        <v>46237</v>
      </c>
      <c r="B87" s="44" t="s">
        <v>537</v>
      </c>
      <c r="C87" s="45">
        <v>10390</v>
      </c>
      <c r="D87" s="46">
        <f t="shared" si="1"/>
        <v>173705</v>
      </c>
    </row>
    <row r="88" spans="1:4" ht="16.5" customHeight="1" x14ac:dyDescent="0.25">
      <c r="A88" s="43">
        <v>46247</v>
      </c>
      <c r="B88" s="44" t="s">
        <v>550</v>
      </c>
      <c r="C88" s="45">
        <v>8590</v>
      </c>
      <c r="D88" s="46">
        <f t="shared" si="1"/>
        <v>182295</v>
      </c>
    </row>
    <row r="89" spans="1:4" ht="16.5" customHeight="1" x14ac:dyDescent="0.25">
      <c r="A89" s="43">
        <v>46254</v>
      </c>
      <c r="B89" s="44" t="s">
        <v>561</v>
      </c>
      <c r="C89" s="45">
        <v>5850</v>
      </c>
      <c r="D89" s="46">
        <f t="shared" si="1"/>
        <v>188145</v>
      </c>
    </row>
    <row r="90" spans="1:4" ht="16.5" customHeight="1" x14ac:dyDescent="0.25">
      <c r="A90" s="43">
        <v>46258</v>
      </c>
      <c r="B90" s="44" t="s">
        <v>558</v>
      </c>
      <c r="C90" s="45">
        <v>-121320</v>
      </c>
      <c r="D90" s="46">
        <f t="shared" si="1"/>
        <v>66825</v>
      </c>
    </row>
    <row r="91" spans="1:4" ht="16.5" customHeight="1" x14ac:dyDescent="0.25">
      <c r="A91" s="43">
        <v>46258</v>
      </c>
      <c r="B91" s="44" t="s">
        <v>560</v>
      </c>
      <c r="C91" s="45">
        <v>7280</v>
      </c>
      <c r="D91" s="46">
        <f t="shared" si="1"/>
        <v>74105</v>
      </c>
    </row>
    <row r="92" spans="1:4" ht="16.5" customHeight="1" x14ac:dyDescent="0.25">
      <c r="A92" s="43">
        <v>46261</v>
      </c>
      <c r="B92" s="44" t="s">
        <v>564</v>
      </c>
      <c r="C92" s="45">
        <v>4850</v>
      </c>
      <c r="D92" s="46">
        <f t="shared" si="1"/>
        <v>78955</v>
      </c>
    </row>
    <row r="93" spans="1:4" ht="16.5" customHeight="1" x14ac:dyDescent="0.25">
      <c r="A93" s="43">
        <v>46265</v>
      </c>
      <c r="B93" s="44" t="s">
        <v>570</v>
      </c>
      <c r="C93" s="45">
        <v>2400</v>
      </c>
      <c r="D93" s="46">
        <f t="shared" si="1"/>
        <v>81355</v>
      </c>
    </row>
    <row r="94" spans="1:4" ht="16.5" customHeight="1" x14ac:dyDescent="0.25">
      <c r="A94" s="43">
        <v>46268</v>
      </c>
      <c r="B94" s="44" t="s">
        <v>572</v>
      </c>
      <c r="C94" s="45">
        <v>7560</v>
      </c>
      <c r="D94" s="46">
        <f t="shared" si="1"/>
        <v>88915</v>
      </c>
    </row>
    <row r="95" spans="1:4" ht="16.5" customHeight="1" x14ac:dyDescent="0.25">
      <c r="A95" s="43">
        <v>46275</v>
      </c>
      <c r="B95" s="44" t="s">
        <v>581</v>
      </c>
      <c r="C95" s="45">
        <v>6330</v>
      </c>
      <c r="D95" s="46">
        <f t="shared" si="1"/>
        <v>95245</v>
      </c>
    </row>
    <row r="96" spans="1:4" ht="16.5" customHeight="1" x14ac:dyDescent="0.25">
      <c r="A96" s="43">
        <v>46282</v>
      </c>
      <c r="B96" s="44" t="s">
        <v>593</v>
      </c>
      <c r="C96" s="45">
        <v>9730</v>
      </c>
      <c r="D96" s="46">
        <f t="shared" si="1"/>
        <v>104975</v>
      </c>
    </row>
    <row r="97" spans="1:4" ht="16.5" customHeight="1" x14ac:dyDescent="0.25">
      <c r="A97" s="43">
        <v>46286</v>
      </c>
      <c r="B97" s="44" t="s">
        <v>592</v>
      </c>
      <c r="C97" s="45">
        <v>9920</v>
      </c>
      <c r="D97" s="46">
        <f t="shared" si="1"/>
        <v>114895</v>
      </c>
    </row>
    <row r="98" spans="1:4" ht="16.5" customHeight="1" x14ac:dyDescent="0.25">
      <c r="A98" s="43">
        <v>46289</v>
      </c>
      <c r="B98" s="44" t="s">
        <v>604</v>
      </c>
      <c r="C98" s="45">
        <v>4400</v>
      </c>
      <c r="D98" s="46">
        <f t="shared" si="1"/>
        <v>119295</v>
      </c>
    </row>
    <row r="99" spans="1:4" ht="16.5" customHeight="1" x14ac:dyDescent="0.25">
      <c r="A99" s="43">
        <v>46293</v>
      </c>
      <c r="B99" s="44" t="s">
        <v>605</v>
      </c>
      <c r="C99" s="45">
        <v>2810</v>
      </c>
      <c r="D99" s="46">
        <f t="shared" si="1"/>
        <v>122105</v>
      </c>
    </row>
    <row r="100" spans="1:4" ht="16.5" customHeight="1" x14ac:dyDescent="0.25">
      <c r="A100" s="43">
        <v>46300</v>
      </c>
      <c r="B100" s="44" t="s">
        <v>589</v>
      </c>
      <c r="C100" s="45">
        <v>5930</v>
      </c>
      <c r="D100" s="46">
        <f t="shared" si="1"/>
        <v>128035</v>
      </c>
    </row>
    <row r="101" spans="1:4" ht="16.5" customHeight="1" x14ac:dyDescent="0.25">
      <c r="A101" s="43"/>
      <c r="B101" s="44"/>
      <c r="C101" s="45"/>
      <c r="D101" s="46">
        <f t="shared" si="1"/>
        <v>128035</v>
      </c>
    </row>
    <row r="102" spans="1:4" ht="16.5" customHeight="1" x14ac:dyDescent="0.25">
      <c r="A102" s="43"/>
      <c r="B102" s="44"/>
      <c r="C102" s="45"/>
      <c r="D102" s="46">
        <f t="shared" si="1"/>
        <v>128035</v>
      </c>
    </row>
    <row r="103" spans="1:4" ht="16.5" customHeight="1" x14ac:dyDescent="0.25">
      <c r="A103" s="43"/>
      <c r="B103" s="44"/>
      <c r="C103" s="45"/>
      <c r="D103" s="46">
        <f t="shared" si="1"/>
        <v>128035</v>
      </c>
    </row>
    <row r="104" spans="1:4" ht="16.5" customHeight="1" x14ac:dyDescent="0.25">
      <c r="A104" s="43"/>
      <c r="B104" s="44"/>
      <c r="C104" s="45"/>
      <c r="D104" s="46">
        <f t="shared" si="1"/>
        <v>128035</v>
      </c>
    </row>
    <row r="105" spans="1:4" ht="16.5" customHeight="1" x14ac:dyDescent="0.25">
      <c r="A105" s="43"/>
      <c r="B105" s="44"/>
      <c r="C105" s="45"/>
      <c r="D105" s="46">
        <f t="shared" si="1"/>
        <v>128035</v>
      </c>
    </row>
    <row r="106" spans="1:4" ht="18" customHeight="1" x14ac:dyDescent="0.25">
      <c r="A106" s="43"/>
      <c r="B106" s="44"/>
      <c r="C106" s="45"/>
      <c r="D106" s="46">
        <f t="shared" si="1"/>
        <v>128035</v>
      </c>
    </row>
    <row r="107" spans="1:4" ht="18" customHeight="1" x14ac:dyDescent="0.25">
      <c r="A107" s="43"/>
      <c r="B107" s="44"/>
      <c r="C107" s="45"/>
      <c r="D107" s="46">
        <f t="shared" si="1"/>
        <v>128035</v>
      </c>
    </row>
    <row r="108" spans="1:4" ht="18" customHeight="1" x14ac:dyDescent="0.25">
      <c r="A108" s="43"/>
      <c r="B108" s="44"/>
      <c r="C108" s="45"/>
      <c r="D108" s="46">
        <f t="shared" si="1"/>
        <v>128035</v>
      </c>
    </row>
    <row r="109" spans="1:4" ht="15.75" x14ac:dyDescent="0.25">
      <c r="D109" s="46">
        <f t="shared" si="1"/>
        <v>128035</v>
      </c>
    </row>
    <row r="110" spans="1:4" x14ac:dyDescent="0.25">
      <c r="D110">
        <v>74950</v>
      </c>
    </row>
    <row r="111" spans="1:4" x14ac:dyDescent="0.25">
      <c r="D111" s="6">
        <f>+D109-D110</f>
        <v>53085</v>
      </c>
    </row>
  </sheetData>
  <mergeCells count="1">
    <mergeCell ref="B2:D2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BDB94-41B4-485A-BB0E-40CDE5EE63EC}">
  <sheetPr>
    <tabColor theme="8" tint="0.79998168889431442"/>
  </sheetPr>
  <dimension ref="A4:G338"/>
  <sheetViews>
    <sheetView topLeftCell="A310" workbookViewId="0">
      <selection activeCell="G333" sqref="G333"/>
    </sheetView>
  </sheetViews>
  <sheetFormatPr baseColWidth="10" defaultRowHeight="15" x14ac:dyDescent="0.25"/>
  <cols>
    <col min="1" max="1" width="28.28515625" customWidth="1"/>
    <col min="2" max="2" width="27.140625" customWidth="1"/>
    <col min="3" max="3" width="23.42578125" style="6" customWidth="1"/>
    <col min="4" max="4" width="21.85546875" style="6" customWidth="1"/>
  </cols>
  <sheetData>
    <row r="4" spans="1:7" ht="18" x14ac:dyDescent="0.25">
      <c r="A4" s="98" t="s">
        <v>0</v>
      </c>
      <c r="B4" s="98"/>
      <c r="C4" s="98"/>
      <c r="D4" s="98"/>
      <c r="E4" s="1"/>
      <c r="F4" s="1"/>
      <c r="G4" s="1"/>
    </row>
    <row r="6" spans="1:7" x14ac:dyDescent="0.25">
      <c r="A6" s="2" t="s">
        <v>1</v>
      </c>
      <c r="B6" s="96" t="s">
        <v>19</v>
      </c>
      <c r="C6" s="97"/>
      <c r="D6" s="97"/>
    </row>
    <row r="7" spans="1:7" x14ac:dyDescent="0.25">
      <c r="A7" s="3" t="s">
        <v>11</v>
      </c>
      <c r="B7" s="4" t="s">
        <v>18</v>
      </c>
      <c r="C7" s="4"/>
      <c r="D7" s="4"/>
    </row>
    <row r="8" spans="1:7" x14ac:dyDescent="0.25">
      <c r="B8" s="5"/>
    </row>
    <row r="9" spans="1:7" x14ac:dyDescent="0.25">
      <c r="A9" s="2" t="s">
        <v>2</v>
      </c>
      <c r="B9" s="2" t="s">
        <v>3</v>
      </c>
      <c r="C9" s="7" t="s">
        <v>4</v>
      </c>
      <c r="D9" s="7" t="s">
        <v>5</v>
      </c>
    </row>
    <row r="10" spans="1:7" x14ac:dyDescent="0.25">
      <c r="A10" s="8">
        <v>45834</v>
      </c>
      <c r="B10" s="9" t="s">
        <v>6</v>
      </c>
      <c r="C10" s="10">
        <v>48430</v>
      </c>
      <c r="D10" s="10">
        <f>C10</f>
        <v>48430</v>
      </c>
    </row>
    <row r="11" spans="1:7" x14ac:dyDescent="0.25">
      <c r="A11" s="8">
        <v>45838</v>
      </c>
      <c r="B11" s="9" t="s">
        <v>6</v>
      </c>
      <c r="C11" s="10">
        <v>14460</v>
      </c>
      <c r="D11" s="10">
        <f>D10+C11</f>
        <v>62890</v>
      </c>
    </row>
    <row r="12" spans="1:7" x14ac:dyDescent="0.25">
      <c r="A12" s="8">
        <v>45838</v>
      </c>
      <c r="B12" s="9" t="s">
        <v>7</v>
      </c>
      <c r="C12" s="10">
        <v>-16130</v>
      </c>
      <c r="D12" s="10">
        <f t="shared" ref="D12:D31" si="0">D11+C12</f>
        <v>46760</v>
      </c>
    </row>
    <row r="13" spans="1:7" x14ac:dyDescent="0.25">
      <c r="A13" s="8">
        <v>45841</v>
      </c>
      <c r="B13" s="9" t="s">
        <v>6</v>
      </c>
      <c r="C13" s="10">
        <v>15310</v>
      </c>
      <c r="D13" s="10">
        <f t="shared" si="0"/>
        <v>62070</v>
      </c>
    </row>
    <row r="14" spans="1:7" x14ac:dyDescent="0.25">
      <c r="A14" s="8">
        <v>45841</v>
      </c>
      <c r="B14" s="9" t="s">
        <v>46</v>
      </c>
      <c r="C14" s="10">
        <v>-13480</v>
      </c>
      <c r="D14" s="10">
        <f t="shared" si="0"/>
        <v>48590</v>
      </c>
    </row>
    <row r="15" spans="1:7" x14ac:dyDescent="0.25">
      <c r="A15" s="8">
        <v>45843</v>
      </c>
      <c r="B15" s="9" t="s">
        <v>6</v>
      </c>
      <c r="C15" s="10">
        <v>12150</v>
      </c>
      <c r="D15" s="11">
        <f t="shared" si="0"/>
        <v>60740</v>
      </c>
    </row>
    <row r="16" spans="1:7" x14ac:dyDescent="0.25">
      <c r="A16" s="8">
        <v>45845</v>
      </c>
      <c r="B16" s="9" t="s">
        <v>46</v>
      </c>
      <c r="C16" s="10">
        <v>-27380</v>
      </c>
      <c r="D16" s="10">
        <f t="shared" si="0"/>
        <v>33360</v>
      </c>
    </row>
    <row r="17" spans="1:4" x14ac:dyDescent="0.25">
      <c r="A17" s="8">
        <v>45848</v>
      </c>
      <c r="B17" s="9" t="s">
        <v>46</v>
      </c>
      <c r="C17" s="10">
        <v>-14280</v>
      </c>
      <c r="D17" s="10">
        <f t="shared" si="0"/>
        <v>19080</v>
      </c>
    </row>
    <row r="18" spans="1:4" x14ac:dyDescent="0.25">
      <c r="A18" s="8">
        <v>45848</v>
      </c>
      <c r="B18" s="9" t="s">
        <v>6</v>
      </c>
      <c r="C18" s="10">
        <v>20400</v>
      </c>
      <c r="D18" s="10">
        <f t="shared" si="0"/>
        <v>39480</v>
      </c>
    </row>
    <row r="19" spans="1:4" x14ac:dyDescent="0.25">
      <c r="A19" s="8">
        <v>45852</v>
      </c>
      <c r="B19" s="9" t="s">
        <v>6</v>
      </c>
      <c r="C19" s="10">
        <v>20140</v>
      </c>
      <c r="D19" s="10">
        <f t="shared" si="0"/>
        <v>59620</v>
      </c>
    </row>
    <row r="20" spans="1:4" x14ac:dyDescent="0.25">
      <c r="A20" s="8">
        <v>45852</v>
      </c>
      <c r="B20" s="9" t="s">
        <v>7</v>
      </c>
      <c r="C20" s="10">
        <v>-21400</v>
      </c>
      <c r="D20" s="10">
        <f t="shared" si="0"/>
        <v>38220</v>
      </c>
    </row>
    <row r="21" spans="1:4" x14ac:dyDescent="0.25">
      <c r="A21" s="8">
        <v>45855</v>
      </c>
      <c r="B21" s="9" t="s">
        <v>7</v>
      </c>
      <c r="C21" s="10">
        <v>-22310</v>
      </c>
      <c r="D21" s="10">
        <f t="shared" si="0"/>
        <v>15910</v>
      </c>
    </row>
    <row r="22" spans="1:4" x14ac:dyDescent="0.25">
      <c r="A22" s="8">
        <v>45855</v>
      </c>
      <c r="B22" s="9" t="s">
        <v>6</v>
      </c>
      <c r="C22" s="10">
        <v>27110</v>
      </c>
      <c r="D22" s="10">
        <f t="shared" si="0"/>
        <v>43020</v>
      </c>
    </row>
    <row r="23" spans="1:4" x14ac:dyDescent="0.25">
      <c r="A23" s="8">
        <v>45857</v>
      </c>
      <c r="B23" s="9" t="s">
        <v>6</v>
      </c>
      <c r="C23" s="10">
        <v>9370</v>
      </c>
      <c r="D23" s="10">
        <f t="shared" si="0"/>
        <v>52390</v>
      </c>
    </row>
    <row r="24" spans="1:4" x14ac:dyDescent="0.25">
      <c r="A24" s="8">
        <v>45859</v>
      </c>
      <c r="B24" s="9" t="s">
        <v>6</v>
      </c>
      <c r="C24" s="10">
        <v>16300</v>
      </c>
      <c r="D24" s="10">
        <f t="shared" si="0"/>
        <v>68690</v>
      </c>
    </row>
    <row r="25" spans="1:4" x14ac:dyDescent="0.25">
      <c r="A25" s="8">
        <v>45859</v>
      </c>
      <c r="B25" s="9" t="s">
        <v>7</v>
      </c>
      <c r="C25" s="10">
        <v>-35380</v>
      </c>
      <c r="D25" s="10">
        <f>D24+C25</f>
        <v>33310</v>
      </c>
    </row>
    <row r="26" spans="1:4" x14ac:dyDescent="0.25">
      <c r="A26" s="8">
        <v>45862</v>
      </c>
      <c r="B26" s="9" t="s">
        <v>6</v>
      </c>
      <c r="C26" s="10">
        <v>16340</v>
      </c>
      <c r="D26" s="10">
        <f t="shared" si="0"/>
        <v>49650</v>
      </c>
    </row>
    <row r="27" spans="1:4" x14ac:dyDescent="0.25">
      <c r="A27" s="8">
        <v>45862</v>
      </c>
      <c r="B27" s="9" t="s">
        <v>7</v>
      </c>
      <c r="C27" s="10">
        <v>-16300</v>
      </c>
      <c r="D27" s="10">
        <f t="shared" si="0"/>
        <v>33350</v>
      </c>
    </row>
    <row r="28" spans="1:4" x14ac:dyDescent="0.25">
      <c r="A28" s="8">
        <v>45864</v>
      </c>
      <c r="B28" s="9" t="s">
        <v>6</v>
      </c>
      <c r="C28" s="10">
        <v>7210</v>
      </c>
      <c r="D28" s="10">
        <f t="shared" si="0"/>
        <v>40560</v>
      </c>
    </row>
    <row r="29" spans="1:4" x14ac:dyDescent="0.25">
      <c r="A29" s="8">
        <v>45866</v>
      </c>
      <c r="B29" s="9" t="s">
        <v>7</v>
      </c>
      <c r="C29" s="10">
        <v>-24530</v>
      </c>
      <c r="D29" s="10">
        <f t="shared" si="0"/>
        <v>16030</v>
      </c>
    </row>
    <row r="30" spans="1:4" x14ac:dyDescent="0.25">
      <c r="A30" s="8">
        <v>45866</v>
      </c>
      <c r="B30" s="9" t="s">
        <v>6</v>
      </c>
      <c r="C30" s="10">
        <v>18920</v>
      </c>
      <c r="D30" s="10">
        <f t="shared" si="0"/>
        <v>34950</v>
      </c>
    </row>
    <row r="31" spans="1:4" x14ac:dyDescent="0.25">
      <c r="A31" s="8">
        <v>45869</v>
      </c>
      <c r="B31" s="9" t="s">
        <v>6</v>
      </c>
      <c r="C31" s="10">
        <v>19110</v>
      </c>
      <c r="D31" s="10">
        <f t="shared" si="0"/>
        <v>54060</v>
      </c>
    </row>
    <row r="32" spans="1:4" x14ac:dyDescent="0.25">
      <c r="A32" s="8">
        <v>45869</v>
      </c>
      <c r="B32" s="9" t="s">
        <v>7</v>
      </c>
      <c r="C32" s="10">
        <v>-18920</v>
      </c>
      <c r="D32" s="10">
        <f>D31+C32</f>
        <v>35140</v>
      </c>
    </row>
    <row r="33" spans="1:4" x14ac:dyDescent="0.25">
      <c r="A33" s="8">
        <v>45869</v>
      </c>
      <c r="B33" s="9" t="s">
        <v>7</v>
      </c>
      <c r="C33" s="10">
        <v>-2470</v>
      </c>
      <c r="D33" s="10">
        <f t="shared" ref="D33:D95" si="1">D32+C33</f>
        <v>32670</v>
      </c>
    </row>
    <row r="34" spans="1:4" x14ac:dyDescent="0.25">
      <c r="A34" s="8">
        <v>45871</v>
      </c>
      <c r="B34" s="9" t="s">
        <v>6</v>
      </c>
      <c r="C34" s="10">
        <v>10800</v>
      </c>
      <c r="D34" s="10">
        <f t="shared" si="1"/>
        <v>43470</v>
      </c>
    </row>
    <row r="35" spans="1:4" x14ac:dyDescent="0.25">
      <c r="A35" s="8">
        <v>45873</v>
      </c>
      <c r="B35" s="9" t="s">
        <v>44</v>
      </c>
      <c r="C35" s="10">
        <v>-1110</v>
      </c>
      <c r="D35" s="10">
        <f t="shared" si="1"/>
        <v>42360</v>
      </c>
    </row>
    <row r="36" spans="1:4" x14ac:dyDescent="0.25">
      <c r="A36" s="8">
        <v>45873</v>
      </c>
      <c r="B36" s="9" t="s">
        <v>44</v>
      </c>
      <c r="C36" s="10">
        <v>-10800</v>
      </c>
      <c r="D36" s="10">
        <f t="shared" si="1"/>
        <v>31560</v>
      </c>
    </row>
    <row r="37" spans="1:4" x14ac:dyDescent="0.25">
      <c r="A37" s="8">
        <v>45873</v>
      </c>
      <c r="B37" s="9" t="s">
        <v>46</v>
      </c>
      <c r="C37" s="10">
        <v>-18000</v>
      </c>
      <c r="D37" s="10">
        <f t="shared" si="1"/>
        <v>13560</v>
      </c>
    </row>
    <row r="38" spans="1:4" x14ac:dyDescent="0.25">
      <c r="A38" s="8">
        <v>45873</v>
      </c>
      <c r="B38" s="9" t="s">
        <v>6</v>
      </c>
      <c r="C38" s="10">
        <v>17140</v>
      </c>
      <c r="D38" s="10">
        <f t="shared" si="1"/>
        <v>30700</v>
      </c>
    </row>
    <row r="39" spans="1:4" x14ac:dyDescent="0.25">
      <c r="A39" s="8">
        <v>45876</v>
      </c>
      <c r="B39" s="9" t="s">
        <v>6</v>
      </c>
      <c r="C39" s="10">
        <v>17630</v>
      </c>
      <c r="D39" s="10">
        <f t="shared" si="1"/>
        <v>48330</v>
      </c>
    </row>
    <row r="40" spans="1:4" x14ac:dyDescent="0.25">
      <c r="A40" s="8">
        <v>45876</v>
      </c>
      <c r="B40" s="9" t="s">
        <v>46</v>
      </c>
      <c r="C40" s="10">
        <v>-17140</v>
      </c>
      <c r="D40" s="10">
        <f t="shared" si="1"/>
        <v>31190</v>
      </c>
    </row>
    <row r="41" spans="1:4" x14ac:dyDescent="0.25">
      <c r="A41" s="8">
        <v>45877</v>
      </c>
      <c r="B41" s="9" t="s">
        <v>44</v>
      </c>
      <c r="C41" s="10">
        <v>-400</v>
      </c>
      <c r="D41" s="10">
        <f t="shared" si="1"/>
        <v>30790</v>
      </c>
    </row>
    <row r="42" spans="1:4" x14ac:dyDescent="0.25">
      <c r="A42" s="8">
        <v>45880</v>
      </c>
      <c r="B42" s="9" t="s">
        <v>6</v>
      </c>
      <c r="C42" s="10">
        <v>12290</v>
      </c>
      <c r="D42" s="10">
        <f t="shared" si="1"/>
        <v>43080</v>
      </c>
    </row>
    <row r="43" spans="1:4" x14ac:dyDescent="0.25">
      <c r="A43" s="8">
        <v>45880</v>
      </c>
      <c r="B43" s="9" t="s">
        <v>46</v>
      </c>
      <c r="C43" s="10">
        <v>-16630</v>
      </c>
      <c r="D43" s="10">
        <f t="shared" si="1"/>
        <v>26450</v>
      </c>
    </row>
    <row r="44" spans="1:4" x14ac:dyDescent="0.25">
      <c r="A44" s="8">
        <v>45883</v>
      </c>
      <c r="B44" s="9" t="s">
        <v>6</v>
      </c>
      <c r="C44" s="10">
        <v>25120</v>
      </c>
      <c r="D44" s="10">
        <f t="shared" si="1"/>
        <v>51570</v>
      </c>
    </row>
    <row r="45" spans="1:4" x14ac:dyDescent="0.25">
      <c r="A45" s="8">
        <v>45883</v>
      </c>
      <c r="B45" s="9" t="s">
        <v>46</v>
      </c>
      <c r="C45" s="10">
        <v>-12290</v>
      </c>
      <c r="D45" s="10">
        <f t="shared" si="1"/>
        <v>39280</v>
      </c>
    </row>
    <row r="46" spans="1:4" x14ac:dyDescent="0.25">
      <c r="A46" s="8">
        <v>45884</v>
      </c>
      <c r="B46" s="9" t="s">
        <v>6</v>
      </c>
      <c r="C46" s="10">
        <v>3070</v>
      </c>
      <c r="D46" s="10">
        <f t="shared" si="1"/>
        <v>42350</v>
      </c>
    </row>
    <row r="47" spans="1:4" x14ac:dyDescent="0.25">
      <c r="A47" s="8">
        <v>45887</v>
      </c>
      <c r="B47" s="9" t="s">
        <v>46</v>
      </c>
      <c r="C47" s="10">
        <v>-25120</v>
      </c>
      <c r="D47" s="10">
        <f t="shared" si="1"/>
        <v>17230</v>
      </c>
    </row>
    <row r="48" spans="1:4" x14ac:dyDescent="0.25">
      <c r="A48" s="8">
        <v>45887</v>
      </c>
      <c r="B48" s="9" t="s">
        <v>6</v>
      </c>
      <c r="C48" s="10">
        <v>14190</v>
      </c>
      <c r="D48" s="10">
        <f t="shared" si="1"/>
        <v>31420</v>
      </c>
    </row>
    <row r="49" spans="1:4" x14ac:dyDescent="0.25">
      <c r="A49" s="8">
        <v>45890</v>
      </c>
      <c r="B49" s="9" t="s">
        <v>44</v>
      </c>
      <c r="C49" s="10">
        <v>-3070</v>
      </c>
      <c r="D49" s="10">
        <f t="shared" si="1"/>
        <v>28350</v>
      </c>
    </row>
    <row r="50" spans="1:4" x14ac:dyDescent="0.25">
      <c r="A50" s="8">
        <v>45890</v>
      </c>
      <c r="B50" s="9" t="s">
        <v>92</v>
      </c>
      <c r="C50" s="10">
        <v>-14190</v>
      </c>
      <c r="D50" s="10">
        <f t="shared" si="1"/>
        <v>14160</v>
      </c>
    </row>
    <row r="51" spans="1:4" x14ac:dyDescent="0.25">
      <c r="A51" s="8">
        <v>45890</v>
      </c>
      <c r="B51" s="9" t="s">
        <v>6</v>
      </c>
      <c r="C51" s="10">
        <v>30020</v>
      </c>
      <c r="D51" s="10">
        <f t="shared" si="1"/>
        <v>44180</v>
      </c>
    </row>
    <row r="52" spans="1:4" x14ac:dyDescent="0.25">
      <c r="A52" s="8">
        <v>45894</v>
      </c>
      <c r="B52" s="9" t="s">
        <v>6</v>
      </c>
      <c r="C52" s="10">
        <v>17720</v>
      </c>
      <c r="D52" s="10">
        <f t="shared" si="1"/>
        <v>61900</v>
      </c>
    </row>
    <row r="53" spans="1:4" x14ac:dyDescent="0.25">
      <c r="A53" s="8">
        <v>45894</v>
      </c>
      <c r="B53" s="9" t="s">
        <v>46</v>
      </c>
      <c r="C53" s="10">
        <v>-30020</v>
      </c>
      <c r="D53" s="10">
        <f t="shared" si="1"/>
        <v>31880</v>
      </c>
    </row>
    <row r="54" spans="1:4" x14ac:dyDescent="0.25">
      <c r="A54" s="8">
        <v>45897</v>
      </c>
      <c r="B54" s="9" t="s">
        <v>6</v>
      </c>
      <c r="C54" s="10">
        <v>32180</v>
      </c>
      <c r="D54" s="10">
        <f t="shared" si="1"/>
        <v>64060</v>
      </c>
    </row>
    <row r="55" spans="1:4" x14ac:dyDescent="0.25">
      <c r="A55" s="8">
        <v>45897</v>
      </c>
      <c r="B55" s="9" t="s">
        <v>92</v>
      </c>
      <c r="C55" s="10">
        <v>-13720</v>
      </c>
      <c r="D55" s="10">
        <f t="shared" si="1"/>
        <v>50340</v>
      </c>
    </row>
    <row r="56" spans="1:4" x14ac:dyDescent="0.25">
      <c r="A56" s="8">
        <v>45897</v>
      </c>
      <c r="B56" s="9" t="s">
        <v>103</v>
      </c>
      <c r="C56" s="10">
        <v>-4000</v>
      </c>
      <c r="D56" s="10">
        <f t="shared" si="1"/>
        <v>46340</v>
      </c>
    </row>
    <row r="57" spans="1:4" x14ac:dyDescent="0.25">
      <c r="A57" s="8">
        <v>45901</v>
      </c>
      <c r="B57" s="9" t="s">
        <v>6</v>
      </c>
      <c r="C57" s="10">
        <v>15540</v>
      </c>
      <c r="D57" s="10">
        <f t="shared" si="1"/>
        <v>61880</v>
      </c>
    </row>
    <row r="58" spans="1:4" x14ac:dyDescent="0.25">
      <c r="A58" s="8">
        <v>45901</v>
      </c>
      <c r="B58" s="9" t="s">
        <v>104</v>
      </c>
      <c r="C58" s="10">
        <v>-3650</v>
      </c>
      <c r="D58" s="10">
        <f t="shared" si="1"/>
        <v>58230</v>
      </c>
    </row>
    <row r="59" spans="1:4" x14ac:dyDescent="0.25">
      <c r="A59" s="8">
        <v>45901</v>
      </c>
      <c r="B59" s="9" t="s">
        <v>46</v>
      </c>
      <c r="C59" s="10">
        <v>-28530</v>
      </c>
      <c r="D59" s="10">
        <f t="shared" si="1"/>
        <v>29700</v>
      </c>
    </row>
    <row r="60" spans="1:4" x14ac:dyDescent="0.25">
      <c r="A60" s="8">
        <v>45904</v>
      </c>
      <c r="B60" s="9" t="s">
        <v>6</v>
      </c>
      <c r="C60" s="10">
        <v>17670</v>
      </c>
      <c r="D60" s="10">
        <f t="shared" si="1"/>
        <v>47370</v>
      </c>
    </row>
    <row r="61" spans="1:4" x14ac:dyDescent="0.25">
      <c r="A61" s="8">
        <v>45905</v>
      </c>
      <c r="B61" s="9" t="s">
        <v>46</v>
      </c>
      <c r="C61" s="10">
        <v>-15540</v>
      </c>
      <c r="D61" s="10">
        <f t="shared" si="1"/>
        <v>31830</v>
      </c>
    </row>
    <row r="62" spans="1:4" x14ac:dyDescent="0.25">
      <c r="A62" s="8">
        <v>45905</v>
      </c>
      <c r="B62" s="9" t="s">
        <v>6</v>
      </c>
      <c r="C62" s="10">
        <v>16040</v>
      </c>
      <c r="D62" s="10">
        <f t="shared" si="1"/>
        <v>47870</v>
      </c>
    </row>
    <row r="63" spans="1:4" x14ac:dyDescent="0.25">
      <c r="A63" s="8">
        <v>45908</v>
      </c>
      <c r="B63" s="9" t="s">
        <v>6</v>
      </c>
      <c r="C63" s="10">
        <v>16630</v>
      </c>
      <c r="D63" s="10">
        <f t="shared" si="1"/>
        <v>64500</v>
      </c>
    </row>
    <row r="64" spans="1:4" x14ac:dyDescent="0.25">
      <c r="A64" s="8">
        <v>45908</v>
      </c>
      <c r="B64" s="9" t="s">
        <v>46</v>
      </c>
      <c r="C64" s="10">
        <v>-25310</v>
      </c>
      <c r="D64" s="10">
        <f t="shared" si="1"/>
        <v>39190</v>
      </c>
    </row>
    <row r="65" spans="1:4" x14ac:dyDescent="0.25">
      <c r="A65" s="8">
        <v>45908</v>
      </c>
      <c r="B65" s="9" t="s">
        <v>44</v>
      </c>
      <c r="C65" s="10">
        <v>-7600</v>
      </c>
      <c r="D65" s="10">
        <f t="shared" si="1"/>
        <v>31590</v>
      </c>
    </row>
    <row r="66" spans="1:4" x14ac:dyDescent="0.25">
      <c r="A66" s="8">
        <v>45911</v>
      </c>
      <c r="B66" s="9" t="s">
        <v>6</v>
      </c>
      <c r="C66" s="10">
        <v>27570</v>
      </c>
      <c r="D66" s="10">
        <f t="shared" si="1"/>
        <v>59160</v>
      </c>
    </row>
    <row r="67" spans="1:4" x14ac:dyDescent="0.25">
      <c r="A67" s="8">
        <v>45911</v>
      </c>
      <c r="B67" s="9" t="s">
        <v>46</v>
      </c>
      <c r="C67" s="10">
        <v>-16630</v>
      </c>
      <c r="D67" s="10">
        <f t="shared" si="1"/>
        <v>42530</v>
      </c>
    </row>
    <row r="68" spans="1:4" x14ac:dyDescent="0.25">
      <c r="A68" s="8">
        <v>45914</v>
      </c>
      <c r="B68" s="9" t="s">
        <v>44</v>
      </c>
      <c r="C68" s="10">
        <v>-5290</v>
      </c>
      <c r="D68" s="10">
        <f t="shared" si="1"/>
        <v>37240</v>
      </c>
    </row>
    <row r="69" spans="1:4" x14ac:dyDescent="0.25">
      <c r="A69" s="8">
        <v>45915</v>
      </c>
      <c r="B69" s="9" t="s">
        <v>6</v>
      </c>
      <c r="C69" s="10">
        <v>26580</v>
      </c>
      <c r="D69" s="10">
        <f t="shared" si="1"/>
        <v>63820</v>
      </c>
    </row>
    <row r="70" spans="1:4" x14ac:dyDescent="0.25">
      <c r="A70" s="8">
        <v>45915</v>
      </c>
      <c r="B70" s="9" t="s">
        <v>46</v>
      </c>
      <c r="C70" s="10">
        <v>-3710</v>
      </c>
      <c r="D70" s="10">
        <f t="shared" si="1"/>
        <v>60110</v>
      </c>
    </row>
    <row r="71" spans="1:4" x14ac:dyDescent="0.25">
      <c r="A71" s="8">
        <v>45918</v>
      </c>
      <c r="B71" s="9" t="s">
        <v>6</v>
      </c>
      <c r="C71" s="10">
        <v>82910</v>
      </c>
      <c r="D71" s="10">
        <f t="shared" si="1"/>
        <v>143020</v>
      </c>
    </row>
    <row r="72" spans="1:4" x14ac:dyDescent="0.25">
      <c r="A72" s="8">
        <v>45918</v>
      </c>
      <c r="B72" s="9" t="s">
        <v>44</v>
      </c>
      <c r="C72" s="10">
        <v>-26480</v>
      </c>
      <c r="D72" s="10">
        <f t="shared" si="1"/>
        <v>116540</v>
      </c>
    </row>
    <row r="73" spans="1:4" x14ac:dyDescent="0.25">
      <c r="A73" s="8">
        <v>45922</v>
      </c>
      <c r="B73" s="9" t="s">
        <v>46</v>
      </c>
      <c r="C73" s="10">
        <v>-77050</v>
      </c>
      <c r="D73" s="10">
        <f t="shared" si="1"/>
        <v>39490</v>
      </c>
    </row>
    <row r="74" spans="1:4" x14ac:dyDescent="0.25">
      <c r="A74" s="8">
        <v>45922</v>
      </c>
      <c r="B74" s="9" t="s">
        <v>44</v>
      </c>
      <c r="C74" s="10">
        <v>-5860</v>
      </c>
      <c r="D74" s="10">
        <f t="shared" si="1"/>
        <v>33630</v>
      </c>
    </row>
    <row r="75" spans="1:4" x14ac:dyDescent="0.25">
      <c r="A75" s="23" t="s">
        <v>125</v>
      </c>
      <c r="B75" s="9" t="s">
        <v>126</v>
      </c>
      <c r="C75" s="10">
        <v>21360</v>
      </c>
      <c r="D75" s="10">
        <f t="shared" si="1"/>
        <v>54990</v>
      </c>
    </row>
    <row r="76" spans="1:4" x14ac:dyDescent="0.25">
      <c r="A76" s="8">
        <v>45924</v>
      </c>
      <c r="B76" s="9" t="s">
        <v>127</v>
      </c>
      <c r="C76" s="10">
        <v>-20000</v>
      </c>
      <c r="D76" s="10">
        <f t="shared" si="1"/>
        <v>34990</v>
      </c>
    </row>
    <row r="77" spans="1:4" x14ac:dyDescent="0.25">
      <c r="A77" s="23" t="s">
        <v>128</v>
      </c>
      <c r="B77" s="9" t="s">
        <v>6</v>
      </c>
      <c r="C77" s="10">
        <v>17600</v>
      </c>
      <c r="D77" s="10">
        <f t="shared" si="1"/>
        <v>52590</v>
      </c>
    </row>
    <row r="78" spans="1:4" x14ac:dyDescent="0.25">
      <c r="A78" s="8">
        <v>45922</v>
      </c>
      <c r="B78" s="9" t="s">
        <v>6</v>
      </c>
      <c r="C78" s="10">
        <v>15300</v>
      </c>
      <c r="D78" s="10">
        <f t="shared" si="1"/>
        <v>67890</v>
      </c>
    </row>
    <row r="79" spans="1:4" x14ac:dyDescent="0.25">
      <c r="A79" s="8">
        <v>45929</v>
      </c>
      <c r="B79" s="9" t="s">
        <v>6</v>
      </c>
      <c r="C79" s="10">
        <v>26070</v>
      </c>
      <c r="D79" s="10">
        <f t="shared" si="1"/>
        <v>93960</v>
      </c>
    </row>
    <row r="80" spans="1:4" x14ac:dyDescent="0.25">
      <c r="A80" s="8">
        <v>45929</v>
      </c>
      <c r="B80" s="9" t="s">
        <v>134</v>
      </c>
      <c r="C80" s="10">
        <v>-39510</v>
      </c>
      <c r="D80" s="10">
        <f t="shared" si="1"/>
        <v>54450</v>
      </c>
    </row>
    <row r="81" spans="1:4" x14ac:dyDescent="0.25">
      <c r="A81" s="23" t="s">
        <v>135</v>
      </c>
      <c r="B81" s="9" t="s">
        <v>6</v>
      </c>
      <c r="C81" s="10">
        <v>3220</v>
      </c>
      <c r="D81" s="10">
        <f t="shared" si="1"/>
        <v>57670</v>
      </c>
    </row>
    <row r="82" spans="1:4" x14ac:dyDescent="0.25">
      <c r="A82" s="8">
        <v>45932</v>
      </c>
      <c r="B82" s="9" t="s">
        <v>6</v>
      </c>
      <c r="C82" s="10">
        <v>20550</v>
      </c>
      <c r="D82" s="10">
        <f t="shared" si="1"/>
        <v>78220</v>
      </c>
    </row>
    <row r="83" spans="1:4" x14ac:dyDescent="0.25">
      <c r="A83" s="8">
        <v>45932</v>
      </c>
      <c r="B83" s="9" t="s">
        <v>165</v>
      </c>
      <c r="C83" s="10">
        <v>-29240</v>
      </c>
      <c r="D83" s="10">
        <f t="shared" si="1"/>
        <v>48980</v>
      </c>
    </row>
    <row r="84" spans="1:4" x14ac:dyDescent="0.25">
      <c r="A84" s="8">
        <v>45936</v>
      </c>
      <c r="B84" s="9" t="s">
        <v>6</v>
      </c>
      <c r="C84" s="10">
        <v>13640</v>
      </c>
      <c r="D84" s="10">
        <f t="shared" si="1"/>
        <v>62620</v>
      </c>
    </row>
    <row r="85" spans="1:4" x14ac:dyDescent="0.25">
      <c r="A85" s="8">
        <v>45936</v>
      </c>
      <c r="B85" s="9" t="s">
        <v>46</v>
      </c>
      <c r="C85" s="10">
        <v>-20550</v>
      </c>
      <c r="D85" s="10">
        <f t="shared" si="1"/>
        <v>42070</v>
      </c>
    </row>
    <row r="86" spans="1:4" x14ac:dyDescent="0.25">
      <c r="A86" s="8">
        <v>45939</v>
      </c>
      <c r="B86" s="9" t="s">
        <v>6</v>
      </c>
      <c r="C86" s="10">
        <v>17710</v>
      </c>
      <c r="D86" s="10">
        <f t="shared" si="1"/>
        <v>59780</v>
      </c>
    </row>
    <row r="87" spans="1:4" x14ac:dyDescent="0.25">
      <c r="A87" s="8">
        <v>45939</v>
      </c>
      <c r="B87" s="9" t="s">
        <v>178</v>
      </c>
      <c r="C87" s="10">
        <v>-13640</v>
      </c>
      <c r="D87" s="10">
        <f t="shared" si="1"/>
        <v>46140</v>
      </c>
    </row>
    <row r="88" spans="1:4" x14ac:dyDescent="0.25">
      <c r="A88" s="8">
        <v>45943</v>
      </c>
      <c r="B88" s="9" t="s">
        <v>6</v>
      </c>
      <c r="C88" s="10">
        <v>16140</v>
      </c>
      <c r="D88" s="10">
        <f t="shared" si="1"/>
        <v>62280</v>
      </c>
    </row>
    <row r="89" spans="1:4" x14ac:dyDescent="0.25">
      <c r="A89" s="8">
        <v>45943</v>
      </c>
      <c r="B89" s="9" t="s">
        <v>178</v>
      </c>
      <c r="C89" s="10">
        <v>-17700</v>
      </c>
      <c r="D89" s="10">
        <f t="shared" si="1"/>
        <v>44580</v>
      </c>
    </row>
    <row r="90" spans="1:4" x14ac:dyDescent="0.25">
      <c r="A90" s="8">
        <v>45946</v>
      </c>
      <c r="B90" s="9" t="s">
        <v>6</v>
      </c>
      <c r="C90" s="10">
        <v>30380</v>
      </c>
      <c r="D90" s="10">
        <f t="shared" si="1"/>
        <v>74960</v>
      </c>
    </row>
    <row r="91" spans="1:4" x14ac:dyDescent="0.25">
      <c r="A91" s="8">
        <v>45946</v>
      </c>
      <c r="B91" s="9" t="s">
        <v>178</v>
      </c>
      <c r="C91" s="10">
        <v>-16140</v>
      </c>
      <c r="D91" s="10">
        <f t="shared" si="1"/>
        <v>58820</v>
      </c>
    </row>
    <row r="92" spans="1:4" x14ac:dyDescent="0.25">
      <c r="A92" s="8">
        <v>45947</v>
      </c>
      <c r="B92" s="9" t="s">
        <v>129</v>
      </c>
      <c r="C92" s="10">
        <v>10030</v>
      </c>
      <c r="D92" s="10">
        <f t="shared" si="1"/>
        <v>68850</v>
      </c>
    </row>
    <row r="93" spans="1:4" x14ac:dyDescent="0.25">
      <c r="A93" s="8">
        <v>45948</v>
      </c>
      <c r="B93" s="9" t="s">
        <v>129</v>
      </c>
      <c r="C93" s="10">
        <v>9500</v>
      </c>
      <c r="D93" s="10">
        <f t="shared" si="1"/>
        <v>78350</v>
      </c>
    </row>
    <row r="94" spans="1:4" x14ac:dyDescent="0.25">
      <c r="A94" s="8">
        <v>45950</v>
      </c>
      <c r="B94" s="9" t="s">
        <v>3</v>
      </c>
      <c r="C94" s="10">
        <v>14050</v>
      </c>
      <c r="D94" s="10">
        <f t="shared" si="1"/>
        <v>92400</v>
      </c>
    </row>
    <row r="95" spans="1:4" x14ac:dyDescent="0.25">
      <c r="A95" s="8">
        <v>45950</v>
      </c>
      <c r="B95" s="9" t="s">
        <v>178</v>
      </c>
      <c r="C95" s="10">
        <v>-40410</v>
      </c>
      <c r="D95" s="10">
        <f t="shared" si="1"/>
        <v>51990</v>
      </c>
    </row>
    <row r="96" spans="1:4" x14ac:dyDescent="0.25">
      <c r="A96" s="8">
        <v>45953</v>
      </c>
      <c r="B96" s="9" t="s">
        <v>3</v>
      </c>
      <c r="C96" s="10">
        <v>19600</v>
      </c>
      <c r="D96" s="10">
        <f t="shared" ref="D96:D160" si="2">D95+C96</f>
        <v>71590</v>
      </c>
    </row>
    <row r="97" spans="1:4" x14ac:dyDescent="0.25">
      <c r="A97" s="8">
        <v>45953</v>
      </c>
      <c r="B97" s="9" t="s">
        <v>178</v>
      </c>
      <c r="C97" s="10">
        <v>-23550</v>
      </c>
      <c r="D97" s="10">
        <f t="shared" si="2"/>
        <v>48040</v>
      </c>
    </row>
    <row r="98" spans="1:4" x14ac:dyDescent="0.25">
      <c r="A98" s="8">
        <v>45957</v>
      </c>
      <c r="B98" s="9" t="s">
        <v>3</v>
      </c>
      <c r="C98" s="10">
        <v>27670</v>
      </c>
      <c r="D98" s="10">
        <f t="shared" si="2"/>
        <v>75710</v>
      </c>
    </row>
    <row r="99" spans="1:4" x14ac:dyDescent="0.25">
      <c r="A99" s="8">
        <v>45957</v>
      </c>
      <c r="B99" s="9" t="s">
        <v>178</v>
      </c>
      <c r="C99" s="10">
        <v>-19600</v>
      </c>
      <c r="D99" s="10">
        <f t="shared" si="2"/>
        <v>56110</v>
      </c>
    </row>
    <row r="100" spans="1:4" x14ac:dyDescent="0.25">
      <c r="A100" s="8">
        <v>45958</v>
      </c>
      <c r="B100" s="9" t="s">
        <v>3</v>
      </c>
      <c r="C100" s="10">
        <v>8030</v>
      </c>
      <c r="D100" s="10">
        <f t="shared" si="2"/>
        <v>64140</v>
      </c>
    </row>
    <row r="101" spans="1:4" x14ac:dyDescent="0.25">
      <c r="A101" s="8">
        <v>45960</v>
      </c>
      <c r="B101" s="9" t="s">
        <v>3</v>
      </c>
      <c r="C101" s="10">
        <v>46030</v>
      </c>
      <c r="D101" s="10">
        <f t="shared" si="2"/>
        <v>110170</v>
      </c>
    </row>
    <row r="102" spans="1:4" x14ac:dyDescent="0.25">
      <c r="A102" s="8">
        <v>45960</v>
      </c>
      <c r="B102" s="9" t="s">
        <v>178</v>
      </c>
      <c r="C102" s="10">
        <v>-27670</v>
      </c>
      <c r="D102" s="10">
        <f t="shared" si="2"/>
        <v>82500</v>
      </c>
    </row>
    <row r="103" spans="1:4" x14ac:dyDescent="0.25">
      <c r="A103" s="8">
        <v>45961</v>
      </c>
      <c r="B103" s="9" t="s">
        <v>3</v>
      </c>
      <c r="C103" s="10">
        <v>6750</v>
      </c>
      <c r="D103" s="10">
        <f t="shared" si="2"/>
        <v>89250</v>
      </c>
    </row>
    <row r="104" spans="1:4" x14ac:dyDescent="0.25">
      <c r="A104" s="13">
        <v>45962</v>
      </c>
      <c r="B104" s="9" t="s">
        <v>3</v>
      </c>
      <c r="C104" s="10">
        <v>7100</v>
      </c>
      <c r="D104" s="10">
        <f t="shared" si="2"/>
        <v>96350</v>
      </c>
    </row>
    <row r="105" spans="1:4" x14ac:dyDescent="0.25">
      <c r="A105" s="8">
        <v>45962</v>
      </c>
      <c r="B105" s="9" t="s">
        <v>3</v>
      </c>
      <c r="C105" s="10">
        <v>11700</v>
      </c>
      <c r="D105" s="10">
        <f t="shared" si="2"/>
        <v>108050</v>
      </c>
    </row>
    <row r="106" spans="1:4" x14ac:dyDescent="0.25">
      <c r="A106" s="8">
        <v>45963</v>
      </c>
      <c r="B106" s="9" t="s">
        <v>3</v>
      </c>
      <c r="C106" s="10">
        <v>11350</v>
      </c>
      <c r="D106" s="10">
        <f t="shared" si="2"/>
        <v>119400</v>
      </c>
    </row>
    <row r="107" spans="1:4" x14ac:dyDescent="0.25">
      <c r="A107" s="8">
        <v>45964</v>
      </c>
      <c r="B107" s="9" t="s">
        <v>3</v>
      </c>
      <c r="C107" s="10">
        <v>10160</v>
      </c>
      <c r="D107" s="10">
        <f t="shared" si="2"/>
        <v>129560</v>
      </c>
    </row>
    <row r="108" spans="1:4" x14ac:dyDescent="0.25">
      <c r="A108" s="8">
        <v>45964</v>
      </c>
      <c r="B108" s="9" t="s">
        <v>219</v>
      </c>
      <c r="C108" s="10">
        <v>-90960</v>
      </c>
      <c r="D108" s="10">
        <f t="shared" si="2"/>
        <v>38600</v>
      </c>
    </row>
    <row r="109" spans="1:4" x14ac:dyDescent="0.25">
      <c r="A109" s="8">
        <v>45967</v>
      </c>
      <c r="B109" s="9" t="s">
        <v>3</v>
      </c>
      <c r="C109" s="10">
        <v>34970</v>
      </c>
      <c r="D109" s="10">
        <f t="shared" si="2"/>
        <v>73570</v>
      </c>
    </row>
    <row r="110" spans="1:4" x14ac:dyDescent="0.25">
      <c r="A110" s="8">
        <v>45971</v>
      </c>
      <c r="B110" s="9" t="s">
        <v>3</v>
      </c>
      <c r="C110" s="10">
        <v>12590</v>
      </c>
      <c r="D110" s="10">
        <f t="shared" si="2"/>
        <v>86160</v>
      </c>
    </row>
    <row r="111" spans="1:4" x14ac:dyDescent="0.25">
      <c r="A111" s="8">
        <v>45974</v>
      </c>
      <c r="B111" s="9" t="s">
        <v>3</v>
      </c>
      <c r="C111" s="10">
        <v>28475</v>
      </c>
      <c r="D111" s="10">
        <f t="shared" si="2"/>
        <v>114635</v>
      </c>
    </row>
    <row r="112" spans="1:4" x14ac:dyDescent="0.25">
      <c r="A112" s="8">
        <v>45974</v>
      </c>
      <c r="B112" s="9" t="s">
        <v>92</v>
      </c>
      <c r="C112" s="10">
        <v>-34970</v>
      </c>
      <c r="D112" s="10">
        <f t="shared" si="2"/>
        <v>79665</v>
      </c>
    </row>
    <row r="113" spans="1:4" x14ac:dyDescent="0.25">
      <c r="A113" s="8">
        <v>45978</v>
      </c>
      <c r="B113" s="9" t="s">
        <v>3</v>
      </c>
      <c r="C113" s="10">
        <v>25790</v>
      </c>
      <c r="D113" s="10">
        <f t="shared" si="2"/>
        <v>105455</v>
      </c>
    </row>
    <row r="114" spans="1:4" x14ac:dyDescent="0.25">
      <c r="A114" s="8">
        <v>45981</v>
      </c>
      <c r="B114" s="9" t="s">
        <v>3</v>
      </c>
      <c r="C114" s="10">
        <v>23580</v>
      </c>
      <c r="D114" s="10">
        <f t="shared" si="2"/>
        <v>129035</v>
      </c>
    </row>
    <row r="115" spans="1:4" x14ac:dyDescent="0.25">
      <c r="A115" s="8">
        <v>45981</v>
      </c>
      <c r="B115" s="9" t="s">
        <v>92</v>
      </c>
      <c r="C115" s="10">
        <v>-13960</v>
      </c>
      <c r="D115" s="10">
        <f t="shared" si="2"/>
        <v>115075</v>
      </c>
    </row>
    <row r="116" spans="1:4" x14ac:dyDescent="0.25">
      <c r="A116" s="8">
        <v>45985</v>
      </c>
      <c r="B116" s="9" t="s">
        <v>3</v>
      </c>
      <c r="C116" s="10">
        <v>12460</v>
      </c>
      <c r="D116" s="10">
        <f t="shared" si="2"/>
        <v>127535</v>
      </c>
    </row>
    <row r="117" spans="1:4" x14ac:dyDescent="0.25">
      <c r="A117" s="8">
        <v>45985</v>
      </c>
      <c r="B117" s="9" t="s">
        <v>7</v>
      </c>
      <c r="C117" s="10">
        <v>-53000</v>
      </c>
      <c r="D117" s="10">
        <f t="shared" si="2"/>
        <v>74535</v>
      </c>
    </row>
    <row r="118" spans="1:4" x14ac:dyDescent="0.25">
      <c r="A118" s="8">
        <v>45986</v>
      </c>
      <c r="B118" s="9" t="s">
        <v>3</v>
      </c>
      <c r="C118" s="10">
        <v>5500</v>
      </c>
      <c r="D118" s="10">
        <f t="shared" si="2"/>
        <v>80035</v>
      </c>
    </row>
    <row r="119" spans="1:4" x14ac:dyDescent="0.25">
      <c r="A119" s="8">
        <v>45988</v>
      </c>
      <c r="B119" s="9" t="s">
        <v>3</v>
      </c>
      <c r="C119" s="10">
        <v>13780</v>
      </c>
      <c r="D119" s="10">
        <f t="shared" si="2"/>
        <v>93815</v>
      </c>
    </row>
    <row r="120" spans="1:4" x14ac:dyDescent="0.25">
      <c r="A120" s="8">
        <v>45988</v>
      </c>
      <c r="B120" s="9" t="s">
        <v>92</v>
      </c>
      <c r="C120" s="10">
        <v>-12930</v>
      </c>
      <c r="D120" s="10">
        <f t="shared" si="2"/>
        <v>80885</v>
      </c>
    </row>
    <row r="121" spans="1:4" x14ac:dyDescent="0.25">
      <c r="A121" s="8">
        <v>45989</v>
      </c>
      <c r="B121" s="9" t="s">
        <v>129</v>
      </c>
      <c r="C121" s="10">
        <v>9520</v>
      </c>
      <c r="D121" s="10">
        <f t="shared" si="2"/>
        <v>90405</v>
      </c>
    </row>
    <row r="122" spans="1:4" x14ac:dyDescent="0.25">
      <c r="A122" s="8">
        <v>45992</v>
      </c>
      <c r="B122" s="9" t="s">
        <v>3</v>
      </c>
      <c r="C122" s="10">
        <v>21090</v>
      </c>
      <c r="D122" s="10">
        <f t="shared" si="2"/>
        <v>111495</v>
      </c>
    </row>
    <row r="123" spans="1:4" x14ac:dyDescent="0.25">
      <c r="A123" s="8">
        <v>45992</v>
      </c>
      <c r="B123" s="9" t="s">
        <v>92</v>
      </c>
      <c r="C123" s="10">
        <v>-29080</v>
      </c>
      <c r="D123" s="10">
        <f t="shared" si="2"/>
        <v>82415</v>
      </c>
    </row>
    <row r="124" spans="1:4" x14ac:dyDescent="0.25">
      <c r="A124" s="8">
        <v>45992</v>
      </c>
      <c r="B124" s="9" t="s">
        <v>150</v>
      </c>
      <c r="C124" s="10">
        <v>-3320</v>
      </c>
      <c r="D124" s="10">
        <f t="shared" si="2"/>
        <v>79095</v>
      </c>
    </row>
    <row r="125" spans="1:4" x14ac:dyDescent="0.25">
      <c r="A125" s="8">
        <v>45995</v>
      </c>
      <c r="B125" s="9" t="s">
        <v>3</v>
      </c>
      <c r="C125" s="10">
        <v>16680</v>
      </c>
      <c r="D125" s="10">
        <f t="shared" si="2"/>
        <v>95775</v>
      </c>
    </row>
    <row r="126" spans="1:4" x14ac:dyDescent="0.25">
      <c r="A126" s="8">
        <v>45995</v>
      </c>
      <c r="B126" s="9" t="s">
        <v>92</v>
      </c>
      <c r="C126" s="10">
        <v>-23210</v>
      </c>
      <c r="D126" s="10">
        <f t="shared" si="2"/>
        <v>72565</v>
      </c>
    </row>
    <row r="127" spans="1:4" x14ac:dyDescent="0.25">
      <c r="A127" s="8">
        <v>45995</v>
      </c>
      <c r="B127" s="9" t="s">
        <v>259</v>
      </c>
      <c r="C127" s="10">
        <v>-9790</v>
      </c>
      <c r="D127" s="10">
        <f t="shared" si="2"/>
        <v>62775</v>
      </c>
    </row>
    <row r="128" spans="1:4" x14ac:dyDescent="0.25">
      <c r="A128" s="8">
        <v>45997</v>
      </c>
      <c r="B128" s="9" t="s">
        <v>3</v>
      </c>
      <c r="C128" s="10">
        <v>5275</v>
      </c>
      <c r="D128" s="10">
        <f t="shared" si="2"/>
        <v>68050</v>
      </c>
    </row>
    <row r="129" spans="1:4" x14ac:dyDescent="0.25">
      <c r="A129" s="8">
        <v>45999</v>
      </c>
      <c r="B129" s="9" t="s">
        <v>3</v>
      </c>
      <c r="C129" s="10">
        <v>20120</v>
      </c>
      <c r="D129" s="10">
        <f t="shared" si="2"/>
        <v>88170</v>
      </c>
    </row>
    <row r="130" spans="1:4" x14ac:dyDescent="0.25">
      <c r="A130" s="8">
        <v>45999</v>
      </c>
      <c r="B130" s="9" t="s">
        <v>92</v>
      </c>
      <c r="C130" s="10">
        <v>-20000</v>
      </c>
      <c r="D130" s="10">
        <f t="shared" si="2"/>
        <v>68170</v>
      </c>
    </row>
    <row r="131" spans="1:4" x14ac:dyDescent="0.25">
      <c r="A131" s="8">
        <v>46002</v>
      </c>
      <c r="B131" s="9" t="s">
        <v>3</v>
      </c>
      <c r="C131" s="10">
        <v>45470</v>
      </c>
      <c r="D131" s="10">
        <f t="shared" si="2"/>
        <v>113640</v>
      </c>
    </row>
    <row r="132" spans="1:4" x14ac:dyDescent="0.25">
      <c r="A132" s="8">
        <v>46002</v>
      </c>
      <c r="B132" s="9" t="s">
        <v>7</v>
      </c>
      <c r="C132" s="10">
        <v>-26485</v>
      </c>
      <c r="D132" s="10">
        <f t="shared" si="2"/>
        <v>87155</v>
      </c>
    </row>
    <row r="133" spans="1:4" x14ac:dyDescent="0.25">
      <c r="A133" s="8">
        <v>46002</v>
      </c>
      <c r="B133" s="9" t="s">
        <v>127</v>
      </c>
      <c r="C133" s="10">
        <v>-3000</v>
      </c>
      <c r="D133" s="10">
        <f t="shared" si="2"/>
        <v>84155</v>
      </c>
    </row>
    <row r="134" spans="1:4" x14ac:dyDescent="0.25">
      <c r="A134" s="8">
        <v>46003</v>
      </c>
      <c r="B134" s="9" t="s">
        <v>129</v>
      </c>
      <c r="C134" s="10">
        <v>8450</v>
      </c>
      <c r="D134" s="10">
        <f t="shared" si="2"/>
        <v>92605</v>
      </c>
    </row>
    <row r="135" spans="1:4" x14ac:dyDescent="0.25">
      <c r="A135" s="8">
        <v>46004</v>
      </c>
      <c r="B135" s="9" t="s">
        <v>129</v>
      </c>
      <c r="C135" s="10">
        <v>15810</v>
      </c>
      <c r="D135" s="10">
        <f t="shared" si="2"/>
        <v>108415</v>
      </c>
    </row>
    <row r="136" spans="1:4" x14ac:dyDescent="0.25">
      <c r="A136" s="8">
        <v>46006</v>
      </c>
      <c r="B136" s="9" t="s">
        <v>3</v>
      </c>
      <c r="C136" s="10">
        <v>14840</v>
      </c>
      <c r="D136" s="10">
        <f t="shared" si="2"/>
        <v>123255</v>
      </c>
    </row>
    <row r="137" spans="1:4" x14ac:dyDescent="0.25">
      <c r="A137" s="8">
        <v>46006</v>
      </c>
      <c r="B137" s="9" t="s">
        <v>92</v>
      </c>
      <c r="C137" s="10">
        <v>-26000</v>
      </c>
      <c r="D137" s="10">
        <f t="shared" si="2"/>
        <v>97255</v>
      </c>
    </row>
    <row r="138" spans="1:4" x14ac:dyDescent="0.25">
      <c r="A138" s="8">
        <v>46009</v>
      </c>
      <c r="B138" s="9" t="s">
        <v>3</v>
      </c>
      <c r="C138" s="10">
        <v>23280</v>
      </c>
      <c r="D138" s="10">
        <f t="shared" si="2"/>
        <v>120535</v>
      </c>
    </row>
    <row r="139" spans="1:4" x14ac:dyDescent="0.25">
      <c r="A139" s="8">
        <v>46009</v>
      </c>
      <c r="B139" s="9" t="s">
        <v>92</v>
      </c>
      <c r="C139" s="10">
        <v>-37930</v>
      </c>
      <c r="D139" s="10">
        <f t="shared" si="2"/>
        <v>82605</v>
      </c>
    </row>
    <row r="140" spans="1:4" x14ac:dyDescent="0.25">
      <c r="A140" s="8">
        <v>46009</v>
      </c>
      <c r="B140" s="9" t="s">
        <v>266</v>
      </c>
      <c r="C140" s="10">
        <v>-970</v>
      </c>
      <c r="D140" s="10">
        <f t="shared" si="2"/>
        <v>81635</v>
      </c>
    </row>
    <row r="141" spans="1:4" x14ac:dyDescent="0.25">
      <c r="A141" s="8">
        <v>46011</v>
      </c>
      <c r="B141" s="9" t="s">
        <v>148</v>
      </c>
      <c r="C141" s="10">
        <v>11900</v>
      </c>
      <c r="D141" s="10">
        <f t="shared" si="2"/>
        <v>93535</v>
      </c>
    </row>
    <row r="142" spans="1:4" x14ac:dyDescent="0.25">
      <c r="A142" s="8">
        <v>46013</v>
      </c>
      <c r="B142" s="9" t="s">
        <v>3</v>
      </c>
      <c r="C142" s="10">
        <v>12480</v>
      </c>
      <c r="D142" s="10">
        <f t="shared" si="2"/>
        <v>106015</v>
      </c>
    </row>
    <row r="143" spans="1:4" x14ac:dyDescent="0.25">
      <c r="A143" s="8">
        <v>46013</v>
      </c>
      <c r="B143" s="9" t="s">
        <v>7</v>
      </c>
      <c r="C143" s="10">
        <v>-23280</v>
      </c>
      <c r="D143" s="10">
        <f t="shared" si="2"/>
        <v>82735</v>
      </c>
    </row>
    <row r="144" spans="1:4" x14ac:dyDescent="0.25">
      <c r="A144" s="8">
        <v>46014</v>
      </c>
      <c r="B144" s="9" t="s">
        <v>3</v>
      </c>
      <c r="C144" s="10">
        <v>15940</v>
      </c>
      <c r="D144" s="10">
        <f t="shared" si="2"/>
        <v>98675</v>
      </c>
    </row>
    <row r="145" spans="1:4" x14ac:dyDescent="0.25">
      <c r="A145" s="8">
        <v>46016</v>
      </c>
      <c r="B145" s="9" t="s">
        <v>3</v>
      </c>
      <c r="C145" s="10">
        <v>20310</v>
      </c>
      <c r="D145" s="10">
        <f t="shared" si="2"/>
        <v>118985</v>
      </c>
    </row>
    <row r="146" spans="1:4" x14ac:dyDescent="0.25">
      <c r="A146" s="8">
        <v>46016</v>
      </c>
      <c r="B146" s="9" t="s">
        <v>92</v>
      </c>
      <c r="C146" s="10">
        <v>-35000</v>
      </c>
      <c r="D146" s="10">
        <f t="shared" si="2"/>
        <v>83985</v>
      </c>
    </row>
    <row r="147" spans="1:4" x14ac:dyDescent="0.25">
      <c r="A147" s="8">
        <v>46018</v>
      </c>
      <c r="B147" s="9" t="s">
        <v>3</v>
      </c>
      <c r="C147" s="10">
        <v>5300</v>
      </c>
      <c r="D147" s="10">
        <f t="shared" si="2"/>
        <v>89285</v>
      </c>
    </row>
    <row r="148" spans="1:4" x14ac:dyDescent="0.25">
      <c r="A148" s="8">
        <v>46018</v>
      </c>
      <c r="B148" s="9" t="s">
        <v>179</v>
      </c>
      <c r="C148" s="10">
        <v>-5890</v>
      </c>
      <c r="D148" s="10">
        <f t="shared" si="2"/>
        <v>83395</v>
      </c>
    </row>
    <row r="149" spans="1:4" x14ac:dyDescent="0.25">
      <c r="A149" s="8">
        <v>46020</v>
      </c>
      <c r="B149" s="9" t="s">
        <v>3</v>
      </c>
      <c r="C149" s="10">
        <v>21240</v>
      </c>
      <c r="D149" s="10">
        <f t="shared" si="2"/>
        <v>104635</v>
      </c>
    </row>
    <row r="150" spans="1:4" x14ac:dyDescent="0.25">
      <c r="A150" s="8">
        <v>46020</v>
      </c>
      <c r="B150" s="9" t="s">
        <v>178</v>
      </c>
      <c r="C150" s="10">
        <v>-18700</v>
      </c>
      <c r="D150" s="10">
        <f t="shared" si="2"/>
        <v>85935</v>
      </c>
    </row>
    <row r="151" spans="1:4" x14ac:dyDescent="0.25">
      <c r="A151" s="8">
        <v>46021</v>
      </c>
      <c r="B151" s="9" t="s">
        <v>3</v>
      </c>
      <c r="C151" s="10">
        <v>5890</v>
      </c>
      <c r="D151" s="10">
        <f t="shared" si="2"/>
        <v>91825</v>
      </c>
    </row>
    <row r="152" spans="1:4" x14ac:dyDescent="0.25">
      <c r="A152" s="8">
        <v>46021</v>
      </c>
      <c r="B152" s="9" t="s">
        <v>179</v>
      </c>
      <c r="C152" s="10">
        <v>-5890</v>
      </c>
      <c r="D152" s="10">
        <f t="shared" si="2"/>
        <v>85935</v>
      </c>
    </row>
    <row r="153" spans="1:4" x14ac:dyDescent="0.25">
      <c r="A153" s="8">
        <v>46024</v>
      </c>
      <c r="B153" s="9" t="s">
        <v>3</v>
      </c>
      <c r="C153" s="10">
        <v>23370</v>
      </c>
      <c r="D153" s="10">
        <f t="shared" si="2"/>
        <v>109305</v>
      </c>
    </row>
    <row r="154" spans="1:4" x14ac:dyDescent="0.25">
      <c r="A154" s="8">
        <v>46024</v>
      </c>
      <c r="B154" s="9" t="s">
        <v>273</v>
      </c>
      <c r="C154" s="10">
        <v>-5440</v>
      </c>
      <c r="D154" s="10">
        <f t="shared" si="2"/>
        <v>103865</v>
      </c>
    </row>
    <row r="155" spans="1:4" x14ac:dyDescent="0.25">
      <c r="A155" s="8">
        <v>46024</v>
      </c>
      <c r="B155" s="9" t="s">
        <v>178</v>
      </c>
      <c r="C155" s="10">
        <v>-26680</v>
      </c>
      <c r="D155" s="10">
        <f t="shared" si="2"/>
        <v>77185</v>
      </c>
    </row>
    <row r="156" spans="1:4" x14ac:dyDescent="0.25">
      <c r="A156" s="8">
        <v>46027</v>
      </c>
      <c r="B156" s="9" t="s">
        <v>3</v>
      </c>
      <c r="C156" s="10">
        <v>17250</v>
      </c>
      <c r="D156" s="10">
        <f t="shared" si="2"/>
        <v>94435</v>
      </c>
    </row>
    <row r="157" spans="1:4" x14ac:dyDescent="0.25">
      <c r="A157" s="8">
        <v>46027</v>
      </c>
      <c r="B157" s="9" t="s">
        <v>178</v>
      </c>
      <c r="C157" s="10">
        <v>-23000</v>
      </c>
      <c r="D157" s="10">
        <f t="shared" si="2"/>
        <v>71435</v>
      </c>
    </row>
    <row r="158" spans="1:4" x14ac:dyDescent="0.25">
      <c r="A158" s="8">
        <v>46030</v>
      </c>
      <c r="B158" s="9" t="s">
        <v>3</v>
      </c>
      <c r="C158" s="10">
        <v>17330</v>
      </c>
      <c r="D158" s="10">
        <f t="shared" si="2"/>
        <v>88765</v>
      </c>
    </row>
    <row r="159" spans="1:4" x14ac:dyDescent="0.25">
      <c r="A159" s="8">
        <v>46030</v>
      </c>
      <c r="B159" s="9" t="s">
        <v>178</v>
      </c>
      <c r="C159" s="10">
        <v>-20000</v>
      </c>
      <c r="D159" s="10">
        <f t="shared" si="2"/>
        <v>68765</v>
      </c>
    </row>
    <row r="160" spans="1:4" x14ac:dyDescent="0.25">
      <c r="A160" s="8">
        <v>46034</v>
      </c>
      <c r="B160" s="9" t="s">
        <v>3</v>
      </c>
      <c r="C160" s="10">
        <v>24070</v>
      </c>
      <c r="D160" s="10">
        <f t="shared" si="2"/>
        <v>92835</v>
      </c>
    </row>
    <row r="161" spans="1:4" x14ac:dyDescent="0.25">
      <c r="A161" s="8">
        <v>46034</v>
      </c>
      <c r="B161" s="9" t="s">
        <v>178</v>
      </c>
      <c r="C161" s="10">
        <v>-23000</v>
      </c>
      <c r="D161" s="10">
        <f t="shared" ref="D161:D224" si="3">D160+C161</f>
        <v>69835</v>
      </c>
    </row>
    <row r="162" spans="1:4" x14ac:dyDescent="0.25">
      <c r="A162" s="8">
        <v>46037</v>
      </c>
      <c r="B162" s="9" t="s">
        <v>3</v>
      </c>
      <c r="C162" s="10">
        <v>32940</v>
      </c>
      <c r="D162" s="10">
        <f t="shared" si="3"/>
        <v>102775</v>
      </c>
    </row>
    <row r="163" spans="1:4" x14ac:dyDescent="0.25">
      <c r="A163" s="8">
        <v>46037</v>
      </c>
      <c r="B163" s="9" t="s">
        <v>178</v>
      </c>
      <c r="C163" s="10">
        <v>-22000</v>
      </c>
      <c r="D163" s="10">
        <f t="shared" si="3"/>
        <v>80775</v>
      </c>
    </row>
    <row r="164" spans="1:4" x14ac:dyDescent="0.25">
      <c r="A164" s="8">
        <v>46041</v>
      </c>
      <c r="B164" s="9" t="s">
        <v>3</v>
      </c>
      <c r="C164" s="10">
        <v>17220</v>
      </c>
      <c r="D164" s="10">
        <f t="shared" si="3"/>
        <v>97995</v>
      </c>
    </row>
    <row r="165" spans="1:4" x14ac:dyDescent="0.25">
      <c r="A165" s="8">
        <v>46041</v>
      </c>
      <c r="B165" s="9" t="s">
        <v>296</v>
      </c>
      <c r="C165" s="10">
        <v>-33000</v>
      </c>
      <c r="D165" s="10">
        <f t="shared" si="3"/>
        <v>64995</v>
      </c>
    </row>
    <row r="166" spans="1:4" x14ac:dyDescent="0.25">
      <c r="A166" s="8">
        <v>46044</v>
      </c>
      <c r="B166" s="9" t="s">
        <v>3</v>
      </c>
      <c r="C166" s="10">
        <v>37380</v>
      </c>
      <c r="D166" s="10">
        <f t="shared" si="3"/>
        <v>102375</v>
      </c>
    </row>
    <row r="167" spans="1:4" x14ac:dyDescent="0.25">
      <c r="A167" s="8">
        <v>46044</v>
      </c>
      <c r="B167" s="9" t="s">
        <v>178</v>
      </c>
      <c r="C167" s="10">
        <v>-16850</v>
      </c>
      <c r="D167" s="10">
        <f t="shared" si="3"/>
        <v>85525</v>
      </c>
    </row>
    <row r="168" spans="1:4" x14ac:dyDescent="0.25">
      <c r="A168" s="9"/>
      <c r="B168" s="9" t="s">
        <v>127</v>
      </c>
      <c r="C168" s="10">
        <v>-8150</v>
      </c>
      <c r="D168" s="10">
        <f t="shared" si="3"/>
        <v>77375</v>
      </c>
    </row>
    <row r="169" spans="1:4" x14ac:dyDescent="0.25">
      <c r="A169" s="8">
        <v>46046</v>
      </c>
      <c r="B169" s="9" t="s">
        <v>129</v>
      </c>
      <c r="C169" s="10">
        <v>12520</v>
      </c>
      <c r="D169" s="10">
        <f t="shared" si="3"/>
        <v>89895</v>
      </c>
    </row>
    <row r="170" spans="1:4" x14ac:dyDescent="0.25">
      <c r="A170" s="8">
        <v>46048</v>
      </c>
      <c r="B170" s="9" t="s">
        <v>3</v>
      </c>
      <c r="C170" s="10">
        <v>14615</v>
      </c>
      <c r="D170" s="10">
        <f t="shared" si="3"/>
        <v>104510</v>
      </c>
    </row>
    <row r="171" spans="1:4" x14ac:dyDescent="0.25">
      <c r="A171" s="8">
        <v>46048</v>
      </c>
      <c r="B171" s="9" t="s">
        <v>178</v>
      </c>
      <c r="C171" s="10">
        <v>-25390</v>
      </c>
      <c r="D171" s="10">
        <f t="shared" si="3"/>
        <v>79120</v>
      </c>
    </row>
    <row r="172" spans="1:4" x14ac:dyDescent="0.25">
      <c r="A172" s="9"/>
      <c r="B172" s="9" t="s">
        <v>127</v>
      </c>
      <c r="C172" s="10">
        <v>-14610</v>
      </c>
      <c r="D172" s="10">
        <f t="shared" si="3"/>
        <v>64510</v>
      </c>
    </row>
    <row r="173" spans="1:4" x14ac:dyDescent="0.25">
      <c r="A173" s="8">
        <v>46051</v>
      </c>
      <c r="B173" s="9" t="s">
        <v>3</v>
      </c>
      <c r="C173" s="10">
        <v>27110</v>
      </c>
      <c r="D173" s="10">
        <f t="shared" si="3"/>
        <v>91620</v>
      </c>
    </row>
    <row r="174" spans="1:4" x14ac:dyDescent="0.25">
      <c r="A174" s="8">
        <v>46051</v>
      </c>
      <c r="B174" s="9" t="s">
        <v>178</v>
      </c>
      <c r="C174" s="10">
        <v>-23000</v>
      </c>
      <c r="D174" s="10">
        <f t="shared" si="3"/>
        <v>68620</v>
      </c>
    </row>
    <row r="175" spans="1:4" x14ac:dyDescent="0.25">
      <c r="A175" s="9"/>
      <c r="B175" s="9" t="s">
        <v>127</v>
      </c>
      <c r="C175" s="10">
        <v>-2000</v>
      </c>
      <c r="D175" s="10">
        <f t="shared" si="3"/>
        <v>66620</v>
      </c>
    </row>
    <row r="176" spans="1:4" x14ac:dyDescent="0.25">
      <c r="A176" s="8">
        <v>46052</v>
      </c>
      <c r="B176" s="9" t="s">
        <v>129</v>
      </c>
      <c r="C176" s="10">
        <v>8610</v>
      </c>
      <c r="D176" s="10">
        <f t="shared" si="3"/>
        <v>75230</v>
      </c>
    </row>
    <row r="177" spans="1:4" x14ac:dyDescent="0.25">
      <c r="A177" s="8">
        <v>46055</v>
      </c>
      <c r="B177" s="9" t="s">
        <v>3</v>
      </c>
      <c r="C177" s="10">
        <v>31280</v>
      </c>
      <c r="D177" s="10">
        <f t="shared" si="3"/>
        <v>106510</v>
      </c>
    </row>
    <row r="178" spans="1:4" x14ac:dyDescent="0.25">
      <c r="A178" s="8">
        <v>46024</v>
      </c>
      <c r="B178" s="9" t="s">
        <v>178</v>
      </c>
      <c r="C178" s="10">
        <v>-9170</v>
      </c>
      <c r="D178" s="10">
        <f t="shared" si="3"/>
        <v>97340</v>
      </c>
    </row>
    <row r="179" spans="1:4" x14ac:dyDescent="0.25">
      <c r="A179" s="8">
        <v>46024</v>
      </c>
      <c r="B179" s="9" t="s">
        <v>127</v>
      </c>
      <c r="C179" s="10">
        <v>-17940</v>
      </c>
      <c r="D179" s="10">
        <f t="shared" si="3"/>
        <v>79400</v>
      </c>
    </row>
    <row r="180" spans="1:4" x14ac:dyDescent="0.25">
      <c r="A180" s="8">
        <v>46059</v>
      </c>
      <c r="B180" s="9" t="s">
        <v>3</v>
      </c>
      <c r="C180" s="10">
        <v>27500</v>
      </c>
      <c r="D180" s="10">
        <f t="shared" si="3"/>
        <v>106900</v>
      </c>
    </row>
    <row r="181" spans="1:4" x14ac:dyDescent="0.25">
      <c r="A181" s="8">
        <v>46335</v>
      </c>
      <c r="B181" s="9" t="s">
        <v>178</v>
      </c>
      <c r="C181" s="10">
        <v>-18000</v>
      </c>
      <c r="D181" s="10">
        <f t="shared" si="3"/>
        <v>88900</v>
      </c>
    </row>
    <row r="182" spans="1:4" x14ac:dyDescent="0.25">
      <c r="A182" s="8">
        <v>46066</v>
      </c>
      <c r="B182" s="9" t="s">
        <v>3</v>
      </c>
      <c r="C182" s="10">
        <v>130390</v>
      </c>
      <c r="D182" s="10">
        <f t="shared" si="3"/>
        <v>219290</v>
      </c>
    </row>
    <row r="183" spans="1:4" x14ac:dyDescent="0.25">
      <c r="A183" s="8">
        <v>46066</v>
      </c>
      <c r="B183" s="9" t="s">
        <v>178</v>
      </c>
      <c r="C183" s="10">
        <v>-130390</v>
      </c>
      <c r="D183" s="10">
        <f t="shared" si="3"/>
        <v>88900</v>
      </c>
    </row>
    <row r="184" spans="1:4" x14ac:dyDescent="0.25">
      <c r="A184" s="8">
        <v>46069</v>
      </c>
      <c r="B184" s="9" t="s">
        <v>3</v>
      </c>
      <c r="C184" s="10">
        <v>7250</v>
      </c>
      <c r="D184" s="10">
        <f t="shared" si="3"/>
        <v>96150</v>
      </c>
    </row>
    <row r="185" spans="1:4" x14ac:dyDescent="0.25">
      <c r="A185" s="8">
        <v>46072</v>
      </c>
      <c r="B185" s="9" t="s">
        <v>3</v>
      </c>
      <c r="C185" s="10">
        <v>19870</v>
      </c>
      <c r="D185" s="10">
        <f t="shared" si="3"/>
        <v>116020</v>
      </c>
    </row>
    <row r="186" spans="1:4" x14ac:dyDescent="0.25">
      <c r="A186" s="8">
        <v>46074</v>
      </c>
      <c r="B186" s="9" t="s">
        <v>3</v>
      </c>
      <c r="C186" s="10">
        <v>4940</v>
      </c>
      <c r="D186" s="10">
        <f t="shared" si="3"/>
        <v>120960</v>
      </c>
    </row>
    <row r="187" spans="1:4" x14ac:dyDescent="0.25">
      <c r="A187" s="8">
        <v>46076</v>
      </c>
      <c r="B187" s="9" t="s">
        <v>3</v>
      </c>
      <c r="C187" s="10">
        <v>21470</v>
      </c>
      <c r="D187" s="10">
        <f t="shared" si="3"/>
        <v>142430</v>
      </c>
    </row>
    <row r="188" spans="1:4" x14ac:dyDescent="0.25">
      <c r="A188" s="8">
        <v>46076</v>
      </c>
      <c r="B188" s="9" t="s">
        <v>178</v>
      </c>
      <c r="C188" s="10">
        <v>-17750</v>
      </c>
      <c r="D188" s="10">
        <f t="shared" si="3"/>
        <v>124680</v>
      </c>
    </row>
    <row r="189" spans="1:4" x14ac:dyDescent="0.25">
      <c r="A189" s="8">
        <v>46076</v>
      </c>
      <c r="B189" s="9" t="s">
        <v>127</v>
      </c>
      <c r="C189" s="10">
        <v>-8320</v>
      </c>
      <c r="D189" s="10">
        <f t="shared" si="3"/>
        <v>116360</v>
      </c>
    </row>
    <row r="190" spans="1:4" x14ac:dyDescent="0.25">
      <c r="A190" s="8">
        <v>46079</v>
      </c>
      <c r="B190" s="9" t="s">
        <v>3</v>
      </c>
      <c r="C190" s="10">
        <v>20960</v>
      </c>
      <c r="D190" s="10">
        <f t="shared" si="3"/>
        <v>137320</v>
      </c>
    </row>
    <row r="191" spans="1:4" x14ac:dyDescent="0.25">
      <c r="A191" s="8">
        <v>46079</v>
      </c>
      <c r="B191" s="9" t="s">
        <v>178</v>
      </c>
      <c r="C191" s="10">
        <v>-16000</v>
      </c>
      <c r="D191" s="10">
        <f t="shared" si="3"/>
        <v>121320</v>
      </c>
    </row>
    <row r="192" spans="1:4" x14ac:dyDescent="0.25">
      <c r="A192" s="8">
        <v>46083</v>
      </c>
      <c r="B192" s="9" t="s">
        <v>127</v>
      </c>
      <c r="C192" s="10">
        <v>-6810</v>
      </c>
      <c r="D192" s="10">
        <f t="shared" si="3"/>
        <v>114510</v>
      </c>
    </row>
    <row r="193" spans="1:4" x14ac:dyDescent="0.25">
      <c r="A193" s="8">
        <v>46083</v>
      </c>
      <c r="B193" s="9" t="s">
        <v>178</v>
      </c>
      <c r="C193" s="10">
        <v>-14190</v>
      </c>
      <c r="D193" s="10">
        <f t="shared" si="3"/>
        <v>100320</v>
      </c>
    </row>
    <row r="194" spans="1:4" x14ac:dyDescent="0.25">
      <c r="A194" s="8">
        <v>46086</v>
      </c>
      <c r="B194" s="9" t="s">
        <v>3</v>
      </c>
      <c r="C194" s="10">
        <v>25780</v>
      </c>
      <c r="D194" s="10">
        <f t="shared" si="3"/>
        <v>126100</v>
      </c>
    </row>
    <row r="195" spans="1:4" x14ac:dyDescent="0.25">
      <c r="A195" s="8">
        <v>46086</v>
      </c>
      <c r="B195" s="9" t="s">
        <v>127</v>
      </c>
      <c r="C195" s="10">
        <v>-10000</v>
      </c>
      <c r="D195" s="10">
        <f t="shared" si="3"/>
        <v>116100</v>
      </c>
    </row>
    <row r="196" spans="1:4" x14ac:dyDescent="0.25">
      <c r="A196" s="8">
        <v>46086</v>
      </c>
      <c r="B196" s="9" t="s">
        <v>178</v>
      </c>
      <c r="C196" s="10">
        <v>-1000</v>
      </c>
      <c r="D196" s="10">
        <f t="shared" si="3"/>
        <v>115100</v>
      </c>
    </row>
    <row r="197" spans="1:4" x14ac:dyDescent="0.25">
      <c r="A197" s="8">
        <v>46090</v>
      </c>
      <c r="B197" s="9" t="s">
        <v>3</v>
      </c>
      <c r="C197" s="10">
        <v>15540</v>
      </c>
      <c r="D197" s="10">
        <f t="shared" si="3"/>
        <v>130640</v>
      </c>
    </row>
    <row r="198" spans="1:4" x14ac:dyDescent="0.25">
      <c r="A198" s="8">
        <v>46090</v>
      </c>
      <c r="B198" s="9" t="s">
        <v>127</v>
      </c>
      <c r="C198" s="10">
        <v>-17160</v>
      </c>
      <c r="D198" s="10">
        <f t="shared" si="3"/>
        <v>113480</v>
      </c>
    </row>
    <row r="199" spans="1:4" x14ac:dyDescent="0.25">
      <c r="A199" s="8">
        <v>46090</v>
      </c>
      <c r="B199" s="9" t="s">
        <v>178</v>
      </c>
      <c r="C199" s="10">
        <v>-4250</v>
      </c>
      <c r="D199" s="10">
        <f t="shared" si="3"/>
        <v>109230</v>
      </c>
    </row>
    <row r="200" spans="1:4" x14ac:dyDescent="0.25">
      <c r="A200" s="22">
        <v>46093</v>
      </c>
      <c r="B200" s="8" t="s">
        <v>3</v>
      </c>
      <c r="C200" s="10">
        <v>28470</v>
      </c>
      <c r="D200" s="10">
        <f t="shared" si="3"/>
        <v>137700</v>
      </c>
    </row>
    <row r="201" spans="1:4" x14ac:dyDescent="0.25">
      <c r="A201" s="8">
        <v>46093</v>
      </c>
      <c r="B201" s="9" t="s">
        <v>178</v>
      </c>
      <c r="C201" s="10">
        <v>-22800</v>
      </c>
      <c r="D201" s="10">
        <f t="shared" si="3"/>
        <v>114900</v>
      </c>
    </row>
    <row r="202" spans="1:4" x14ac:dyDescent="0.25">
      <c r="A202" s="8">
        <v>46097</v>
      </c>
      <c r="B202" s="9" t="s">
        <v>3</v>
      </c>
      <c r="C202" s="10">
        <v>19240</v>
      </c>
      <c r="D202" s="10">
        <f t="shared" si="3"/>
        <v>134140</v>
      </c>
    </row>
    <row r="203" spans="1:4" x14ac:dyDescent="0.25">
      <c r="A203" s="8">
        <v>46097</v>
      </c>
      <c r="B203" s="9" t="s">
        <v>178</v>
      </c>
      <c r="C203" s="10">
        <v>-28000</v>
      </c>
      <c r="D203" s="10">
        <f t="shared" si="3"/>
        <v>106140</v>
      </c>
    </row>
    <row r="204" spans="1:4" x14ac:dyDescent="0.25">
      <c r="A204" s="8">
        <v>46099</v>
      </c>
      <c r="B204" s="9" t="s">
        <v>3</v>
      </c>
      <c r="C204" s="10">
        <v>15500</v>
      </c>
      <c r="D204" s="10">
        <f t="shared" si="3"/>
        <v>121640</v>
      </c>
    </row>
    <row r="205" spans="1:4" x14ac:dyDescent="0.25">
      <c r="A205" s="8">
        <v>46100</v>
      </c>
      <c r="B205" s="9" t="s">
        <v>3</v>
      </c>
      <c r="C205" s="10">
        <v>18280</v>
      </c>
      <c r="D205" s="10">
        <f t="shared" si="3"/>
        <v>139920</v>
      </c>
    </row>
    <row r="206" spans="1:4" x14ac:dyDescent="0.25">
      <c r="A206" s="8">
        <v>46100</v>
      </c>
      <c r="B206" s="9" t="s">
        <v>178</v>
      </c>
      <c r="C206" s="10">
        <v>-20000</v>
      </c>
      <c r="D206" s="10">
        <f t="shared" si="3"/>
        <v>119920</v>
      </c>
    </row>
    <row r="207" spans="1:4" x14ac:dyDescent="0.25">
      <c r="A207" s="8">
        <v>46101</v>
      </c>
      <c r="B207" s="9" t="s">
        <v>148</v>
      </c>
      <c r="C207" s="10">
        <v>5050</v>
      </c>
      <c r="D207" s="10">
        <f t="shared" si="3"/>
        <v>124970</v>
      </c>
    </row>
    <row r="208" spans="1:4" x14ac:dyDescent="0.25">
      <c r="A208" s="8">
        <v>46102</v>
      </c>
      <c r="B208" s="9" t="s">
        <v>129</v>
      </c>
      <c r="C208" s="10">
        <v>19870</v>
      </c>
      <c r="D208" s="10">
        <f t="shared" si="3"/>
        <v>144840</v>
      </c>
    </row>
    <row r="209" spans="1:4" x14ac:dyDescent="0.25">
      <c r="A209" s="8">
        <v>46104</v>
      </c>
      <c r="B209" s="9" t="s">
        <v>3</v>
      </c>
      <c r="C209" s="10">
        <v>6990</v>
      </c>
      <c r="D209" s="10">
        <f t="shared" si="3"/>
        <v>151830</v>
      </c>
    </row>
    <row r="210" spans="1:4" x14ac:dyDescent="0.25">
      <c r="A210" s="8">
        <v>46104</v>
      </c>
      <c r="B210" s="9" t="s">
        <v>178</v>
      </c>
      <c r="C210" s="10">
        <v>-38830</v>
      </c>
      <c r="D210" s="10">
        <f t="shared" si="3"/>
        <v>113000</v>
      </c>
    </row>
    <row r="211" spans="1:4" x14ac:dyDescent="0.25">
      <c r="A211" s="8">
        <v>46107</v>
      </c>
      <c r="B211" s="9" t="s">
        <v>3</v>
      </c>
      <c r="C211" s="10">
        <v>20320</v>
      </c>
      <c r="D211" s="10">
        <f t="shared" si="3"/>
        <v>133320</v>
      </c>
    </row>
    <row r="212" spans="1:4" x14ac:dyDescent="0.25">
      <c r="A212" s="8">
        <v>46107</v>
      </c>
      <c r="B212" s="9" t="s">
        <v>375</v>
      </c>
      <c r="C212" s="10">
        <v>-20000</v>
      </c>
      <c r="D212" s="10">
        <f t="shared" si="3"/>
        <v>113320</v>
      </c>
    </row>
    <row r="213" spans="1:4" x14ac:dyDescent="0.25">
      <c r="A213" s="8">
        <v>46111</v>
      </c>
      <c r="B213" s="9" t="s">
        <v>3</v>
      </c>
      <c r="C213" s="10">
        <v>15100</v>
      </c>
      <c r="D213" s="10">
        <f t="shared" si="3"/>
        <v>128420</v>
      </c>
    </row>
    <row r="214" spans="1:4" x14ac:dyDescent="0.25">
      <c r="A214" s="8">
        <v>46111</v>
      </c>
      <c r="B214" s="9" t="s">
        <v>178</v>
      </c>
      <c r="C214" s="10">
        <v>-20320</v>
      </c>
      <c r="D214" s="10">
        <f t="shared" si="3"/>
        <v>108100</v>
      </c>
    </row>
    <row r="215" spans="1:4" x14ac:dyDescent="0.25">
      <c r="A215" s="8">
        <v>46116</v>
      </c>
      <c r="B215" s="9" t="s">
        <v>3</v>
      </c>
      <c r="C215" s="10">
        <v>14540</v>
      </c>
      <c r="D215" s="10">
        <f t="shared" si="3"/>
        <v>122640</v>
      </c>
    </row>
    <row r="216" spans="1:4" x14ac:dyDescent="0.25">
      <c r="A216" s="8">
        <v>46118</v>
      </c>
      <c r="B216" s="9" t="s">
        <v>3</v>
      </c>
      <c r="C216" s="10">
        <v>4080</v>
      </c>
      <c r="D216" s="10">
        <f t="shared" si="3"/>
        <v>126720</v>
      </c>
    </row>
    <row r="217" spans="1:4" x14ac:dyDescent="0.25">
      <c r="A217" s="8">
        <v>46118</v>
      </c>
      <c r="B217" s="9" t="s">
        <v>178</v>
      </c>
      <c r="C217" s="10">
        <v>-15100</v>
      </c>
      <c r="D217" s="10">
        <f t="shared" si="3"/>
        <v>111620</v>
      </c>
    </row>
    <row r="218" spans="1:4" x14ac:dyDescent="0.25">
      <c r="A218" s="8">
        <v>46120</v>
      </c>
      <c r="B218" s="9" t="s">
        <v>129</v>
      </c>
      <c r="C218" s="10">
        <v>20710</v>
      </c>
      <c r="D218" s="10">
        <f t="shared" si="3"/>
        <v>132330</v>
      </c>
    </row>
    <row r="219" spans="1:4" x14ac:dyDescent="0.25">
      <c r="A219" s="8">
        <v>46121</v>
      </c>
      <c r="B219" s="9" t="s">
        <v>3</v>
      </c>
      <c r="C219" s="10">
        <v>8300</v>
      </c>
      <c r="D219" s="10">
        <f t="shared" si="3"/>
        <v>140630</v>
      </c>
    </row>
    <row r="220" spans="1:4" ht="13.5" customHeight="1" x14ac:dyDescent="0.25">
      <c r="A220" s="8">
        <v>46121</v>
      </c>
      <c r="B220" s="9" t="s">
        <v>178</v>
      </c>
      <c r="C220" s="10">
        <v>-15000</v>
      </c>
      <c r="D220" s="10">
        <f t="shared" si="3"/>
        <v>125630</v>
      </c>
    </row>
    <row r="221" spans="1:4" ht="13.5" customHeight="1" x14ac:dyDescent="0.25">
      <c r="A221" s="8">
        <v>46125</v>
      </c>
      <c r="B221" s="9" t="s">
        <v>3</v>
      </c>
      <c r="C221" s="10">
        <v>19550</v>
      </c>
      <c r="D221" s="10">
        <f t="shared" si="3"/>
        <v>145180</v>
      </c>
    </row>
    <row r="222" spans="1:4" ht="13.5" customHeight="1" x14ac:dyDescent="0.25">
      <c r="A222" s="8">
        <v>46125</v>
      </c>
      <c r="B222" s="9" t="s">
        <v>178</v>
      </c>
      <c r="C222" s="10">
        <v>-20710</v>
      </c>
      <c r="D222" s="10">
        <f>D221+C222</f>
        <v>124470</v>
      </c>
    </row>
    <row r="223" spans="1:4" ht="13.5" customHeight="1" x14ac:dyDescent="0.25">
      <c r="A223" s="8">
        <v>46128</v>
      </c>
      <c r="B223" s="9" t="s">
        <v>3</v>
      </c>
      <c r="C223" s="10">
        <v>31400</v>
      </c>
      <c r="D223" s="10">
        <f>D222+C223</f>
        <v>155870</v>
      </c>
    </row>
    <row r="224" spans="1:4" ht="13.5" customHeight="1" x14ac:dyDescent="0.25">
      <c r="A224" s="8">
        <v>46128</v>
      </c>
      <c r="B224" s="9" t="s">
        <v>178</v>
      </c>
      <c r="C224" s="10">
        <v>-30000</v>
      </c>
      <c r="D224" s="10">
        <f t="shared" si="3"/>
        <v>125870</v>
      </c>
    </row>
    <row r="225" spans="1:4" ht="13.5" customHeight="1" x14ac:dyDescent="0.25">
      <c r="A225" s="8">
        <v>46132</v>
      </c>
      <c r="B225" s="9" t="s">
        <v>3</v>
      </c>
      <c r="C225" s="10">
        <v>13110</v>
      </c>
      <c r="D225" s="10">
        <f t="shared" ref="D225:D306" si="4">D224+C225</f>
        <v>138980</v>
      </c>
    </row>
    <row r="226" spans="1:4" ht="13.5" customHeight="1" x14ac:dyDescent="0.25">
      <c r="A226" s="8">
        <v>46132</v>
      </c>
      <c r="B226" s="9" t="s">
        <v>3</v>
      </c>
      <c r="C226" s="10">
        <v>-31400</v>
      </c>
      <c r="D226" s="10">
        <f t="shared" si="4"/>
        <v>107580</v>
      </c>
    </row>
    <row r="227" spans="1:4" ht="13.5" customHeight="1" x14ac:dyDescent="0.25">
      <c r="A227" s="8">
        <v>46135</v>
      </c>
      <c r="B227" s="9" t="s">
        <v>3</v>
      </c>
      <c r="C227" s="10">
        <v>35170</v>
      </c>
      <c r="D227" s="10">
        <f t="shared" si="4"/>
        <v>142750</v>
      </c>
    </row>
    <row r="228" spans="1:4" ht="13.5" customHeight="1" x14ac:dyDescent="0.25">
      <c r="A228" s="8">
        <v>46135</v>
      </c>
      <c r="B228" s="9" t="s">
        <v>296</v>
      </c>
      <c r="C228" s="10">
        <v>-13110</v>
      </c>
      <c r="D228" s="10">
        <f t="shared" si="4"/>
        <v>129640</v>
      </c>
    </row>
    <row r="229" spans="1:4" ht="13.5" customHeight="1" x14ac:dyDescent="0.25">
      <c r="A229" s="8">
        <v>46139</v>
      </c>
      <c r="B229" s="9" t="s">
        <v>3</v>
      </c>
      <c r="C229" s="10">
        <v>17400</v>
      </c>
      <c r="D229" s="10">
        <f t="shared" si="4"/>
        <v>147040</v>
      </c>
    </row>
    <row r="230" spans="1:4" ht="13.5" customHeight="1" x14ac:dyDescent="0.25">
      <c r="A230" s="8">
        <v>46139</v>
      </c>
      <c r="B230" s="9" t="s">
        <v>3</v>
      </c>
      <c r="C230" s="10">
        <v>-35170</v>
      </c>
      <c r="D230" s="10">
        <f t="shared" si="4"/>
        <v>111870</v>
      </c>
    </row>
    <row r="231" spans="1:4" ht="13.5" customHeight="1" x14ac:dyDescent="0.25">
      <c r="A231" s="8">
        <v>46148</v>
      </c>
      <c r="B231" s="9" t="s">
        <v>129</v>
      </c>
      <c r="C231" s="10">
        <v>26780</v>
      </c>
      <c r="D231" s="10">
        <f t="shared" si="4"/>
        <v>138650</v>
      </c>
    </row>
    <row r="232" spans="1:4" ht="13.5" customHeight="1" x14ac:dyDescent="0.25">
      <c r="A232" s="8">
        <v>46149</v>
      </c>
      <c r="B232" s="9" t="s">
        <v>3</v>
      </c>
      <c r="C232" s="10">
        <v>125400</v>
      </c>
      <c r="D232" s="10">
        <f t="shared" si="4"/>
        <v>264050</v>
      </c>
    </row>
    <row r="233" spans="1:4" ht="13.5" customHeight="1" x14ac:dyDescent="0.25">
      <c r="A233" s="8">
        <v>46153</v>
      </c>
      <c r="B233" s="9" t="s">
        <v>178</v>
      </c>
      <c r="C233" s="10">
        <v>-147270</v>
      </c>
      <c r="D233" s="10">
        <f t="shared" si="4"/>
        <v>116780</v>
      </c>
    </row>
    <row r="234" spans="1:4" ht="13.5" customHeight="1" x14ac:dyDescent="0.25">
      <c r="A234" s="8">
        <v>46153</v>
      </c>
      <c r="B234" s="9" t="s">
        <v>3</v>
      </c>
      <c r="C234" s="10">
        <v>2810</v>
      </c>
      <c r="D234" s="10">
        <f t="shared" si="4"/>
        <v>119590</v>
      </c>
    </row>
    <row r="235" spans="1:4" ht="13.5" customHeight="1" x14ac:dyDescent="0.25">
      <c r="A235" s="8">
        <v>46156</v>
      </c>
      <c r="B235" s="9" t="s">
        <v>3</v>
      </c>
      <c r="C235" s="10">
        <v>36890</v>
      </c>
      <c r="D235" s="10">
        <f t="shared" si="4"/>
        <v>156480</v>
      </c>
    </row>
    <row r="236" spans="1:4" ht="13.5" customHeight="1" x14ac:dyDescent="0.25">
      <c r="A236" s="8">
        <v>46156</v>
      </c>
      <c r="B236" s="9" t="s">
        <v>178</v>
      </c>
      <c r="C236" s="10">
        <v>-26780</v>
      </c>
      <c r="D236" s="10">
        <f t="shared" si="4"/>
        <v>129700</v>
      </c>
    </row>
    <row r="237" spans="1:4" ht="13.5" customHeight="1" x14ac:dyDescent="0.25">
      <c r="A237" s="8">
        <v>46160</v>
      </c>
      <c r="B237" s="9" t="s">
        <v>3</v>
      </c>
      <c r="C237" s="10">
        <v>17580</v>
      </c>
      <c r="D237" s="10">
        <f t="shared" si="4"/>
        <v>147280</v>
      </c>
    </row>
    <row r="238" spans="1:4" ht="13.5" customHeight="1" x14ac:dyDescent="0.25">
      <c r="A238" s="8">
        <v>46160</v>
      </c>
      <c r="B238" s="9" t="s">
        <v>178</v>
      </c>
      <c r="C238" s="10">
        <v>-39700</v>
      </c>
      <c r="D238" s="10">
        <f t="shared" si="4"/>
        <v>107580</v>
      </c>
    </row>
    <row r="239" spans="1:4" ht="13.5" customHeight="1" x14ac:dyDescent="0.25">
      <c r="A239" s="8">
        <v>46161</v>
      </c>
      <c r="B239" s="9" t="s">
        <v>129</v>
      </c>
      <c r="C239" s="10">
        <v>5850</v>
      </c>
      <c r="D239" s="10">
        <f t="shared" si="4"/>
        <v>113430</v>
      </c>
    </row>
    <row r="240" spans="1:4" ht="13.5" customHeight="1" x14ac:dyDescent="0.25">
      <c r="A240" s="8">
        <v>46163</v>
      </c>
      <c r="B240" s="9" t="s">
        <v>3</v>
      </c>
      <c r="C240" s="10">
        <v>35840</v>
      </c>
      <c r="D240" s="10">
        <f t="shared" si="4"/>
        <v>149270</v>
      </c>
    </row>
    <row r="241" spans="1:4" ht="13.5" customHeight="1" x14ac:dyDescent="0.25">
      <c r="A241" s="8">
        <v>46163</v>
      </c>
      <c r="B241" s="9" t="s">
        <v>178</v>
      </c>
      <c r="C241" s="10">
        <v>-23430</v>
      </c>
      <c r="D241" s="10">
        <f t="shared" si="4"/>
        <v>125840</v>
      </c>
    </row>
    <row r="242" spans="1:4" ht="13.5" customHeight="1" x14ac:dyDescent="0.25">
      <c r="A242" s="8">
        <v>46167</v>
      </c>
      <c r="B242" s="9" t="s">
        <v>129</v>
      </c>
      <c r="C242" s="10">
        <v>2080</v>
      </c>
      <c r="D242" s="10">
        <f t="shared" si="4"/>
        <v>127920</v>
      </c>
    </row>
    <row r="243" spans="1:4" ht="13.5" customHeight="1" x14ac:dyDescent="0.25">
      <c r="A243" s="8">
        <v>46167</v>
      </c>
      <c r="B243" s="9" t="s">
        <v>3</v>
      </c>
      <c r="C243" s="10">
        <v>24370</v>
      </c>
      <c r="D243" s="10">
        <f t="shared" si="4"/>
        <v>152290</v>
      </c>
    </row>
    <row r="244" spans="1:4" ht="13.5" customHeight="1" x14ac:dyDescent="0.25">
      <c r="A244" s="8">
        <v>46167</v>
      </c>
      <c r="B244" s="9" t="s">
        <v>178</v>
      </c>
      <c r="C244" s="10">
        <v>-20000</v>
      </c>
      <c r="D244" s="10">
        <f t="shared" si="4"/>
        <v>132290</v>
      </c>
    </row>
    <row r="245" spans="1:4" ht="13.5" customHeight="1" x14ac:dyDescent="0.25">
      <c r="A245" s="8">
        <v>46170</v>
      </c>
      <c r="B245" s="9" t="s">
        <v>3</v>
      </c>
      <c r="C245" s="10">
        <v>22010</v>
      </c>
      <c r="D245" s="10">
        <f t="shared" si="4"/>
        <v>154300</v>
      </c>
    </row>
    <row r="246" spans="1:4" ht="13.5" customHeight="1" x14ac:dyDescent="0.25">
      <c r="A246" s="8">
        <v>46170</v>
      </c>
      <c r="B246" s="9" t="s">
        <v>178</v>
      </c>
      <c r="C246" s="10">
        <v>-21000</v>
      </c>
      <c r="D246" s="10">
        <f t="shared" si="4"/>
        <v>133300</v>
      </c>
    </row>
    <row r="247" spans="1:4" ht="13.5" customHeight="1" x14ac:dyDescent="0.25">
      <c r="A247" s="8">
        <v>46172</v>
      </c>
      <c r="B247" s="9" t="s">
        <v>3</v>
      </c>
      <c r="C247" s="10">
        <v>5620</v>
      </c>
      <c r="D247" s="10">
        <f t="shared" si="4"/>
        <v>138920</v>
      </c>
    </row>
    <row r="248" spans="1:4" ht="13.5" customHeight="1" x14ac:dyDescent="0.25">
      <c r="A248" s="8">
        <v>46174</v>
      </c>
      <c r="B248" s="9" t="s">
        <v>3</v>
      </c>
      <c r="C248" s="10">
        <v>10600</v>
      </c>
      <c r="D248" s="10">
        <f t="shared" si="4"/>
        <v>149520</v>
      </c>
    </row>
    <row r="249" spans="1:4" ht="13.5" customHeight="1" x14ac:dyDescent="0.25">
      <c r="A249" s="8">
        <v>46174</v>
      </c>
      <c r="B249" s="9" t="s">
        <v>178</v>
      </c>
      <c r="C249" s="10">
        <v>-22070</v>
      </c>
      <c r="D249" s="10">
        <f t="shared" si="4"/>
        <v>127450</v>
      </c>
    </row>
    <row r="250" spans="1:4" ht="13.5" customHeight="1" x14ac:dyDescent="0.25">
      <c r="A250" s="8">
        <v>46177</v>
      </c>
      <c r="B250" s="9" t="s">
        <v>3</v>
      </c>
      <c r="C250" s="10">
        <v>21540</v>
      </c>
      <c r="D250" s="10">
        <f t="shared" si="4"/>
        <v>148990</v>
      </c>
    </row>
    <row r="251" spans="1:4" ht="13.5" customHeight="1" x14ac:dyDescent="0.25">
      <c r="A251" s="8">
        <v>46177</v>
      </c>
      <c r="B251" s="9" t="s">
        <v>178</v>
      </c>
      <c r="C251" s="10">
        <v>-11220</v>
      </c>
      <c r="D251" s="10">
        <f t="shared" si="4"/>
        <v>137770</v>
      </c>
    </row>
    <row r="252" spans="1:4" ht="13.5" customHeight="1" x14ac:dyDescent="0.25">
      <c r="A252" s="8">
        <v>46181</v>
      </c>
      <c r="B252" s="9" t="s">
        <v>3</v>
      </c>
      <c r="C252" s="10">
        <v>12500</v>
      </c>
      <c r="D252" s="10">
        <f t="shared" si="4"/>
        <v>150270</v>
      </c>
    </row>
    <row r="253" spans="1:4" ht="13.5" customHeight="1" x14ac:dyDescent="0.25">
      <c r="A253" s="8">
        <v>46181</v>
      </c>
      <c r="B253" s="9" t="s">
        <v>178</v>
      </c>
      <c r="C253" s="10">
        <v>-17000</v>
      </c>
      <c r="D253" s="10">
        <f t="shared" si="4"/>
        <v>133270</v>
      </c>
    </row>
    <row r="254" spans="1:4" ht="13.5" customHeight="1" x14ac:dyDescent="0.25">
      <c r="A254" s="8">
        <v>46184</v>
      </c>
      <c r="B254" s="9" t="s">
        <v>3</v>
      </c>
      <c r="C254" s="10">
        <v>-19000</v>
      </c>
      <c r="D254" s="10">
        <f t="shared" si="4"/>
        <v>114270</v>
      </c>
    </row>
    <row r="255" spans="1:4" ht="13.5" customHeight="1" x14ac:dyDescent="0.25">
      <c r="A255" s="8">
        <v>46184</v>
      </c>
      <c r="B255" s="9" t="s">
        <v>178</v>
      </c>
      <c r="C255" s="10">
        <v>36100</v>
      </c>
      <c r="D255" s="10">
        <f t="shared" si="4"/>
        <v>150370</v>
      </c>
    </row>
    <row r="256" spans="1:4" ht="15" customHeight="1" x14ac:dyDescent="0.25">
      <c r="A256" s="8">
        <v>46186</v>
      </c>
      <c r="B256" s="9" t="s">
        <v>129</v>
      </c>
      <c r="C256" s="10">
        <v>6520</v>
      </c>
      <c r="D256" s="10">
        <f t="shared" si="4"/>
        <v>156890</v>
      </c>
    </row>
    <row r="257" spans="1:4" ht="15" customHeight="1" x14ac:dyDescent="0.25">
      <c r="A257" s="8">
        <v>46188</v>
      </c>
      <c r="B257" s="9" t="s">
        <v>3</v>
      </c>
      <c r="C257" s="10">
        <v>14450</v>
      </c>
      <c r="D257" s="10">
        <f t="shared" si="4"/>
        <v>171340</v>
      </c>
    </row>
    <row r="258" spans="1:4" ht="15" customHeight="1" x14ac:dyDescent="0.25">
      <c r="A258" s="8">
        <v>46188</v>
      </c>
      <c r="B258" s="9" t="s">
        <v>178</v>
      </c>
      <c r="C258" s="10">
        <v>-36100</v>
      </c>
      <c r="D258" s="10">
        <f t="shared" si="4"/>
        <v>135240</v>
      </c>
    </row>
    <row r="259" spans="1:4" ht="15" customHeight="1" x14ac:dyDescent="0.25">
      <c r="A259" s="8">
        <v>46190</v>
      </c>
      <c r="B259" s="9" t="s">
        <v>148</v>
      </c>
      <c r="C259" s="10">
        <v>30130</v>
      </c>
      <c r="D259" s="10">
        <f t="shared" si="4"/>
        <v>165370</v>
      </c>
    </row>
    <row r="260" spans="1:4" ht="15" customHeight="1" x14ac:dyDescent="0.25">
      <c r="A260" s="8">
        <v>46191</v>
      </c>
      <c r="B260" s="9" t="s">
        <v>97</v>
      </c>
      <c r="C260" s="10">
        <v>2580</v>
      </c>
      <c r="D260" s="10">
        <f t="shared" si="4"/>
        <v>167950</v>
      </c>
    </row>
    <row r="261" spans="1:4" ht="15" customHeight="1" x14ac:dyDescent="0.25">
      <c r="A261" s="8">
        <v>46191</v>
      </c>
      <c r="B261" s="9" t="s">
        <v>178</v>
      </c>
      <c r="C261" s="10">
        <v>-6000</v>
      </c>
      <c r="D261" s="10">
        <f t="shared" si="4"/>
        <v>161950</v>
      </c>
    </row>
    <row r="262" spans="1:4" ht="15" customHeight="1" x14ac:dyDescent="0.25">
      <c r="A262" s="8">
        <v>46195</v>
      </c>
      <c r="B262" s="9" t="s">
        <v>3</v>
      </c>
      <c r="C262" s="10">
        <v>15310</v>
      </c>
      <c r="D262" s="10">
        <f t="shared" si="4"/>
        <v>177260</v>
      </c>
    </row>
    <row r="263" spans="1:4" ht="15" customHeight="1" x14ac:dyDescent="0.25">
      <c r="A263" s="8">
        <v>46195</v>
      </c>
      <c r="B263" s="9" t="s">
        <v>178</v>
      </c>
      <c r="C263" s="10">
        <v>-28000</v>
      </c>
      <c r="D263" s="10">
        <f t="shared" si="4"/>
        <v>149260</v>
      </c>
    </row>
    <row r="264" spans="1:4" ht="15" customHeight="1" x14ac:dyDescent="0.25">
      <c r="A264" s="8">
        <v>46198</v>
      </c>
      <c r="B264" s="9" t="s">
        <v>3</v>
      </c>
      <c r="C264" s="10">
        <v>15240</v>
      </c>
      <c r="D264" s="10">
        <f t="shared" si="4"/>
        <v>164500</v>
      </c>
    </row>
    <row r="265" spans="1:4" x14ac:dyDescent="0.25">
      <c r="A265" s="8">
        <v>46198</v>
      </c>
      <c r="B265" s="9" t="s">
        <v>178</v>
      </c>
      <c r="C265" s="10">
        <v>-20000</v>
      </c>
      <c r="D265" s="10">
        <f t="shared" si="4"/>
        <v>144500</v>
      </c>
    </row>
    <row r="266" spans="1:4" x14ac:dyDescent="0.25">
      <c r="A266" s="8">
        <v>46202</v>
      </c>
      <c r="B266" s="9" t="s">
        <v>178</v>
      </c>
      <c r="C266" s="10">
        <v>-8000</v>
      </c>
      <c r="D266" s="10">
        <f t="shared" si="4"/>
        <v>136500</v>
      </c>
    </row>
    <row r="267" spans="1:4" x14ac:dyDescent="0.25">
      <c r="A267" s="8">
        <v>46202</v>
      </c>
      <c r="B267" s="9" t="s">
        <v>3</v>
      </c>
      <c r="C267" s="10">
        <v>14760</v>
      </c>
      <c r="D267" s="10">
        <f t="shared" si="4"/>
        <v>151260</v>
      </c>
    </row>
    <row r="268" spans="1:4" x14ac:dyDescent="0.25">
      <c r="A268" s="8">
        <v>46205</v>
      </c>
      <c r="B268" s="9" t="s">
        <v>178</v>
      </c>
      <c r="C268" s="10">
        <v>-4000</v>
      </c>
      <c r="D268" s="10">
        <f t="shared" si="4"/>
        <v>147260</v>
      </c>
    </row>
    <row r="269" spans="1:4" x14ac:dyDescent="0.25">
      <c r="A269" s="8">
        <v>46205</v>
      </c>
      <c r="B269" s="9" t="s">
        <v>3</v>
      </c>
      <c r="C269" s="10">
        <f>3000+6300+160+480+400+250+500+600+1000+2300+1800+1500+1200+400+160+250</f>
        <v>20300</v>
      </c>
      <c r="D269" s="10">
        <f t="shared" si="4"/>
        <v>167560</v>
      </c>
    </row>
    <row r="270" spans="1:4" x14ac:dyDescent="0.25">
      <c r="A270" s="8">
        <v>46209</v>
      </c>
      <c r="B270" s="9" t="s">
        <v>3</v>
      </c>
      <c r="C270" s="10">
        <f>2400+1800+300+900+400+3500+800+1200+250+1080+250+160+300+250+300</f>
        <v>13890</v>
      </c>
      <c r="D270" s="10">
        <f t="shared" si="4"/>
        <v>181450</v>
      </c>
    </row>
    <row r="271" spans="1:4" x14ac:dyDescent="0.25">
      <c r="A271" s="8">
        <v>46209</v>
      </c>
      <c r="B271" s="9" t="s">
        <v>493</v>
      </c>
      <c r="C271" s="10">
        <v>-18000</v>
      </c>
      <c r="D271" s="10">
        <f t="shared" si="4"/>
        <v>163450</v>
      </c>
    </row>
    <row r="272" spans="1:4" x14ac:dyDescent="0.25">
      <c r="A272" s="8">
        <v>46212</v>
      </c>
      <c r="B272" s="9" t="s">
        <v>3</v>
      </c>
      <c r="C272" s="10">
        <f>15790-300</f>
        <v>15490</v>
      </c>
      <c r="D272" s="10">
        <f t="shared" si="4"/>
        <v>178940</v>
      </c>
    </row>
    <row r="273" spans="1:7" x14ac:dyDescent="0.25">
      <c r="A273" s="8">
        <v>46212</v>
      </c>
      <c r="B273" s="9" t="s">
        <v>178</v>
      </c>
      <c r="C273" s="10">
        <v>-20000</v>
      </c>
      <c r="D273" s="10">
        <f t="shared" si="4"/>
        <v>158940</v>
      </c>
    </row>
    <row r="274" spans="1:7" x14ac:dyDescent="0.25">
      <c r="A274" s="8">
        <v>46216</v>
      </c>
      <c r="B274" s="9" t="s">
        <v>3</v>
      </c>
      <c r="C274" s="10">
        <v>14400</v>
      </c>
      <c r="D274" s="10">
        <f t="shared" si="4"/>
        <v>173340</v>
      </c>
    </row>
    <row r="275" spans="1:7" x14ac:dyDescent="0.25">
      <c r="A275" s="8">
        <v>46216</v>
      </c>
      <c r="B275" s="9" t="s">
        <v>178</v>
      </c>
      <c r="C275" s="10">
        <v>-22000</v>
      </c>
      <c r="D275" s="10">
        <f t="shared" si="4"/>
        <v>151340</v>
      </c>
    </row>
    <row r="276" spans="1:7" x14ac:dyDescent="0.25">
      <c r="A276" s="8">
        <v>46219</v>
      </c>
      <c r="B276" s="9" t="s">
        <v>3</v>
      </c>
      <c r="C276" s="10">
        <v>16360</v>
      </c>
      <c r="D276" s="10">
        <f t="shared" si="4"/>
        <v>167700</v>
      </c>
      <c r="G276">
        <f>16500-2100</f>
        <v>14400</v>
      </c>
    </row>
    <row r="277" spans="1:7" x14ac:dyDescent="0.25">
      <c r="A277" s="8">
        <v>46219</v>
      </c>
      <c r="B277" s="9" t="s">
        <v>178</v>
      </c>
      <c r="C277" s="10">
        <v>-24000</v>
      </c>
      <c r="D277" s="10">
        <f t="shared" si="4"/>
        <v>143700</v>
      </c>
    </row>
    <row r="278" spans="1:7" x14ac:dyDescent="0.25">
      <c r="A278" s="8">
        <v>46221</v>
      </c>
      <c r="B278" s="9" t="s">
        <v>148</v>
      </c>
      <c r="C278" s="10">
        <v>5680</v>
      </c>
      <c r="D278" s="10">
        <f t="shared" si="4"/>
        <v>149380</v>
      </c>
    </row>
    <row r="279" spans="1:7" x14ac:dyDescent="0.25">
      <c r="A279" s="8">
        <v>46223</v>
      </c>
      <c r="B279" s="9" t="s">
        <v>3</v>
      </c>
      <c r="C279" s="10">
        <v>17580</v>
      </c>
      <c r="D279" s="10">
        <f t="shared" si="4"/>
        <v>166960</v>
      </c>
    </row>
    <row r="280" spans="1:7" x14ac:dyDescent="0.25">
      <c r="A280" s="8">
        <v>46223</v>
      </c>
      <c r="B280" s="9" t="s">
        <v>178</v>
      </c>
      <c r="C280" s="10">
        <v>-24000</v>
      </c>
      <c r="D280" s="10">
        <f t="shared" si="4"/>
        <v>142960</v>
      </c>
    </row>
    <row r="281" spans="1:7" x14ac:dyDescent="0.25">
      <c r="A281" s="8">
        <v>46225</v>
      </c>
      <c r="B281" s="9" t="s">
        <v>148</v>
      </c>
      <c r="C281" s="10">
        <v>5910</v>
      </c>
      <c r="D281" s="10">
        <f t="shared" si="4"/>
        <v>148870</v>
      </c>
    </row>
    <row r="282" spans="1:7" x14ac:dyDescent="0.25">
      <c r="A282" s="8">
        <v>46226</v>
      </c>
      <c r="B282" s="9" t="s">
        <v>97</v>
      </c>
      <c r="C282" s="10">
        <v>29190</v>
      </c>
      <c r="D282" s="10">
        <f t="shared" si="4"/>
        <v>178060</v>
      </c>
      <c r="E282" t="s">
        <v>520</v>
      </c>
    </row>
    <row r="283" spans="1:7" x14ac:dyDescent="0.25">
      <c r="A283" s="8">
        <v>46226</v>
      </c>
      <c r="B283" s="9" t="s">
        <v>178</v>
      </c>
      <c r="C283" s="10">
        <v>-23490</v>
      </c>
      <c r="D283" s="10">
        <f t="shared" si="4"/>
        <v>154570</v>
      </c>
    </row>
    <row r="284" spans="1:7" x14ac:dyDescent="0.25">
      <c r="A284" s="8">
        <v>46230</v>
      </c>
      <c r="B284" s="9" t="s">
        <v>3</v>
      </c>
      <c r="C284" s="10">
        <v>15330</v>
      </c>
      <c r="D284" s="10">
        <f t="shared" si="4"/>
        <v>169900</v>
      </c>
      <c r="E284" t="s">
        <v>530</v>
      </c>
      <c r="F284" s="6"/>
    </row>
    <row r="285" spans="1:7" x14ac:dyDescent="0.25">
      <c r="A285" s="8">
        <v>46230</v>
      </c>
      <c r="B285" s="9" t="s">
        <v>178</v>
      </c>
      <c r="C285" s="10">
        <v>-29190</v>
      </c>
      <c r="D285" s="10">
        <f t="shared" si="4"/>
        <v>140710</v>
      </c>
    </row>
    <row r="286" spans="1:7" x14ac:dyDescent="0.25">
      <c r="A286" s="8">
        <v>46233</v>
      </c>
      <c r="B286" s="9" t="s">
        <v>178</v>
      </c>
      <c r="C286" s="10">
        <v>23110</v>
      </c>
      <c r="D286" s="10">
        <f t="shared" si="4"/>
        <v>163820</v>
      </c>
    </row>
    <row r="287" spans="1:7" x14ac:dyDescent="0.25">
      <c r="A287" s="8">
        <v>46233</v>
      </c>
      <c r="B287" s="9" t="s">
        <v>178</v>
      </c>
      <c r="C287" s="10">
        <v>-15330</v>
      </c>
      <c r="D287" s="10">
        <f t="shared" si="4"/>
        <v>148490</v>
      </c>
    </row>
    <row r="288" spans="1:7" x14ac:dyDescent="0.25">
      <c r="A288" s="8">
        <v>46235</v>
      </c>
      <c r="B288" s="9" t="s">
        <v>129</v>
      </c>
      <c r="C288" s="10">
        <v>17970</v>
      </c>
      <c r="D288" s="10">
        <f t="shared" si="4"/>
        <v>166460</v>
      </c>
    </row>
    <row r="289" spans="1:6" x14ac:dyDescent="0.25">
      <c r="A289" s="8">
        <v>46237</v>
      </c>
      <c r="B289" s="9" t="s">
        <v>3</v>
      </c>
      <c r="C289" s="10">
        <v>8260</v>
      </c>
      <c r="D289" s="10">
        <f t="shared" si="4"/>
        <v>174720</v>
      </c>
    </row>
    <row r="290" spans="1:6" x14ac:dyDescent="0.25">
      <c r="A290" s="8">
        <v>46237</v>
      </c>
      <c r="B290" s="9" t="s">
        <v>178</v>
      </c>
      <c r="C290" s="10">
        <v>-20000</v>
      </c>
      <c r="D290" s="10">
        <f t="shared" si="4"/>
        <v>154720</v>
      </c>
    </row>
    <row r="291" spans="1:6" x14ac:dyDescent="0.25">
      <c r="A291" s="8">
        <v>46240</v>
      </c>
      <c r="B291" s="9" t="s">
        <v>3</v>
      </c>
      <c r="C291" s="10">
        <v>18910</v>
      </c>
      <c r="D291" s="10">
        <f t="shared" si="4"/>
        <v>173630</v>
      </c>
    </row>
    <row r="292" spans="1:6" x14ac:dyDescent="0.25">
      <c r="A292" s="8">
        <v>46240</v>
      </c>
      <c r="B292" s="9" t="s">
        <v>178</v>
      </c>
      <c r="C292" s="10">
        <v>-22000</v>
      </c>
      <c r="D292" s="10">
        <f t="shared" si="4"/>
        <v>151630</v>
      </c>
    </row>
    <row r="293" spans="1:6" x14ac:dyDescent="0.25">
      <c r="A293" s="8">
        <v>46244</v>
      </c>
      <c r="B293" s="9" t="s">
        <v>3</v>
      </c>
      <c r="C293" s="10">
        <v>19800</v>
      </c>
      <c r="D293" s="10">
        <f t="shared" si="4"/>
        <v>171430</v>
      </c>
      <c r="F293">
        <f>151630+19800</f>
        <v>171430</v>
      </c>
    </row>
    <row r="294" spans="1:6" x14ac:dyDescent="0.25">
      <c r="A294" s="8">
        <v>46244</v>
      </c>
      <c r="B294" s="9" t="s">
        <v>178</v>
      </c>
      <c r="C294" s="10">
        <v>-21000</v>
      </c>
      <c r="D294" s="10">
        <f t="shared" si="4"/>
        <v>150430</v>
      </c>
    </row>
    <row r="295" spans="1:6" x14ac:dyDescent="0.25">
      <c r="A295" s="8">
        <v>46247</v>
      </c>
      <c r="B295" s="9" t="s">
        <v>3</v>
      </c>
      <c r="C295" s="10">
        <v>27010</v>
      </c>
      <c r="D295" s="10">
        <f t="shared" si="4"/>
        <v>177440</v>
      </c>
    </row>
    <row r="296" spans="1:6" x14ac:dyDescent="0.25">
      <c r="A296" s="8">
        <v>46247</v>
      </c>
      <c r="B296" s="9" t="s">
        <v>178</v>
      </c>
      <c r="C296" s="10">
        <v>-21000</v>
      </c>
      <c r="D296" s="10">
        <f t="shared" si="4"/>
        <v>156440</v>
      </c>
    </row>
    <row r="297" spans="1:6" x14ac:dyDescent="0.25">
      <c r="A297" s="8">
        <v>46251</v>
      </c>
      <c r="B297" s="9" t="s">
        <v>3</v>
      </c>
      <c r="C297" s="10">
        <v>6400</v>
      </c>
      <c r="D297" s="10">
        <f t="shared" si="4"/>
        <v>162840</v>
      </c>
    </row>
    <row r="298" spans="1:6" x14ac:dyDescent="0.25">
      <c r="A298" s="8">
        <v>46251</v>
      </c>
      <c r="B298" s="9" t="s">
        <v>178</v>
      </c>
      <c r="C298" s="10">
        <v>-27010</v>
      </c>
      <c r="D298" s="10">
        <f t="shared" si="4"/>
        <v>135830</v>
      </c>
    </row>
    <row r="299" spans="1:6" x14ac:dyDescent="0.25">
      <c r="A299" s="8">
        <v>46254</v>
      </c>
      <c r="B299" s="9" t="s">
        <v>3</v>
      </c>
      <c r="C299" s="10">
        <v>20300</v>
      </c>
      <c r="D299" s="10">
        <f t="shared" si="4"/>
        <v>156130</v>
      </c>
    </row>
    <row r="300" spans="1:6" x14ac:dyDescent="0.25">
      <c r="A300" s="8">
        <v>46254</v>
      </c>
      <c r="B300" s="9" t="s">
        <v>178</v>
      </c>
      <c r="C300" s="10">
        <v>-8000</v>
      </c>
      <c r="D300" s="10">
        <f t="shared" si="4"/>
        <v>148130</v>
      </c>
    </row>
    <row r="301" spans="1:6" x14ac:dyDescent="0.25">
      <c r="A301" s="8">
        <v>46258</v>
      </c>
      <c r="B301" s="9" t="s">
        <v>3</v>
      </c>
      <c r="C301" s="10">
        <v>16930</v>
      </c>
      <c r="D301" s="10">
        <f t="shared" si="4"/>
        <v>165060</v>
      </c>
    </row>
    <row r="302" spans="1:6" x14ac:dyDescent="0.25">
      <c r="A302" s="8">
        <v>46258</v>
      </c>
      <c r="B302" s="9" t="s">
        <v>296</v>
      </c>
      <c r="C302" s="10">
        <v>-12000</v>
      </c>
      <c r="D302" s="10">
        <f t="shared" si="4"/>
        <v>153060</v>
      </c>
    </row>
    <row r="303" spans="1:6" x14ac:dyDescent="0.25">
      <c r="A303" s="8">
        <v>46261</v>
      </c>
      <c r="B303" s="9" t="s">
        <v>3</v>
      </c>
      <c r="C303" s="10">
        <v>11720</v>
      </c>
      <c r="D303" s="10">
        <f t="shared" si="4"/>
        <v>164780</v>
      </c>
    </row>
    <row r="304" spans="1:6" x14ac:dyDescent="0.25">
      <c r="A304" s="8">
        <v>46261</v>
      </c>
      <c r="B304" s="9" t="s">
        <v>178</v>
      </c>
      <c r="C304" s="10">
        <v>-15000</v>
      </c>
      <c r="D304" s="10">
        <f t="shared" si="4"/>
        <v>149780</v>
      </c>
    </row>
    <row r="305" spans="1:5" x14ac:dyDescent="0.25">
      <c r="A305" s="8">
        <v>46265</v>
      </c>
      <c r="B305" s="9" t="s">
        <v>3</v>
      </c>
      <c r="C305" s="10">
        <v>15320</v>
      </c>
      <c r="D305" s="10">
        <f t="shared" si="4"/>
        <v>165100</v>
      </c>
    </row>
    <row r="306" spans="1:5" x14ac:dyDescent="0.25">
      <c r="A306" s="8">
        <v>46265</v>
      </c>
      <c r="B306" s="9" t="s">
        <v>178</v>
      </c>
      <c r="C306" s="10">
        <v>-15000</v>
      </c>
      <c r="D306" s="10">
        <f t="shared" si="4"/>
        <v>150100</v>
      </c>
    </row>
    <row r="307" spans="1:5" x14ac:dyDescent="0.25">
      <c r="A307" s="8">
        <v>46268</v>
      </c>
      <c r="B307" s="9" t="s">
        <v>3</v>
      </c>
      <c r="C307" s="10">
        <v>20060</v>
      </c>
      <c r="D307" s="10">
        <f t="shared" ref="D307:D338" si="5">D306+C307</f>
        <v>170160</v>
      </c>
    </row>
    <row r="308" spans="1:5" x14ac:dyDescent="0.25">
      <c r="A308" s="8">
        <v>46268</v>
      </c>
      <c r="B308" s="9" t="s">
        <v>178</v>
      </c>
      <c r="C308" s="10">
        <v>-16000</v>
      </c>
      <c r="D308" s="10">
        <f t="shared" si="5"/>
        <v>154160</v>
      </c>
    </row>
    <row r="309" spans="1:5" x14ac:dyDescent="0.25">
      <c r="A309" s="8">
        <v>46272</v>
      </c>
      <c r="B309" s="9" t="s">
        <v>3</v>
      </c>
      <c r="C309" s="10">
        <v>15630</v>
      </c>
      <c r="D309" s="10">
        <f t="shared" si="5"/>
        <v>169790</v>
      </c>
    </row>
    <row r="310" spans="1:5" x14ac:dyDescent="0.25">
      <c r="A310" s="8">
        <v>46272</v>
      </c>
      <c r="B310" s="9" t="s">
        <v>178</v>
      </c>
      <c r="C310" s="10">
        <v>-9000</v>
      </c>
      <c r="D310" s="10">
        <f t="shared" si="5"/>
        <v>160790</v>
      </c>
      <c r="E310">
        <v>-5</v>
      </c>
    </row>
    <row r="311" spans="1:5" x14ac:dyDescent="0.25">
      <c r="A311" s="8">
        <v>46273</v>
      </c>
      <c r="B311" s="9" t="s">
        <v>3</v>
      </c>
      <c r="C311" s="10">
        <v>4050</v>
      </c>
      <c r="D311" s="10">
        <f t="shared" si="5"/>
        <v>164840</v>
      </c>
    </row>
    <row r="312" spans="1:5" x14ac:dyDescent="0.25">
      <c r="A312" s="8">
        <v>46275</v>
      </c>
      <c r="B312" s="9" t="s">
        <v>3</v>
      </c>
      <c r="C312" s="10">
        <v>22550</v>
      </c>
      <c r="D312" s="10">
        <f t="shared" si="5"/>
        <v>187390</v>
      </c>
    </row>
    <row r="313" spans="1:5" x14ac:dyDescent="0.25">
      <c r="A313" s="8">
        <v>46275</v>
      </c>
      <c r="B313" s="9" t="s">
        <v>178</v>
      </c>
      <c r="C313" s="10">
        <v>-20000</v>
      </c>
      <c r="D313" s="10">
        <f t="shared" si="5"/>
        <v>167390</v>
      </c>
    </row>
    <row r="314" spans="1:5" x14ac:dyDescent="0.25">
      <c r="A314" s="13" t="s">
        <v>585</v>
      </c>
      <c r="B314" s="9" t="s">
        <v>3</v>
      </c>
      <c r="C314" s="10">
        <v>18470</v>
      </c>
      <c r="D314" s="10">
        <f t="shared" si="5"/>
        <v>185860</v>
      </c>
    </row>
    <row r="315" spans="1:5" x14ac:dyDescent="0.25">
      <c r="A315" s="8">
        <v>46279</v>
      </c>
      <c r="B315" s="9" t="s">
        <v>178</v>
      </c>
      <c r="C315" s="10">
        <v>-18000</v>
      </c>
      <c r="D315" s="10">
        <f t="shared" si="5"/>
        <v>167860</v>
      </c>
    </row>
    <row r="316" spans="1:5" x14ac:dyDescent="0.25">
      <c r="A316" s="8">
        <v>46282</v>
      </c>
      <c r="B316" s="9" t="s">
        <v>3</v>
      </c>
      <c r="C316" s="10">
        <v>44710</v>
      </c>
      <c r="D316" s="10">
        <f t="shared" si="5"/>
        <v>212570</v>
      </c>
      <c r="E316">
        <v>-5</v>
      </c>
    </row>
    <row r="317" spans="1:5" x14ac:dyDescent="0.25">
      <c r="A317" s="8">
        <v>46282</v>
      </c>
      <c r="B317" s="9" t="s">
        <v>178</v>
      </c>
      <c r="C317" s="10">
        <v>-32550</v>
      </c>
      <c r="D317" s="10">
        <f t="shared" si="5"/>
        <v>180020</v>
      </c>
    </row>
    <row r="318" spans="1:5" x14ac:dyDescent="0.25">
      <c r="A318" s="8">
        <v>46283</v>
      </c>
      <c r="B318" s="9" t="s">
        <v>148</v>
      </c>
      <c r="C318" s="10">
        <v>6450</v>
      </c>
      <c r="D318" s="10">
        <f t="shared" si="5"/>
        <v>186470</v>
      </c>
    </row>
    <row r="319" spans="1:5" x14ac:dyDescent="0.25">
      <c r="A319" s="8">
        <v>46284</v>
      </c>
      <c r="B319" s="9" t="s">
        <v>148</v>
      </c>
      <c r="C319" s="10">
        <v>12060</v>
      </c>
      <c r="D319" s="10">
        <f t="shared" si="5"/>
        <v>198530</v>
      </c>
    </row>
    <row r="320" spans="1:5" x14ac:dyDescent="0.25">
      <c r="A320" s="8">
        <v>46286</v>
      </c>
      <c r="B320" s="9" t="s">
        <v>3</v>
      </c>
      <c r="C320" s="10">
        <v>7810</v>
      </c>
      <c r="D320" s="10">
        <f t="shared" si="5"/>
        <v>206340</v>
      </c>
    </row>
    <row r="321" spans="1:4" x14ac:dyDescent="0.25">
      <c r="A321" s="8">
        <v>46289</v>
      </c>
      <c r="B321" s="9" t="s">
        <v>3</v>
      </c>
      <c r="C321" s="10">
        <v>23270</v>
      </c>
      <c r="D321" s="10">
        <f t="shared" si="5"/>
        <v>229610</v>
      </c>
    </row>
    <row r="322" spans="1:4" x14ac:dyDescent="0.25">
      <c r="A322" s="8">
        <v>46289</v>
      </c>
      <c r="B322" s="9" t="s">
        <v>178</v>
      </c>
      <c r="C322" s="10">
        <v>-71030</v>
      </c>
      <c r="D322" s="10">
        <f t="shared" si="5"/>
        <v>158580</v>
      </c>
    </row>
    <row r="323" spans="1:4" x14ac:dyDescent="0.25">
      <c r="A323" s="8">
        <v>46293</v>
      </c>
      <c r="B323" s="9" t="s">
        <v>3</v>
      </c>
      <c r="C323" s="10">
        <v>19630</v>
      </c>
      <c r="D323" s="10">
        <f t="shared" si="5"/>
        <v>178210</v>
      </c>
    </row>
    <row r="324" spans="1:4" x14ac:dyDescent="0.25">
      <c r="A324" s="8">
        <v>46293</v>
      </c>
      <c r="B324" s="9" t="s">
        <v>178</v>
      </c>
      <c r="C324" s="10">
        <v>-23270</v>
      </c>
      <c r="D324" s="10">
        <f t="shared" si="5"/>
        <v>154940</v>
      </c>
    </row>
    <row r="325" spans="1:4" x14ac:dyDescent="0.25">
      <c r="A325" s="8">
        <v>46296</v>
      </c>
      <c r="B325" s="9" t="s">
        <v>589</v>
      </c>
      <c r="C325" s="10">
        <v>29360</v>
      </c>
      <c r="D325" s="10">
        <f t="shared" si="5"/>
        <v>184300</v>
      </c>
    </row>
    <row r="326" spans="1:4" x14ac:dyDescent="0.25">
      <c r="A326" s="8">
        <v>46296</v>
      </c>
      <c r="B326" s="9" t="s">
        <v>178</v>
      </c>
      <c r="C326" s="10">
        <v>-20000</v>
      </c>
      <c r="D326" s="10">
        <f t="shared" si="5"/>
        <v>164300</v>
      </c>
    </row>
    <row r="327" spans="1:4" x14ac:dyDescent="0.25">
      <c r="A327" s="8">
        <v>46300</v>
      </c>
      <c r="B327" s="9" t="s">
        <v>589</v>
      </c>
      <c r="C327" s="10">
        <v>26130</v>
      </c>
      <c r="D327" s="10">
        <f t="shared" si="5"/>
        <v>190430</v>
      </c>
    </row>
    <row r="328" spans="1:4" x14ac:dyDescent="0.25">
      <c r="A328" s="8"/>
      <c r="B328" s="9"/>
      <c r="C328" s="10">
        <v>-29360</v>
      </c>
      <c r="D328" s="10">
        <f t="shared" si="5"/>
        <v>161070</v>
      </c>
    </row>
    <row r="329" spans="1:4" x14ac:dyDescent="0.25">
      <c r="A329" s="8"/>
      <c r="B329" s="9"/>
      <c r="C329" s="10"/>
      <c r="D329" s="10">
        <f t="shared" si="5"/>
        <v>161070</v>
      </c>
    </row>
    <row r="330" spans="1:4" x14ac:dyDescent="0.25">
      <c r="A330" s="8"/>
      <c r="B330" s="9"/>
      <c r="C330" s="10"/>
      <c r="D330" s="10">
        <f t="shared" si="5"/>
        <v>161070</v>
      </c>
    </row>
    <row r="331" spans="1:4" x14ac:dyDescent="0.25">
      <c r="A331" s="8"/>
      <c r="B331" s="9"/>
      <c r="C331" s="10"/>
      <c r="D331" s="10">
        <f t="shared" si="5"/>
        <v>161070</v>
      </c>
    </row>
    <row r="332" spans="1:4" x14ac:dyDescent="0.25">
      <c r="A332" s="8"/>
      <c r="B332" s="9"/>
      <c r="C332" s="10"/>
      <c r="D332" s="10">
        <f t="shared" si="5"/>
        <v>161070</v>
      </c>
    </row>
    <row r="333" spans="1:4" x14ac:dyDescent="0.25">
      <c r="A333" s="8"/>
      <c r="B333" s="9"/>
      <c r="C333" s="10"/>
      <c r="D333" s="10">
        <f t="shared" si="5"/>
        <v>161070</v>
      </c>
    </row>
    <row r="334" spans="1:4" x14ac:dyDescent="0.25">
      <c r="A334" s="8"/>
      <c r="B334" s="9"/>
      <c r="C334" s="10"/>
      <c r="D334" s="10">
        <f t="shared" si="5"/>
        <v>161070</v>
      </c>
    </row>
    <row r="335" spans="1:4" x14ac:dyDescent="0.25">
      <c r="A335" s="8"/>
      <c r="B335" s="9"/>
      <c r="C335" s="10"/>
      <c r="D335" s="10">
        <f t="shared" si="5"/>
        <v>161070</v>
      </c>
    </row>
    <row r="336" spans="1:4" x14ac:dyDescent="0.25">
      <c r="A336" s="9"/>
      <c r="B336" s="9"/>
      <c r="C336" s="10"/>
      <c r="D336" s="10">
        <f t="shared" si="5"/>
        <v>161070</v>
      </c>
    </row>
    <row r="337" spans="4:4" x14ac:dyDescent="0.25">
      <c r="D337" s="10">
        <f t="shared" si="5"/>
        <v>161070</v>
      </c>
    </row>
    <row r="338" spans="4:4" x14ac:dyDescent="0.25">
      <c r="D338" s="10">
        <f t="shared" si="5"/>
        <v>161070</v>
      </c>
    </row>
  </sheetData>
  <mergeCells count="2">
    <mergeCell ref="A4:D4"/>
    <mergeCell ref="B6:D6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D92FF-38D0-4483-87A4-1CE7EAE3EC73}">
  <sheetPr>
    <tabColor theme="5" tint="-0.499984740745262"/>
  </sheetPr>
  <dimension ref="A4:G187"/>
  <sheetViews>
    <sheetView topLeftCell="A26" workbookViewId="0">
      <selection activeCell="A52" sqref="A52"/>
    </sheetView>
  </sheetViews>
  <sheetFormatPr baseColWidth="10" defaultRowHeight="15" x14ac:dyDescent="0.25"/>
  <cols>
    <col min="1" max="1" width="28.28515625" customWidth="1"/>
    <col min="2" max="2" width="27.140625" customWidth="1"/>
    <col min="3" max="3" width="23.42578125" style="6" customWidth="1"/>
    <col min="4" max="4" width="21.85546875" style="6" customWidth="1"/>
  </cols>
  <sheetData>
    <row r="4" spans="1:7" ht="18" x14ac:dyDescent="0.25">
      <c r="A4" s="98" t="s">
        <v>0</v>
      </c>
      <c r="B4" s="98"/>
      <c r="C4" s="98"/>
      <c r="D4" s="98"/>
      <c r="E4" s="1"/>
      <c r="F4" s="1"/>
      <c r="G4" s="1"/>
    </row>
    <row r="6" spans="1:7" x14ac:dyDescent="0.25">
      <c r="A6" s="2" t="s">
        <v>1</v>
      </c>
      <c r="B6" s="96" t="s">
        <v>20</v>
      </c>
      <c r="C6" s="97"/>
      <c r="D6" s="97"/>
    </row>
    <row r="7" spans="1:7" x14ac:dyDescent="0.25">
      <c r="A7" s="3" t="s">
        <v>11</v>
      </c>
      <c r="B7" s="4" t="s">
        <v>18</v>
      </c>
      <c r="C7" s="4"/>
      <c r="D7" s="4"/>
    </row>
    <row r="8" spans="1:7" x14ac:dyDescent="0.25">
      <c r="B8" s="5"/>
    </row>
    <row r="9" spans="1:7" x14ac:dyDescent="0.25">
      <c r="A9" s="2" t="s">
        <v>2</v>
      </c>
      <c r="B9" s="2" t="s">
        <v>3</v>
      </c>
      <c r="C9" s="7" t="s">
        <v>4</v>
      </c>
      <c r="D9" s="7" t="s">
        <v>5</v>
      </c>
    </row>
    <row r="10" spans="1:7" x14ac:dyDescent="0.25">
      <c r="A10" s="8">
        <v>45834</v>
      </c>
      <c r="B10" s="9" t="s">
        <v>6</v>
      </c>
      <c r="C10" s="10">
        <v>4520</v>
      </c>
      <c r="D10" s="10">
        <f>C10</f>
        <v>4520</v>
      </c>
    </row>
    <row r="11" spans="1:7" x14ac:dyDescent="0.25">
      <c r="A11" s="8">
        <v>45838</v>
      </c>
      <c r="B11" s="9" t="s">
        <v>7</v>
      </c>
      <c r="C11" s="10">
        <v>-4520</v>
      </c>
      <c r="D11" s="10">
        <f>D10+C11</f>
        <v>0</v>
      </c>
    </row>
    <row r="12" spans="1:7" x14ac:dyDescent="0.25">
      <c r="A12" s="8">
        <v>45838</v>
      </c>
      <c r="B12" s="9" t="s">
        <v>6</v>
      </c>
      <c r="C12" s="10">
        <v>730</v>
      </c>
      <c r="D12" s="10">
        <f t="shared" ref="D12:D52" si="0">D11+C12</f>
        <v>730</v>
      </c>
    </row>
    <row r="13" spans="1:7" x14ac:dyDescent="0.25">
      <c r="A13" s="8">
        <v>45841</v>
      </c>
      <c r="B13" s="9" t="s">
        <v>6</v>
      </c>
      <c r="C13" s="10">
        <v>3610</v>
      </c>
      <c r="D13" s="10">
        <f t="shared" si="0"/>
        <v>4340</v>
      </c>
    </row>
    <row r="14" spans="1:7" x14ac:dyDescent="0.25">
      <c r="A14" s="8">
        <v>45841</v>
      </c>
      <c r="B14" s="9" t="s">
        <v>46</v>
      </c>
      <c r="C14" s="10">
        <v>-3610</v>
      </c>
      <c r="D14" s="10">
        <f t="shared" si="0"/>
        <v>730</v>
      </c>
    </row>
    <row r="15" spans="1:7" x14ac:dyDescent="0.25">
      <c r="A15" s="8">
        <v>45848</v>
      </c>
      <c r="B15" s="9" t="s">
        <v>7</v>
      </c>
      <c r="C15" s="10">
        <v>-740</v>
      </c>
      <c r="D15" s="11">
        <f t="shared" si="0"/>
        <v>-10</v>
      </c>
    </row>
    <row r="16" spans="1:7" x14ac:dyDescent="0.25">
      <c r="A16" s="8">
        <v>45869</v>
      </c>
      <c r="B16" s="9" t="s">
        <v>6</v>
      </c>
      <c r="C16" s="10">
        <v>1900</v>
      </c>
      <c r="D16" s="10">
        <f t="shared" si="0"/>
        <v>1890</v>
      </c>
    </row>
    <row r="17" spans="1:4" x14ac:dyDescent="0.25">
      <c r="A17" s="8">
        <v>45873</v>
      </c>
      <c r="B17" s="9" t="s">
        <v>6</v>
      </c>
      <c r="C17" s="10">
        <v>1570</v>
      </c>
      <c r="D17" s="10">
        <f t="shared" si="0"/>
        <v>3460</v>
      </c>
    </row>
    <row r="18" spans="1:4" x14ac:dyDescent="0.25">
      <c r="A18" s="8">
        <v>45873</v>
      </c>
      <c r="B18" s="9" t="s">
        <v>46</v>
      </c>
      <c r="C18" s="10">
        <v>-2000</v>
      </c>
      <c r="D18" s="10">
        <f t="shared" si="0"/>
        <v>1460</v>
      </c>
    </row>
    <row r="19" spans="1:4" x14ac:dyDescent="0.25">
      <c r="A19" s="8">
        <v>45883</v>
      </c>
      <c r="B19" s="9" t="s">
        <v>6</v>
      </c>
      <c r="C19" s="10">
        <v>2860</v>
      </c>
      <c r="D19" s="10">
        <f t="shared" si="0"/>
        <v>4320</v>
      </c>
    </row>
    <row r="20" spans="1:4" x14ac:dyDescent="0.25">
      <c r="A20" s="8">
        <v>45883</v>
      </c>
      <c r="B20" s="9" t="s">
        <v>46</v>
      </c>
      <c r="C20" s="10">
        <v>-3310</v>
      </c>
      <c r="D20" s="10">
        <f t="shared" si="0"/>
        <v>1010</v>
      </c>
    </row>
    <row r="21" spans="1:4" x14ac:dyDescent="0.25">
      <c r="A21" s="8">
        <v>45890</v>
      </c>
      <c r="B21" s="9" t="s">
        <v>6</v>
      </c>
      <c r="C21" s="10">
        <v>3480</v>
      </c>
      <c r="D21" s="10">
        <f t="shared" si="0"/>
        <v>4490</v>
      </c>
    </row>
    <row r="22" spans="1:4" x14ac:dyDescent="0.25">
      <c r="A22" s="8">
        <v>45897</v>
      </c>
      <c r="B22" s="9" t="s">
        <v>6</v>
      </c>
      <c r="C22" s="10">
        <v>1170</v>
      </c>
      <c r="D22" s="10">
        <f t="shared" si="0"/>
        <v>5660</v>
      </c>
    </row>
    <row r="23" spans="1:4" x14ac:dyDescent="0.25">
      <c r="A23" s="8">
        <v>45897</v>
      </c>
      <c r="B23" s="9" t="s">
        <v>44</v>
      </c>
      <c r="C23" s="10">
        <v>-5000</v>
      </c>
      <c r="D23" s="10">
        <f t="shared" si="0"/>
        <v>660</v>
      </c>
    </row>
    <row r="24" spans="1:4" x14ac:dyDescent="0.25">
      <c r="A24" s="8">
        <v>45918</v>
      </c>
      <c r="B24" s="9" t="s">
        <v>6</v>
      </c>
      <c r="C24" s="10">
        <v>10770</v>
      </c>
      <c r="D24" s="10">
        <f t="shared" si="0"/>
        <v>11430</v>
      </c>
    </row>
    <row r="25" spans="1:4" x14ac:dyDescent="0.25">
      <c r="A25" s="8">
        <v>45923</v>
      </c>
      <c r="B25" s="9" t="s">
        <v>44</v>
      </c>
      <c r="C25" s="10">
        <v>-11440</v>
      </c>
      <c r="D25" s="10">
        <f>D24+C25</f>
        <v>-10</v>
      </c>
    </row>
    <row r="26" spans="1:4" x14ac:dyDescent="0.25">
      <c r="A26" s="8">
        <v>45932</v>
      </c>
      <c r="B26" s="9" t="s">
        <v>6</v>
      </c>
      <c r="C26" s="10">
        <v>5890</v>
      </c>
      <c r="D26" s="10">
        <f t="shared" si="0"/>
        <v>5880</v>
      </c>
    </row>
    <row r="27" spans="1:4" x14ac:dyDescent="0.25">
      <c r="A27" s="8">
        <v>45932</v>
      </c>
      <c r="B27" s="9" t="s">
        <v>167</v>
      </c>
      <c r="C27" s="10">
        <v>-5890</v>
      </c>
      <c r="D27" s="10">
        <f t="shared" si="0"/>
        <v>-10</v>
      </c>
    </row>
    <row r="28" spans="1:4" x14ac:dyDescent="0.25">
      <c r="A28" s="8">
        <v>45936</v>
      </c>
      <c r="B28" s="9" t="s">
        <v>6</v>
      </c>
      <c r="C28" s="10">
        <v>1730</v>
      </c>
      <c r="D28" s="10">
        <f t="shared" si="0"/>
        <v>1720</v>
      </c>
    </row>
    <row r="29" spans="1:4" x14ac:dyDescent="0.25">
      <c r="A29" s="8">
        <v>45939</v>
      </c>
      <c r="B29" s="9" t="s">
        <v>6</v>
      </c>
      <c r="C29" s="10">
        <v>960</v>
      </c>
      <c r="D29" s="10">
        <f t="shared" si="0"/>
        <v>2680</v>
      </c>
    </row>
    <row r="30" spans="1:4" x14ac:dyDescent="0.25">
      <c r="A30" s="8">
        <v>45939</v>
      </c>
      <c r="B30" s="9" t="s">
        <v>178</v>
      </c>
      <c r="C30" s="10">
        <v>-1730</v>
      </c>
      <c r="D30" s="10">
        <f t="shared" si="0"/>
        <v>950</v>
      </c>
    </row>
    <row r="31" spans="1:4" x14ac:dyDescent="0.25">
      <c r="A31" s="8">
        <v>45943</v>
      </c>
      <c r="B31" s="9" t="s">
        <v>6</v>
      </c>
      <c r="C31" s="10">
        <v>1450</v>
      </c>
      <c r="D31" s="10">
        <f t="shared" si="0"/>
        <v>2400</v>
      </c>
    </row>
    <row r="32" spans="1:4" x14ac:dyDescent="0.25">
      <c r="A32" s="8">
        <v>45943</v>
      </c>
      <c r="B32" s="9" t="s">
        <v>178</v>
      </c>
      <c r="C32" s="10">
        <v>-960</v>
      </c>
      <c r="D32" s="10">
        <f t="shared" si="0"/>
        <v>1440</v>
      </c>
    </row>
    <row r="33" spans="1:4" x14ac:dyDescent="0.25">
      <c r="A33" s="8">
        <v>45946</v>
      </c>
      <c r="B33" s="9" t="s">
        <v>178</v>
      </c>
      <c r="C33" s="10">
        <v>-1450</v>
      </c>
      <c r="D33" s="10">
        <f t="shared" si="0"/>
        <v>-10</v>
      </c>
    </row>
    <row r="34" spans="1:4" x14ac:dyDescent="0.25">
      <c r="A34" s="8">
        <v>45950</v>
      </c>
      <c r="B34" s="9" t="s">
        <v>6</v>
      </c>
      <c r="C34" s="10">
        <v>1190</v>
      </c>
      <c r="D34" s="10">
        <f t="shared" si="0"/>
        <v>1180</v>
      </c>
    </row>
    <row r="35" spans="1:4" x14ac:dyDescent="0.25">
      <c r="A35" s="8">
        <v>45950</v>
      </c>
      <c r="B35" s="9" t="s">
        <v>178</v>
      </c>
      <c r="C35" s="10">
        <v>-1190</v>
      </c>
      <c r="D35" s="10">
        <f t="shared" si="0"/>
        <v>-10</v>
      </c>
    </row>
    <row r="36" spans="1:4" x14ac:dyDescent="0.25">
      <c r="A36" s="8">
        <v>45953</v>
      </c>
      <c r="B36" s="9" t="s">
        <v>6</v>
      </c>
      <c r="C36" s="10">
        <v>1240</v>
      </c>
      <c r="D36" s="10">
        <f t="shared" si="0"/>
        <v>1230</v>
      </c>
    </row>
    <row r="37" spans="1:4" x14ac:dyDescent="0.25">
      <c r="A37" s="8">
        <v>45957</v>
      </c>
      <c r="B37" s="9" t="s">
        <v>6</v>
      </c>
      <c r="C37" s="10">
        <v>1120</v>
      </c>
      <c r="D37" s="10">
        <f t="shared" si="0"/>
        <v>2350</v>
      </c>
    </row>
    <row r="38" spans="1:4" x14ac:dyDescent="0.25">
      <c r="A38" s="8">
        <v>45957</v>
      </c>
      <c r="B38" s="9" t="s">
        <v>178</v>
      </c>
      <c r="C38" s="10">
        <v>-2350</v>
      </c>
      <c r="D38" s="10">
        <f t="shared" si="0"/>
        <v>0</v>
      </c>
    </row>
    <row r="39" spans="1:4" x14ac:dyDescent="0.25">
      <c r="A39" s="8">
        <v>45981</v>
      </c>
      <c r="B39" s="9" t="s">
        <v>6</v>
      </c>
      <c r="C39" s="10">
        <v>2980</v>
      </c>
      <c r="D39" s="10">
        <f t="shared" si="0"/>
        <v>2980</v>
      </c>
    </row>
    <row r="40" spans="1:4" x14ac:dyDescent="0.25">
      <c r="A40" s="8">
        <v>45981</v>
      </c>
      <c r="B40" s="9" t="s">
        <v>92</v>
      </c>
      <c r="C40" s="10">
        <v>-1360</v>
      </c>
      <c r="D40" s="10">
        <f t="shared" si="0"/>
        <v>1620</v>
      </c>
    </row>
    <row r="41" spans="1:4" x14ac:dyDescent="0.25">
      <c r="A41" s="8">
        <v>45981</v>
      </c>
      <c r="B41" s="9" t="s">
        <v>138</v>
      </c>
      <c r="C41" s="10">
        <v>-1620</v>
      </c>
      <c r="D41" s="10">
        <f t="shared" si="0"/>
        <v>0</v>
      </c>
    </row>
    <row r="42" spans="1:4" x14ac:dyDescent="0.25">
      <c r="A42" s="8">
        <v>46132</v>
      </c>
      <c r="B42" s="9" t="s">
        <v>6</v>
      </c>
      <c r="C42" s="10">
        <v>1990</v>
      </c>
      <c r="D42" s="10">
        <f t="shared" si="0"/>
        <v>1990</v>
      </c>
    </row>
    <row r="43" spans="1:4" x14ac:dyDescent="0.25">
      <c r="A43" s="8">
        <v>46172</v>
      </c>
      <c r="B43" s="9" t="s">
        <v>178</v>
      </c>
      <c r="C43" s="10">
        <v>-1990</v>
      </c>
      <c r="D43" s="10">
        <f t="shared" si="0"/>
        <v>0</v>
      </c>
    </row>
    <row r="44" spans="1:4" x14ac:dyDescent="0.25">
      <c r="A44" s="8">
        <v>46160</v>
      </c>
      <c r="B44" s="9" t="s">
        <v>3</v>
      </c>
      <c r="C44" s="10">
        <v>2410</v>
      </c>
      <c r="D44" s="10">
        <f t="shared" si="0"/>
        <v>2410</v>
      </c>
    </row>
    <row r="45" spans="1:4" x14ac:dyDescent="0.25">
      <c r="A45" s="8">
        <v>46162</v>
      </c>
      <c r="B45" s="9" t="s">
        <v>127</v>
      </c>
      <c r="C45" s="10">
        <v>-2410</v>
      </c>
      <c r="D45" s="10">
        <f t="shared" si="0"/>
        <v>0</v>
      </c>
    </row>
    <row r="46" spans="1:4" x14ac:dyDescent="0.25">
      <c r="A46" s="8">
        <v>46205</v>
      </c>
      <c r="B46" s="9" t="s">
        <v>3</v>
      </c>
      <c r="C46" s="10">
        <v>1500</v>
      </c>
      <c r="D46" s="10">
        <f t="shared" si="0"/>
        <v>1500</v>
      </c>
    </row>
    <row r="47" spans="1:4" x14ac:dyDescent="0.25">
      <c r="A47" s="8">
        <v>46205</v>
      </c>
      <c r="B47" s="9" t="s">
        <v>178</v>
      </c>
      <c r="C47" s="10">
        <v>-1520</v>
      </c>
      <c r="D47" s="10">
        <f t="shared" si="0"/>
        <v>-20</v>
      </c>
    </row>
    <row r="48" spans="1:4" x14ac:dyDescent="0.25">
      <c r="A48" s="8">
        <v>46247</v>
      </c>
      <c r="B48" s="9" t="s">
        <v>3</v>
      </c>
      <c r="C48" s="10">
        <v>1850</v>
      </c>
      <c r="D48" s="10">
        <f t="shared" si="0"/>
        <v>1830</v>
      </c>
    </row>
    <row r="49" spans="1:4" x14ac:dyDescent="0.25">
      <c r="A49" s="8">
        <v>46247</v>
      </c>
      <c r="B49" s="9" t="s">
        <v>178</v>
      </c>
      <c r="C49" s="10">
        <v>-1850</v>
      </c>
      <c r="D49" s="10">
        <f t="shared" si="0"/>
        <v>-20</v>
      </c>
    </row>
    <row r="50" spans="1:4" x14ac:dyDescent="0.25">
      <c r="A50" s="8">
        <v>46265</v>
      </c>
      <c r="B50" s="9" t="s">
        <v>3</v>
      </c>
      <c r="C50" s="10">
        <v>850</v>
      </c>
      <c r="D50" s="10">
        <f t="shared" si="0"/>
        <v>830</v>
      </c>
    </row>
    <row r="51" spans="1:4" x14ac:dyDescent="0.25">
      <c r="A51" s="8">
        <v>46265</v>
      </c>
      <c r="B51" s="9" t="s">
        <v>178</v>
      </c>
      <c r="C51" s="10">
        <v>-830</v>
      </c>
      <c r="D51" s="10">
        <f t="shared" si="0"/>
        <v>0</v>
      </c>
    </row>
    <row r="52" spans="1:4" x14ac:dyDescent="0.25">
      <c r="A52" s="8"/>
      <c r="B52" s="9"/>
      <c r="C52" s="10"/>
      <c r="D52" s="10">
        <f t="shared" si="0"/>
        <v>0</v>
      </c>
    </row>
    <row r="53" spans="1:4" x14ac:dyDescent="0.25">
      <c r="A53" s="8"/>
      <c r="B53" s="9"/>
      <c r="C53" s="10"/>
      <c r="D53" s="10"/>
    </row>
    <row r="54" spans="1:4" x14ac:dyDescent="0.25">
      <c r="A54" s="8"/>
      <c r="B54" s="9"/>
      <c r="C54" s="10"/>
      <c r="D54" s="10"/>
    </row>
    <row r="55" spans="1:4" x14ac:dyDescent="0.25">
      <c r="A55" s="8"/>
      <c r="B55" s="9"/>
      <c r="C55" s="10"/>
      <c r="D55" s="10"/>
    </row>
    <row r="56" spans="1:4" x14ac:dyDescent="0.25">
      <c r="A56" s="8"/>
      <c r="B56" s="9"/>
      <c r="C56" s="10"/>
      <c r="D56" s="10"/>
    </row>
    <row r="57" spans="1:4" x14ac:dyDescent="0.25">
      <c r="A57" s="8"/>
      <c r="B57" s="9"/>
      <c r="C57" s="10"/>
      <c r="D57" s="10"/>
    </row>
    <row r="58" spans="1:4" x14ac:dyDescent="0.25">
      <c r="A58" s="8"/>
      <c r="B58" s="9"/>
      <c r="C58" s="10"/>
      <c r="D58" s="10"/>
    </row>
    <row r="59" spans="1:4" x14ac:dyDescent="0.25">
      <c r="A59" s="8"/>
      <c r="B59" s="9"/>
      <c r="C59" s="10"/>
      <c r="D59" s="10"/>
    </row>
    <row r="60" spans="1:4" x14ac:dyDescent="0.25">
      <c r="A60" s="8"/>
      <c r="B60" s="9"/>
      <c r="C60" s="10"/>
      <c r="D60" s="10"/>
    </row>
    <row r="61" spans="1:4" x14ac:dyDescent="0.25">
      <c r="A61" s="8"/>
      <c r="B61" s="9"/>
      <c r="C61" s="10"/>
      <c r="D61" s="10"/>
    </row>
    <row r="62" spans="1:4" x14ac:dyDescent="0.25">
      <c r="A62" s="8"/>
      <c r="B62" s="9"/>
      <c r="C62" s="10"/>
      <c r="D62" s="10"/>
    </row>
    <row r="63" spans="1:4" x14ac:dyDescent="0.25">
      <c r="A63" s="8"/>
      <c r="B63" s="9"/>
      <c r="C63" s="10"/>
      <c r="D63" s="10"/>
    </row>
    <row r="64" spans="1:4" x14ac:dyDescent="0.25">
      <c r="A64" s="8"/>
      <c r="B64" s="9"/>
      <c r="C64" s="10"/>
      <c r="D64" s="10"/>
    </row>
    <row r="65" spans="1:4" x14ac:dyDescent="0.25">
      <c r="A65" s="8"/>
      <c r="B65" s="9"/>
      <c r="C65" s="10"/>
      <c r="D65" s="10"/>
    </row>
    <row r="66" spans="1:4" x14ac:dyDescent="0.25">
      <c r="A66" s="8"/>
      <c r="B66" s="9"/>
      <c r="C66" s="10"/>
      <c r="D66" s="10"/>
    </row>
    <row r="67" spans="1:4" x14ac:dyDescent="0.25">
      <c r="A67" s="8"/>
      <c r="B67" s="9"/>
      <c r="C67" s="10"/>
      <c r="D67" s="10"/>
    </row>
    <row r="68" spans="1:4" x14ac:dyDescent="0.25">
      <c r="A68" s="8"/>
      <c r="B68" s="9"/>
      <c r="C68" s="10"/>
      <c r="D68" s="10"/>
    </row>
    <row r="69" spans="1:4" x14ac:dyDescent="0.25">
      <c r="A69" s="8"/>
      <c r="B69" s="9"/>
      <c r="C69" s="10"/>
      <c r="D69" s="10"/>
    </row>
    <row r="70" spans="1:4" x14ac:dyDescent="0.25">
      <c r="A70" s="8"/>
      <c r="B70" s="9"/>
      <c r="C70" s="10"/>
      <c r="D70" s="10"/>
    </row>
    <row r="71" spans="1:4" x14ac:dyDescent="0.25">
      <c r="A71" s="8"/>
      <c r="B71" s="9"/>
      <c r="C71" s="10"/>
      <c r="D71" s="10"/>
    </row>
    <row r="72" spans="1:4" x14ac:dyDescent="0.25">
      <c r="A72" s="8"/>
      <c r="B72" s="9"/>
      <c r="C72" s="10"/>
      <c r="D72" s="10"/>
    </row>
    <row r="73" spans="1:4" x14ac:dyDescent="0.25">
      <c r="A73" s="8"/>
      <c r="B73" s="9"/>
      <c r="C73" s="10"/>
      <c r="D73" s="10"/>
    </row>
    <row r="74" spans="1:4" x14ac:dyDescent="0.25">
      <c r="A74" s="9"/>
      <c r="B74" s="9"/>
      <c r="C74" s="10"/>
      <c r="D74" s="10"/>
    </row>
    <row r="75" spans="1:4" x14ac:dyDescent="0.25">
      <c r="A75" s="9"/>
      <c r="B75" s="9"/>
      <c r="C75" s="10"/>
      <c r="D75" s="10"/>
    </row>
    <row r="76" spans="1:4" x14ac:dyDescent="0.25">
      <c r="A76" s="9"/>
      <c r="B76" s="9"/>
      <c r="C76" s="10"/>
      <c r="D76" s="10"/>
    </row>
    <row r="77" spans="1:4" x14ac:dyDescent="0.25">
      <c r="A77" s="9"/>
      <c r="B77" s="9"/>
      <c r="C77" s="10"/>
      <c r="D77" s="10"/>
    </row>
    <row r="78" spans="1:4" x14ac:dyDescent="0.25">
      <c r="A78" s="9"/>
      <c r="B78" s="9"/>
      <c r="C78" s="10"/>
      <c r="D78" s="10"/>
    </row>
    <row r="79" spans="1:4" x14ac:dyDescent="0.25">
      <c r="A79" s="9"/>
      <c r="B79" s="9"/>
      <c r="C79" s="10"/>
      <c r="D79" s="10"/>
    </row>
    <row r="80" spans="1:4" x14ac:dyDescent="0.25">
      <c r="A80" s="9"/>
      <c r="B80" s="9"/>
      <c r="C80" s="10"/>
      <c r="D80" s="10"/>
    </row>
    <row r="81" spans="1:4" x14ac:dyDescent="0.25">
      <c r="A81" s="9"/>
      <c r="B81" s="9"/>
      <c r="C81" s="10"/>
      <c r="D81" s="10"/>
    </row>
    <row r="82" spans="1:4" x14ac:dyDescent="0.25">
      <c r="A82" s="9"/>
      <c r="B82" s="9"/>
      <c r="C82" s="10"/>
      <c r="D82" s="10"/>
    </row>
    <row r="83" spans="1:4" x14ac:dyDescent="0.25">
      <c r="A83" s="9"/>
      <c r="B83" s="9"/>
      <c r="C83" s="10"/>
      <c r="D83" s="10"/>
    </row>
    <row r="84" spans="1:4" x14ac:dyDescent="0.25">
      <c r="A84" s="9"/>
      <c r="B84" s="9"/>
      <c r="C84" s="10"/>
      <c r="D84" s="10"/>
    </row>
    <row r="85" spans="1:4" x14ac:dyDescent="0.25">
      <c r="A85" s="9"/>
      <c r="B85" s="9"/>
      <c r="C85" s="10"/>
      <c r="D85" s="10"/>
    </row>
    <row r="86" spans="1:4" x14ac:dyDescent="0.25">
      <c r="A86" s="9"/>
      <c r="B86" s="9"/>
      <c r="C86" s="10"/>
      <c r="D86" s="10"/>
    </row>
    <row r="87" spans="1:4" x14ac:dyDescent="0.25">
      <c r="A87" s="9"/>
      <c r="B87" s="9"/>
      <c r="C87" s="10"/>
      <c r="D87" s="10"/>
    </row>
    <row r="88" spans="1:4" x14ac:dyDescent="0.25">
      <c r="A88" s="9"/>
      <c r="B88" s="9"/>
      <c r="C88" s="10"/>
      <c r="D88" s="10"/>
    </row>
    <row r="89" spans="1:4" x14ac:dyDescent="0.25">
      <c r="A89" s="9"/>
      <c r="B89" s="9"/>
      <c r="C89" s="10"/>
      <c r="D89" s="10"/>
    </row>
    <row r="90" spans="1:4" x14ac:dyDescent="0.25">
      <c r="A90" s="9"/>
      <c r="B90" s="9"/>
      <c r="C90" s="10"/>
      <c r="D90" s="10"/>
    </row>
    <row r="91" spans="1:4" x14ac:dyDescent="0.25">
      <c r="A91" s="9"/>
      <c r="B91" s="9"/>
      <c r="C91" s="10"/>
      <c r="D91" s="10"/>
    </row>
    <row r="92" spans="1:4" x14ac:dyDescent="0.25">
      <c r="A92" s="9"/>
      <c r="B92" s="9"/>
      <c r="C92" s="10"/>
      <c r="D92" s="10"/>
    </row>
    <row r="93" spans="1:4" x14ac:dyDescent="0.25">
      <c r="A93" s="9"/>
      <c r="B93" s="9"/>
      <c r="C93" s="10"/>
      <c r="D93" s="10"/>
    </row>
    <row r="94" spans="1:4" x14ac:dyDescent="0.25">
      <c r="A94" s="9"/>
      <c r="B94" s="9"/>
      <c r="C94" s="10"/>
      <c r="D94" s="10"/>
    </row>
    <row r="95" spans="1:4" x14ac:dyDescent="0.25">
      <c r="A95" s="9"/>
      <c r="B95" s="9"/>
      <c r="C95" s="10"/>
      <c r="D95" s="10"/>
    </row>
    <row r="96" spans="1:4" x14ac:dyDescent="0.25">
      <c r="A96" s="9"/>
      <c r="B96" s="9"/>
      <c r="C96" s="10"/>
      <c r="D96" s="10"/>
    </row>
    <row r="97" spans="1:4" x14ac:dyDescent="0.25">
      <c r="A97" s="9"/>
      <c r="B97" s="9"/>
      <c r="C97" s="10"/>
      <c r="D97" s="10"/>
    </row>
    <row r="98" spans="1:4" x14ac:dyDescent="0.25">
      <c r="A98" s="9"/>
      <c r="B98" s="9"/>
      <c r="C98" s="10"/>
      <c r="D98" s="10"/>
    </row>
    <row r="99" spans="1:4" x14ac:dyDescent="0.25">
      <c r="A99" s="9"/>
      <c r="B99" s="9"/>
      <c r="C99" s="10"/>
      <c r="D99" s="10"/>
    </row>
    <row r="100" spans="1:4" x14ac:dyDescent="0.25">
      <c r="A100" s="9"/>
      <c r="B100" s="9"/>
      <c r="C100" s="10"/>
      <c r="D100" s="10"/>
    </row>
    <row r="101" spans="1:4" x14ac:dyDescent="0.25">
      <c r="A101" s="9"/>
      <c r="B101" s="9"/>
      <c r="C101" s="10"/>
      <c r="D101" s="10"/>
    </row>
    <row r="102" spans="1:4" x14ac:dyDescent="0.25">
      <c r="A102" s="9"/>
      <c r="B102" s="9"/>
      <c r="C102" s="10"/>
      <c r="D102" s="10"/>
    </row>
    <row r="103" spans="1:4" x14ac:dyDescent="0.25">
      <c r="A103" s="9"/>
      <c r="B103" s="9"/>
      <c r="C103" s="10"/>
      <c r="D103" s="10"/>
    </row>
    <row r="104" spans="1:4" x14ac:dyDescent="0.25">
      <c r="A104" s="9"/>
      <c r="B104" s="9"/>
      <c r="C104" s="10"/>
      <c r="D104" s="10"/>
    </row>
    <row r="105" spans="1:4" x14ac:dyDescent="0.25">
      <c r="A105" s="9"/>
      <c r="B105" s="9"/>
      <c r="C105" s="10"/>
      <c r="D105" s="10"/>
    </row>
    <row r="106" spans="1:4" x14ac:dyDescent="0.25">
      <c r="A106" s="9"/>
      <c r="B106" s="9"/>
      <c r="C106" s="10"/>
      <c r="D106" s="10"/>
    </row>
    <row r="107" spans="1:4" x14ac:dyDescent="0.25">
      <c r="A107" s="9"/>
      <c r="B107" s="9"/>
      <c r="C107" s="10"/>
      <c r="D107" s="10"/>
    </row>
    <row r="108" spans="1:4" x14ac:dyDescent="0.25">
      <c r="A108" s="9"/>
      <c r="B108" s="9"/>
      <c r="C108" s="10"/>
      <c r="D108" s="10"/>
    </row>
    <row r="109" spans="1:4" x14ac:dyDescent="0.25">
      <c r="A109" s="9"/>
      <c r="B109" s="9"/>
      <c r="C109" s="10"/>
      <c r="D109" s="10"/>
    </row>
    <row r="110" spans="1:4" x14ac:dyDescent="0.25">
      <c r="A110" s="9"/>
      <c r="B110" s="9"/>
      <c r="C110" s="10"/>
      <c r="D110" s="10"/>
    </row>
    <row r="111" spans="1:4" x14ac:dyDescent="0.25">
      <c r="A111" s="9"/>
      <c r="B111" s="9"/>
      <c r="C111" s="10"/>
      <c r="D111" s="10"/>
    </row>
    <row r="112" spans="1:4" x14ac:dyDescent="0.25">
      <c r="A112" s="9"/>
      <c r="B112" s="9"/>
      <c r="C112" s="10"/>
      <c r="D112" s="10"/>
    </row>
    <row r="113" spans="1:4" x14ac:dyDescent="0.25">
      <c r="A113" s="9"/>
      <c r="B113" s="9"/>
      <c r="C113" s="10"/>
      <c r="D113" s="10"/>
    </row>
    <row r="114" spans="1:4" x14ac:dyDescent="0.25">
      <c r="A114" s="9"/>
      <c r="B114" s="9"/>
      <c r="C114" s="10"/>
      <c r="D114" s="10"/>
    </row>
    <row r="115" spans="1:4" x14ac:dyDescent="0.25">
      <c r="A115" s="9"/>
      <c r="B115" s="9"/>
      <c r="C115" s="10"/>
      <c r="D115" s="10"/>
    </row>
    <row r="116" spans="1:4" x14ac:dyDescent="0.25">
      <c r="A116" s="9"/>
      <c r="B116" s="9"/>
      <c r="C116" s="10"/>
      <c r="D116" s="10"/>
    </row>
    <row r="117" spans="1:4" x14ac:dyDescent="0.25">
      <c r="A117" s="9"/>
      <c r="B117" s="9"/>
      <c r="C117" s="10"/>
      <c r="D117" s="10"/>
    </row>
    <row r="118" spans="1:4" x14ac:dyDescent="0.25">
      <c r="A118" s="9"/>
      <c r="B118" s="9"/>
      <c r="C118" s="10"/>
      <c r="D118" s="10"/>
    </row>
    <row r="119" spans="1:4" x14ac:dyDescent="0.25">
      <c r="A119" s="9"/>
      <c r="B119" s="9"/>
      <c r="C119" s="10"/>
      <c r="D119" s="10"/>
    </row>
    <row r="120" spans="1:4" x14ac:dyDescent="0.25">
      <c r="A120" s="9"/>
      <c r="B120" s="9"/>
      <c r="C120" s="10"/>
      <c r="D120" s="10"/>
    </row>
    <row r="121" spans="1:4" x14ac:dyDescent="0.25">
      <c r="A121" s="9"/>
      <c r="B121" s="9"/>
      <c r="C121" s="10"/>
      <c r="D121" s="10"/>
    </row>
    <row r="122" spans="1:4" x14ac:dyDescent="0.25">
      <c r="A122" s="9"/>
      <c r="B122" s="9"/>
      <c r="C122" s="10"/>
      <c r="D122" s="10"/>
    </row>
    <row r="123" spans="1:4" x14ac:dyDescent="0.25">
      <c r="A123" s="9"/>
      <c r="B123" s="9"/>
      <c r="C123" s="10"/>
      <c r="D123" s="10"/>
    </row>
    <row r="124" spans="1:4" x14ac:dyDescent="0.25">
      <c r="A124" s="9"/>
      <c r="B124" s="9"/>
      <c r="C124" s="10"/>
      <c r="D124" s="10"/>
    </row>
    <row r="125" spans="1:4" x14ac:dyDescent="0.25">
      <c r="A125" s="9"/>
      <c r="B125" s="9"/>
      <c r="C125" s="10"/>
      <c r="D125" s="10"/>
    </row>
    <row r="126" spans="1:4" x14ac:dyDescent="0.25">
      <c r="A126" s="9"/>
      <c r="B126" s="9"/>
      <c r="C126" s="10"/>
      <c r="D126" s="10"/>
    </row>
    <row r="127" spans="1:4" x14ac:dyDescent="0.25">
      <c r="A127" s="9"/>
      <c r="B127" s="9"/>
      <c r="C127" s="10"/>
      <c r="D127" s="10"/>
    </row>
    <row r="128" spans="1:4" x14ac:dyDescent="0.25">
      <c r="A128" s="9"/>
      <c r="B128" s="9"/>
      <c r="C128" s="10"/>
      <c r="D128" s="10"/>
    </row>
    <row r="129" spans="1:4" x14ac:dyDescent="0.25">
      <c r="A129" s="9"/>
      <c r="B129" s="9"/>
      <c r="C129" s="10"/>
      <c r="D129" s="10"/>
    </row>
    <row r="130" spans="1:4" x14ac:dyDescent="0.25">
      <c r="A130" s="9"/>
      <c r="B130" s="9"/>
      <c r="C130" s="10"/>
      <c r="D130" s="10"/>
    </row>
    <row r="131" spans="1:4" x14ac:dyDescent="0.25">
      <c r="A131" s="9"/>
      <c r="B131" s="9"/>
      <c r="C131" s="10"/>
      <c r="D131" s="10"/>
    </row>
    <row r="132" spans="1:4" x14ac:dyDescent="0.25">
      <c r="A132" s="9"/>
      <c r="B132" s="9"/>
      <c r="C132" s="10"/>
      <c r="D132" s="10"/>
    </row>
    <row r="133" spans="1:4" x14ac:dyDescent="0.25">
      <c r="A133" s="9"/>
      <c r="B133" s="9"/>
      <c r="C133" s="10"/>
      <c r="D133" s="10"/>
    </row>
    <row r="134" spans="1:4" x14ac:dyDescent="0.25">
      <c r="A134" s="9"/>
      <c r="B134" s="9"/>
      <c r="C134" s="10"/>
      <c r="D134" s="10"/>
    </row>
    <row r="135" spans="1:4" x14ac:dyDescent="0.25">
      <c r="A135" s="9"/>
      <c r="B135" s="9"/>
      <c r="C135" s="10"/>
      <c r="D135" s="10"/>
    </row>
    <row r="136" spans="1:4" x14ac:dyDescent="0.25">
      <c r="A136" s="9"/>
      <c r="B136" s="9"/>
      <c r="C136" s="10"/>
      <c r="D136" s="10"/>
    </row>
    <row r="137" spans="1:4" x14ac:dyDescent="0.25">
      <c r="A137" s="9"/>
      <c r="B137" s="9"/>
      <c r="C137" s="10"/>
      <c r="D137" s="10"/>
    </row>
    <row r="138" spans="1:4" x14ac:dyDescent="0.25">
      <c r="A138" s="9"/>
      <c r="B138" s="9"/>
      <c r="C138" s="10"/>
      <c r="D138" s="10"/>
    </row>
    <row r="139" spans="1:4" x14ac:dyDescent="0.25">
      <c r="A139" s="9"/>
      <c r="B139" s="9"/>
      <c r="C139" s="10"/>
      <c r="D139" s="10"/>
    </row>
    <row r="140" spans="1:4" x14ac:dyDescent="0.25">
      <c r="A140" s="9"/>
      <c r="B140" s="9"/>
      <c r="C140" s="10"/>
      <c r="D140" s="10"/>
    </row>
    <row r="141" spans="1:4" x14ac:dyDescent="0.25">
      <c r="A141" s="9"/>
      <c r="B141" s="9"/>
      <c r="C141" s="10"/>
      <c r="D141" s="10"/>
    </row>
    <row r="142" spans="1:4" x14ac:dyDescent="0.25">
      <c r="A142" s="9"/>
      <c r="B142" s="9"/>
      <c r="C142" s="10"/>
      <c r="D142" s="10"/>
    </row>
    <row r="143" spans="1:4" x14ac:dyDescent="0.25">
      <c r="A143" s="9"/>
      <c r="B143" s="9"/>
      <c r="C143" s="10"/>
      <c r="D143" s="10"/>
    </row>
    <row r="144" spans="1:4" x14ac:dyDescent="0.25">
      <c r="A144" s="9"/>
      <c r="B144" s="9"/>
      <c r="C144" s="10"/>
      <c r="D144" s="10"/>
    </row>
    <row r="145" spans="1:4" x14ac:dyDescent="0.25">
      <c r="A145" s="9"/>
      <c r="B145" s="9"/>
      <c r="C145" s="10"/>
      <c r="D145" s="10"/>
    </row>
    <row r="146" spans="1:4" x14ac:dyDescent="0.25">
      <c r="A146" s="9"/>
      <c r="B146" s="9"/>
      <c r="C146" s="10"/>
      <c r="D146" s="10"/>
    </row>
    <row r="147" spans="1:4" x14ac:dyDescent="0.25">
      <c r="A147" s="9"/>
      <c r="B147" s="9"/>
      <c r="C147" s="10"/>
      <c r="D147" s="10"/>
    </row>
    <row r="148" spans="1:4" x14ac:dyDescent="0.25">
      <c r="A148" s="9"/>
      <c r="B148" s="9"/>
      <c r="C148" s="10"/>
      <c r="D148" s="10"/>
    </row>
    <row r="149" spans="1:4" x14ac:dyDescent="0.25">
      <c r="A149" s="9"/>
      <c r="B149" s="9"/>
      <c r="C149" s="10"/>
      <c r="D149" s="10"/>
    </row>
    <row r="150" spans="1:4" x14ac:dyDescent="0.25">
      <c r="A150" s="9"/>
      <c r="B150" s="9"/>
      <c r="C150" s="10"/>
      <c r="D150" s="10"/>
    </row>
    <row r="151" spans="1:4" x14ac:dyDescent="0.25">
      <c r="A151" s="9"/>
      <c r="B151" s="9"/>
      <c r="C151" s="10"/>
      <c r="D151" s="10"/>
    </row>
    <row r="152" spans="1:4" x14ac:dyDescent="0.25">
      <c r="A152" s="9"/>
      <c r="B152" s="9"/>
      <c r="C152" s="10"/>
      <c r="D152" s="10"/>
    </row>
    <row r="153" spans="1:4" x14ac:dyDescent="0.25">
      <c r="A153" s="9"/>
      <c r="B153" s="9"/>
      <c r="C153" s="10"/>
      <c r="D153" s="10"/>
    </row>
    <row r="154" spans="1:4" x14ac:dyDescent="0.25">
      <c r="A154" s="9"/>
      <c r="B154" s="9"/>
      <c r="C154" s="10"/>
      <c r="D154" s="10"/>
    </row>
    <row r="155" spans="1:4" x14ac:dyDescent="0.25">
      <c r="A155" s="9"/>
      <c r="B155" s="9"/>
      <c r="C155" s="10"/>
      <c r="D155" s="10"/>
    </row>
    <row r="156" spans="1:4" x14ac:dyDescent="0.25">
      <c r="A156" s="9"/>
      <c r="B156" s="9"/>
      <c r="C156" s="10"/>
      <c r="D156" s="10"/>
    </row>
    <row r="157" spans="1:4" x14ac:dyDescent="0.25">
      <c r="A157" s="9"/>
      <c r="B157" s="9"/>
      <c r="C157" s="10"/>
      <c r="D157" s="10"/>
    </row>
    <row r="158" spans="1:4" x14ac:dyDescent="0.25">
      <c r="A158" s="9"/>
      <c r="B158" s="9"/>
      <c r="C158" s="10"/>
      <c r="D158" s="10"/>
    </row>
    <row r="159" spans="1:4" x14ac:dyDescent="0.25">
      <c r="A159" s="9"/>
      <c r="B159" s="9"/>
      <c r="C159" s="10"/>
      <c r="D159" s="10"/>
    </row>
    <row r="160" spans="1:4" x14ac:dyDescent="0.25">
      <c r="A160" s="9"/>
      <c r="B160" s="9"/>
      <c r="C160" s="10"/>
      <c r="D160" s="10"/>
    </row>
    <row r="161" spans="1:4" x14ac:dyDescent="0.25">
      <c r="A161" s="9"/>
      <c r="B161" s="9"/>
      <c r="C161" s="10"/>
      <c r="D161" s="10"/>
    </row>
    <row r="162" spans="1:4" x14ac:dyDescent="0.25">
      <c r="A162" s="9"/>
      <c r="B162" s="9"/>
      <c r="C162" s="10"/>
      <c r="D162" s="10"/>
    </row>
    <row r="163" spans="1:4" x14ac:dyDescent="0.25">
      <c r="A163" s="9"/>
      <c r="B163" s="9"/>
      <c r="C163" s="10"/>
      <c r="D163" s="10"/>
    </row>
    <row r="164" spans="1:4" x14ac:dyDescent="0.25">
      <c r="A164" s="9"/>
      <c r="B164" s="9"/>
      <c r="C164" s="10"/>
      <c r="D164" s="10"/>
    </row>
    <row r="165" spans="1:4" x14ac:dyDescent="0.25">
      <c r="A165" s="9"/>
      <c r="B165" s="9"/>
      <c r="C165" s="10"/>
      <c r="D165" s="10"/>
    </row>
    <row r="166" spans="1:4" x14ac:dyDescent="0.25">
      <c r="A166" s="9"/>
      <c r="B166" s="9"/>
      <c r="C166" s="10"/>
      <c r="D166" s="10"/>
    </row>
    <row r="167" spans="1:4" x14ac:dyDescent="0.25">
      <c r="A167" s="9"/>
      <c r="B167" s="9"/>
      <c r="C167" s="10"/>
      <c r="D167" s="10"/>
    </row>
    <row r="168" spans="1:4" x14ac:dyDescent="0.25">
      <c r="A168" s="9"/>
      <c r="B168" s="9"/>
      <c r="C168" s="10"/>
      <c r="D168" s="10"/>
    </row>
    <row r="169" spans="1:4" x14ac:dyDescent="0.25">
      <c r="A169" s="9"/>
      <c r="B169" s="9"/>
      <c r="C169" s="10"/>
      <c r="D169" s="10"/>
    </row>
    <row r="170" spans="1:4" x14ac:dyDescent="0.25">
      <c r="A170" s="9"/>
      <c r="B170" s="9"/>
      <c r="C170" s="10"/>
      <c r="D170" s="10"/>
    </row>
    <row r="171" spans="1:4" x14ac:dyDescent="0.25">
      <c r="A171" s="9"/>
      <c r="B171" s="9"/>
      <c r="C171" s="10"/>
      <c r="D171" s="10"/>
    </row>
    <row r="172" spans="1:4" x14ac:dyDescent="0.25">
      <c r="A172" s="9"/>
      <c r="B172" s="9"/>
      <c r="C172" s="10"/>
      <c r="D172" s="10"/>
    </row>
    <row r="173" spans="1:4" x14ac:dyDescent="0.25">
      <c r="A173" s="9"/>
      <c r="B173" s="9"/>
      <c r="C173" s="10"/>
      <c r="D173" s="10"/>
    </row>
    <row r="174" spans="1:4" x14ac:dyDescent="0.25">
      <c r="A174" s="9"/>
      <c r="B174" s="9"/>
      <c r="C174" s="10"/>
      <c r="D174" s="10"/>
    </row>
    <row r="175" spans="1:4" x14ac:dyDescent="0.25">
      <c r="A175" s="9"/>
      <c r="B175" s="9"/>
      <c r="C175" s="10"/>
      <c r="D175" s="10"/>
    </row>
    <row r="176" spans="1:4" x14ac:dyDescent="0.25">
      <c r="A176" s="9"/>
      <c r="B176" s="9"/>
      <c r="C176" s="10"/>
      <c r="D176" s="10"/>
    </row>
    <row r="177" spans="1:4" x14ac:dyDescent="0.25">
      <c r="A177" s="9"/>
      <c r="B177" s="9"/>
      <c r="C177" s="10"/>
      <c r="D177" s="10"/>
    </row>
    <row r="178" spans="1:4" x14ac:dyDescent="0.25">
      <c r="A178" s="9"/>
      <c r="B178" s="9"/>
      <c r="C178" s="10"/>
      <c r="D178" s="10"/>
    </row>
    <row r="179" spans="1:4" x14ac:dyDescent="0.25">
      <c r="A179" s="9"/>
      <c r="B179" s="9"/>
      <c r="C179" s="10"/>
      <c r="D179" s="10"/>
    </row>
    <row r="180" spans="1:4" x14ac:dyDescent="0.25">
      <c r="A180" s="9"/>
      <c r="B180" s="9"/>
      <c r="C180" s="10"/>
      <c r="D180" s="10"/>
    </row>
    <row r="181" spans="1:4" x14ac:dyDescent="0.25">
      <c r="A181" s="9"/>
      <c r="B181" s="9"/>
      <c r="C181" s="10"/>
      <c r="D181" s="10"/>
    </row>
    <row r="182" spans="1:4" x14ac:dyDescent="0.25">
      <c r="A182" s="9"/>
      <c r="B182" s="9"/>
      <c r="C182" s="10"/>
      <c r="D182" s="10"/>
    </row>
    <row r="183" spans="1:4" x14ac:dyDescent="0.25">
      <c r="A183" s="9"/>
      <c r="B183" s="9"/>
      <c r="C183" s="10"/>
      <c r="D183" s="10"/>
    </row>
    <row r="184" spans="1:4" x14ac:dyDescent="0.25">
      <c r="A184" s="9"/>
      <c r="B184" s="9"/>
      <c r="C184" s="10"/>
      <c r="D184" s="10"/>
    </row>
    <row r="185" spans="1:4" x14ac:dyDescent="0.25">
      <c r="A185" s="9"/>
      <c r="B185" s="9"/>
      <c r="C185" s="10"/>
      <c r="D185" s="10"/>
    </row>
    <row r="186" spans="1:4" x14ac:dyDescent="0.25">
      <c r="A186" s="9"/>
      <c r="B186" s="9"/>
      <c r="C186" s="10"/>
      <c r="D186" s="10"/>
    </row>
    <row r="187" spans="1:4" x14ac:dyDescent="0.25">
      <c r="A187" s="9"/>
      <c r="B187" s="9"/>
      <c r="C187" s="10"/>
      <c r="D187" s="10"/>
    </row>
  </sheetData>
  <mergeCells count="2">
    <mergeCell ref="A4:D4"/>
    <mergeCell ref="B6:D6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609B6-0A47-4786-848A-CF86EDDA503A}">
  <sheetPr>
    <tabColor theme="8" tint="-0.499984740745262"/>
  </sheetPr>
  <dimension ref="F6:I75"/>
  <sheetViews>
    <sheetView topLeftCell="A46" workbookViewId="0">
      <selection activeCell="F67" sqref="F67"/>
    </sheetView>
  </sheetViews>
  <sheetFormatPr baseColWidth="10" defaultRowHeight="15" x14ac:dyDescent="0.25"/>
  <cols>
    <col min="6" max="6" width="20.42578125" customWidth="1"/>
    <col min="7" max="7" width="28.42578125" customWidth="1"/>
  </cols>
  <sheetData>
    <row r="6" spans="6:9" x14ac:dyDescent="0.25">
      <c r="F6" s="2" t="s">
        <v>1</v>
      </c>
      <c r="G6" s="99" t="s">
        <v>253</v>
      </c>
      <c r="H6" s="100"/>
      <c r="I6" s="100"/>
    </row>
    <row r="7" spans="6:9" x14ac:dyDescent="0.25">
      <c r="F7" s="3" t="s">
        <v>11</v>
      </c>
      <c r="G7" s="4" t="s">
        <v>183</v>
      </c>
      <c r="H7" s="4"/>
      <c r="I7" s="4"/>
    </row>
    <row r="8" spans="6:9" x14ac:dyDescent="0.25">
      <c r="G8" s="5"/>
      <c r="H8" s="6"/>
      <c r="I8" s="6"/>
    </row>
    <row r="9" spans="6:9" x14ac:dyDescent="0.25">
      <c r="F9" s="2" t="s">
        <v>2</v>
      </c>
      <c r="G9" s="2" t="s">
        <v>173</v>
      </c>
      <c r="H9" s="7" t="s">
        <v>4</v>
      </c>
      <c r="I9" s="7" t="s">
        <v>5</v>
      </c>
    </row>
    <row r="10" spans="6:9" x14ac:dyDescent="0.25">
      <c r="F10" s="8">
        <v>45936</v>
      </c>
      <c r="G10" s="9" t="s">
        <v>3</v>
      </c>
      <c r="H10" s="10">
        <v>960</v>
      </c>
      <c r="I10" s="10">
        <f>H10</f>
        <v>960</v>
      </c>
    </row>
    <row r="11" spans="6:9" x14ac:dyDescent="0.25">
      <c r="F11" s="8">
        <v>45936</v>
      </c>
      <c r="G11" s="9" t="s">
        <v>178</v>
      </c>
      <c r="H11" s="10">
        <v>-960</v>
      </c>
      <c r="I11" s="10">
        <f>I10+H11</f>
        <v>0</v>
      </c>
    </row>
    <row r="12" spans="6:9" x14ac:dyDescent="0.25">
      <c r="F12" s="8"/>
      <c r="G12" s="9"/>
      <c r="H12" s="10"/>
      <c r="I12" s="10">
        <f t="shared" ref="I12:I22" si="0">I11+H12</f>
        <v>0</v>
      </c>
    </row>
    <row r="13" spans="6:9" x14ac:dyDescent="0.25">
      <c r="F13" s="8">
        <v>45950</v>
      </c>
      <c r="G13" s="9" t="s">
        <v>3</v>
      </c>
      <c r="H13" s="10">
        <v>1430</v>
      </c>
      <c r="I13" s="10">
        <f t="shared" si="0"/>
        <v>1430</v>
      </c>
    </row>
    <row r="14" spans="6:9" x14ac:dyDescent="0.25">
      <c r="F14" s="8">
        <v>45950</v>
      </c>
      <c r="G14" s="9" t="s">
        <v>178</v>
      </c>
      <c r="H14" s="10">
        <v>-1430</v>
      </c>
      <c r="I14" s="10">
        <f t="shared" si="0"/>
        <v>0</v>
      </c>
    </row>
    <row r="15" spans="6:9" x14ac:dyDescent="0.25">
      <c r="F15" s="13">
        <v>45953</v>
      </c>
      <c r="G15" s="9" t="s">
        <v>3</v>
      </c>
      <c r="H15" s="10">
        <v>1440</v>
      </c>
      <c r="I15" s="10">
        <f t="shared" si="0"/>
        <v>1440</v>
      </c>
    </row>
    <row r="16" spans="6:9" x14ac:dyDescent="0.25">
      <c r="F16" s="8">
        <v>45953</v>
      </c>
      <c r="G16" s="9" t="s">
        <v>178</v>
      </c>
      <c r="H16" s="10">
        <v>-1440</v>
      </c>
      <c r="I16" s="10">
        <f t="shared" si="0"/>
        <v>0</v>
      </c>
    </row>
    <row r="17" spans="6:9" x14ac:dyDescent="0.25">
      <c r="F17" s="8">
        <v>45960</v>
      </c>
      <c r="G17" s="9" t="s">
        <v>3</v>
      </c>
      <c r="H17" s="10">
        <v>1220</v>
      </c>
      <c r="I17" s="10">
        <f t="shared" si="0"/>
        <v>1220</v>
      </c>
    </row>
    <row r="18" spans="6:9" x14ac:dyDescent="0.25">
      <c r="F18" s="8">
        <v>45960</v>
      </c>
      <c r="G18" s="9" t="s">
        <v>179</v>
      </c>
      <c r="H18" s="10">
        <v>-1220</v>
      </c>
      <c r="I18" s="10">
        <f t="shared" si="0"/>
        <v>0</v>
      </c>
    </row>
    <row r="19" spans="6:9" x14ac:dyDescent="0.25">
      <c r="F19" s="8">
        <v>45970</v>
      </c>
      <c r="G19" s="9" t="s">
        <v>3</v>
      </c>
      <c r="H19" s="10">
        <v>1550</v>
      </c>
      <c r="I19" s="10">
        <f t="shared" si="0"/>
        <v>1550</v>
      </c>
    </row>
    <row r="20" spans="6:9" x14ac:dyDescent="0.25">
      <c r="F20" s="8">
        <v>45970</v>
      </c>
      <c r="G20" s="9" t="s">
        <v>178</v>
      </c>
      <c r="H20" s="10">
        <v>-1550</v>
      </c>
      <c r="I20" s="10">
        <f t="shared" si="0"/>
        <v>0</v>
      </c>
    </row>
    <row r="21" spans="6:9" x14ac:dyDescent="0.25">
      <c r="F21" s="8">
        <v>45981</v>
      </c>
      <c r="G21" s="9" t="s">
        <v>3</v>
      </c>
      <c r="H21" s="10">
        <v>1860</v>
      </c>
      <c r="I21" s="10">
        <f t="shared" si="0"/>
        <v>1860</v>
      </c>
    </row>
    <row r="22" spans="6:9" x14ac:dyDescent="0.25">
      <c r="F22" s="8">
        <v>45981</v>
      </c>
      <c r="G22" s="9" t="s">
        <v>7</v>
      </c>
      <c r="H22" s="10">
        <v>-1860</v>
      </c>
      <c r="I22" s="10">
        <f t="shared" si="0"/>
        <v>0</v>
      </c>
    </row>
    <row r="23" spans="6:9" x14ac:dyDescent="0.25">
      <c r="F23" s="8">
        <v>45988</v>
      </c>
      <c r="G23" s="9" t="s">
        <v>3</v>
      </c>
      <c r="H23" s="10">
        <v>1270</v>
      </c>
      <c r="I23" s="10">
        <f t="shared" ref="I23:I75" si="1">I22+H23</f>
        <v>1270</v>
      </c>
    </row>
    <row r="24" spans="6:9" x14ac:dyDescent="0.25">
      <c r="F24" s="8">
        <v>45988</v>
      </c>
      <c r="G24" s="9" t="s">
        <v>92</v>
      </c>
      <c r="H24" s="10">
        <v>-1270</v>
      </c>
      <c r="I24" s="10">
        <f t="shared" si="1"/>
        <v>0</v>
      </c>
    </row>
    <row r="25" spans="6:9" x14ac:dyDescent="0.25">
      <c r="F25" s="8">
        <v>45995</v>
      </c>
      <c r="G25" s="9" t="s">
        <v>3</v>
      </c>
      <c r="H25" s="10">
        <v>21670</v>
      </c>
      <c r="I25" s="10">
        <f t="shared" si="1"/>
        <v>21670</v>
      </c>
    </row>
    <row r="26" spans="6:9" x14ac:dyDescent="0.25">
      <c r="F26" s="8">
        <v>45995</v>
      </c>
      <c r="G26" s="9" t="s">
        <v>92</v>
      </c>
      <c r="H26" s="10">
        <v>-21670</v>
      </c>
      <c r="I26" s="10">
        <f t="shared" si="1"/>
        <v>0</v>
      </c>
    </row>
    <row r="27" spans="6:9" x14ac:dyDescent="0.25">
      <c r="F27" s="8">
        <v>45998</v>
      </c>
      <c r="G27" s="9" t="s">
        <v>3</v>
      </c>
      <c r="H27" s="9">
        <v>4200</v>
      </c>
      <c r="I27" s="10">
        <f t="shared" si="1"/>
        <v>4200</v>
      </c>
    </row>
    <row r="28" spans="6:9" x14ac:dyDescent="0.25">
      <c r="F28" s="8">
        <v>45999</v>
      </c>
      <c r="G28" s="9" t="s">
        <v>92</v>
      </c>
      <c r="H28" s="9">
        <v>-4200</v>
      </c>
      <c r="I28" s="10">
        <f t="shared" si="1"/>
        <v>0</v>
      </c>
    </row>
    <row r="29" spans="6:9" x14ac:dyDescent="0.25">
      <c r="F29" s="8">
        <v>46030</v>
      </c>
      <c r="G29" s="9" t="s">
        <v>3</v>
      </c>
      <c r="H29" s="9">
        <v>2050</v>
      </c>
      <c r="I29" s="10">
        <f t="shared" si="1"/>
        <v>2050</v>
      </c>
    </row>
    <row r="30" spans="6:9" x14ac:dyDescent="0.25">
      <c r="F30" s="8">
        <v>46030</v>
      </c>
      <c r="G30" s="9" t="s">
        <v>178</v>
      </c>
      <c r="H30" s="9">
        <v>-2050</v>
      </c>
      <c r="I30" s="10">
        <f t="shared" si="1"/>
        <v>0</v>
      </c>
    </row>
    <row r="31" spans="6:9" x14ac:dyDescent="0.25">
      <c r="F31" s="8">
        <v>46034</v>
      </c>
      <c r="G31" s="9" t="s">
        <v>3</v>
      </c>
      <c r="H31" s="9">
        <v>800</v>
      </c>
      <c r="I31" s="10">
        <f t="shared" si="1"/>
        <v>800</v>
      </c>
    </row>
    <row r="32" spans="6:9" x14ac:dyDescent="0.25">
      <c r="F32" s="8">
        <v>46034</v>
      </c>
      <c r="G32" s="9" t="s">
        <v>178</v>
      </c>
      <c r="H32" s="9">
        <v>-800</v>
      </c>
      <c r="I32" s="10">
        <f t="shared" si="1"/>
        <v>0</v>
      </c>
    </row>
    <row r="33" spans="6:9" x14ac:dyDescent="0.25">
      <c r="F33" s="8">
        <v>46038</v>
      </c>
      <c r="G33" s="9" t="s">
        <v>3</v>
      </c>
      <c r="H33" s="9">
        <v>710</v>
      </c>
      <c r="I33" s="10">
        <f t="shared" si="1"/>
        <v>710</v>
      </c>
    </row>
    <row r="34" spans="6:9" x14ac:dyDescent="0.25">
      <c r="F34" s="8">
        <v>46041</v>
      </c>
      <c r="G34" s="9" t="s">
        <v>178</v>
      </c>
      <c r="H34" s="9">
        <v>-710</v>
      </c>
      <c r="I34" s="10">
        <f t="shared" si="1"/>
        <v>0</v>
      </c>
    </row>
    <row r="35" spans="6:9" x14ac:dyDescent="0.25">
      <c r="F35" s="8">
        <v>46066</v>
      </c>
      <c r="G35" s="9" t="s">
        <v>3</v>
      </c>
      <c r="H35" s="9">
        <v>25450</v>
      </c>
      <c r="I35" s="10">
        <f t="shared" si="1"/>
        <v>25450</v>
      </c>
    </row>
    <row r="36" spans="6:9" x14ac:dyDescent="0.25">
      <c r="F36" s="8">
        <v>46069</v>
      </c>
      <c r="G36" s="9" t="s">
        <v>178</v>
      </c>
      <c r="H36" s="9">
        <v>-25450</v>
      </c>
      <c r="I36" s="10">
        <f t="shared" si="1"/>
        <v>0</v>
      </c>
    </row>
    <row r="37" spans="6:9" x14ac:dyDescent="0.25">
      <c r="F37" s="8">
        <v>46076</v>
      </c>
      <c r="G37" s="9" t="s">
        <v>3</v>
      </c>
      <c r="H37" s="9">
        <v>850</v>
      </c>
      <c r="I37" s="10">
        <f t="shared" si="1"/>
        <v>850</v>
      </c>
    </row>
    <row r="38" spans="6:9" x14ac:dyDescent="0.25">
      <c r="F38" s="8">
        <v>46079</v>
      </c>
      <c r="G38" s="9" t="s">
        <v>3</v>
      </c>
      <c r="H38" s="9">
        <v>600</v>
      </c>
      <c r="I38" s="10">
        <f t="shared" si="1"/>
        <v>1450</v>
      </c>
    </row>
    <row r="39" spans="6:9" x14ac:dyDescent="0.25">
      <c r="F39" s="8">
        <v>46079</v>
      </c>
      <c r="G39" s="9" t="s">
        <v>178</v>
      </c>
      <c r="H39" s="9">
        <v>-1450</v>
      </c>
      <c r="I39" s="10">
        <f t="shared" si="1"/>
        <v>0</v>
      </c>
    </row>
    <row r="40" spans="6:9" x14ac:dyDescent="0.25">
      <c r="F40" s="8">
        <v>46093</v>
      </c>
      <c r="G40" s="9" t="s">
        <v>3</v>
      </c>
      <c r="H40" s="9">
        <v>1500</v>
      </c>
      <c r="I40" s="10">
        <f t="shared" si="1"/>
        <v>1500</v>
      </c>
    </row>
    <row r="41" spans="6:9" x14ac:dyDescent="0.25">
      <c r="F41" s="8">
        <v>46093</v>
      </c>
      <c r="G41" s="9" t="s">
        <v>178</v>
      </c>
      <c r="H41" s="9">
        <v>-1500</v>
      </c>
      <c r="I41" s="10">
        <f t="shared" si="1"/>
        <v>0</v>
      </c>
    </row>
    <row r="42" spans="6:9" x14ac:dyDescent="0.25">
      <c r="F42" s="8">
        <v>46100</v>
      </c>
      <c r="G42" s="9" t="s">
        <v>3</v>
      </c>
      <c r="H42" s="9">
        <v>4140</v>
      </c>
      <c r="I42" s="10">
        <f t="shared" si="1"/>
        <v>4140</v>
      </c>
    </row>
    <row r="43" spans="6:9" x14ac:dyDescent="0.25">
      <c r="F43" s="8">
        <v>46100</v>
      </c>
      <c r="G43" s="9" t="s">
        <v>178</v>
      </c>
      <c r="H43" s="9">
        <v>-4140</v>
      </c>
      <c r="I43" s="10">
        <f t="shared" si="1"/>
        <v>0</v>
      </c>
    </row>
    <row r="44" spans="6:9" x14ac:dyDescent="0.25">
      <c r="F44" s="8">
        <v>46121</v>
      </c>
      <c r="G44" s="9" t="s">
        <v>3</v>
      </c>
      <c r="H44" s="9">
        <v>700</v>
      </c>
      <c r="I44" s="10">
        <f t="shared" si="1"/>
        <v>700</v>
      </c>
    </row>
    <row r="45" spans="6:9" x14ac:dyDescent="0.25">
      <c r="F45" s="8">
        <v>46121</v>
      </c>
      <c r="G45" s="9" t="s">
        <v>178</v>
      </c>
      <c r="H45" s="9">
        <v>-700</v>
      </c>
      <c r="I45" s="10">
        <f t="shared" si="1"/>
        <v>0</v>
      </c>
    </row>
    <row r="46" spans="6:9" x14ac:dyDescent="0.25">
      <c r="F46" s="8">
        <v>46128</v>
      </c>
      <c r="G46" s="9" t="s">
        <v>3</v>
      </c>
      <c r="H46" s="9">
        <v>750</v>
      </c>
      <c r="I46" s="10">
        <f t="shared" si="1"/>
        <v>750</v>
      </c>
    </row>
    <row r="47" spans="6:9" x14ac:dyDescent="0.25">
      <c r="F47" s="8">
        <v>46128</v>
      </c>
      <c r="G47" s="9" t="s">
        <v>178</v>
      </c>
      <c r="H47" s="9">
        <v>-750</v>
      </c>
      <c r="I47" s="10">
        <f t="shared" si="1"/>
        <v>0</v>
      </c>
    </row>
    <row r="48" spans="6:9" x14ac:dyDescent="0.25">
      <c r="F48" s="8">
        <v>46156</v>
      </c>
      <c r="G48" s="9" t="s">
        <v>3</v>
      </c>
      <c r="H48" s="9">
        <v>1400</v>
      </c>
      <c r="I48" s="10">
        <f t="shared" si="1"/>
        <v>1400</v>
      </c>
    </row>
    <row r="49" spans="6:9" x14ac:dyDescent="0.25">
      <c r="F49" s="8">
        <v>46160</v>
      </c>
      <c r="G49" s="9" t="s">
        <v>178</v>
      </c>
      <c r="H49" s="9">
        <v>-1400</v>
      </c>
      <c r="I49" s="10">
        <f t="shared" si="1"/>
        <v>0</v>
      </c>
    </row>
    <row r="50" spans="6:9" x14ac:dyDescent="0.25">
      <c r="F50" s="8">
        <v>46163</v>
      </c>
      <c r="G50" s="9" t="s">
        <v>3</v>
      </c>
      <c r="H50" s="9">
        <v>2550</v>
      </c>
      <c r="I50" s="10">
        <f t="shared" si="1"/>
        <v>2550</v>
      </c>
    </row>
    <row r="51" spans="6:9" x14ac:dyDescent="0.25">
      <c r="F51" s="8">
        <v>46163</v>
      </c>
      <c r="G51" s="9" t="s">
        <v>178</v>
      </c>
      <c r="H51" s="9">
        <v>-2550</v>
      </c>
      <c r="I51" s="10">
        <f t="shared" si="1"/>
        <v>0</v>
      </c>
    </row>
    <row r="52" spans="6:9" x14ac:dyDescent="0.25">
      <c r="F52" s="8">
        <v>46191</v>
      </c>
      <c r="G52" s="9" t="s">
        <v>3</v>
      </c>
      <c r="H52" s="9">
        <v>600</v>
      </c>
      <c r="I52" s="10">
        <f t="shared" si="1"/>
        <v>600</v>
      </c>
    </row>
    <row r="53" spans="6:9" x14ac:dyDescent="0.25">
      <c r="F53" s="8">
        <v>46191</v>
      </c>
      <c r="G53" s="9" t="s">
        <v>178</v>
      </c>
      <c r="H53" s="9">
        <v>-600</v>
      </c>
      <c r="I53" s="10">
        <f t="shared" si="1"/>
        <v>0</v>
      </c>
    </row>
    <row r="54" spans="6:9" x14ac:dyDescent="0.25">
      <c r="F54" s="8">
        <v>46205</v>
      </c>
      <c r="G54" s="9" t="s">
        <v>3</v>
      </c>
      <c r="H54" s="9">
        <v>820</v>
      </c>
      <c r="I54" s="10">
        <f t="shared" si="1"/>
        <v>820</v>
      </c>
    </row>
    <row r="55" spans="6:9" x14ac:dyDescent="0.25">
      <c r="F55" s="8">
        <v>46205</v>
      </c>
      <c r="G55" s="9" t="s">
        <v>178</v>
      </c>
      <c r="H55" s="9">
        <v>-820</v>
      </c>
      <c r="I55" s="10">
        <f t="shared" si="1"/>
        <v>0</v>
      </c>
    </row>
    <row r="56" spans="6:9" x14ac:dyDescent="0.25">
      <c r="F56" s="8">
        <v>46209</v>
      </c>
      <c r="G56" s="9" t="s">
        <v>3</v>
      </c>
      <c r="H56" s="9">
        <v>640</v>
      </c>
      <c r="I56" s="10">
        <f t="shared" si="1"/>
        <v>640</v>
      </c>
    </row>
    <row r="57" spans="6:9" x14ac:dyDescent="0.25">
      <c r="F57" s="8">
        <v>46209</v>
      </c>
      <c r="G57" s="9" t="s">
        <v>178</v>
      </c>
      <c r="H57" s="9">
        <v>-640</v>
      </c>
      <c r="I57" s="10">
        <f t="shared" si="1"/>
        <v>0</v>
      </c>
    </row>
    <row r="58" spans="6:9" x14ac:dyDescent="0.25">
      <c r="F58" s="8">
        <v>46214</v>
      </c>
      <c r="G58" s="9" t="s">
        <v>3</v>
      </c>
      <c r="H58" s="9">
        <v>1200</v>
      </c>
      <c r="I58" s="10">
        <f t="shared" si="1"/>
        <v>1200</v>
      </c>
    </row>
    <row r="59" spans="6:9" x14ac:dyDescent="0.25">
      <c r="F59" s="8">
        <v>46219</v>
      </c>
      <c r="G59" s="9" t="s">
        <v>178</v>
      </c>
      <c r="H59" s="9">
        <v>-1200</v>
      </c>
      <c r="I59" s="10">
        <f t="shared" si="1"/>
        <v>0</v>
      </c>
    </row>
    <row r="60" spans="6:9" x14ac:dyDescent="0.25">
      <c r="F60" s="8">
        <v>46254</v>
      </c>
      <c r="G60" s="9" t="s">
        <v>3</v>
      </c>
      <c r="H60" s="9">
        <v>770</v>
      </c>
      <c r="I60" s="10">
        <f t="shared" si="1"/>
        <v>770</v>
      </c>
    </row>
    <row r="61" spans="6:9" x14ac:dyDescent="0.25">
      <c r="F61" s="8">
        <v>46254</v>
      </c>
      <c r="G61" s="9" t="s">
        <v>178</v>
      </c>
      <c r="H61" s="9">
        <v>-770</v>
      </c>
      <c r="I61" s="10">
        <f t="shared" si="1"/>
        <v>0</v>
      </c>
    </row>
    <row r="62" spans="6:9" x14ac:dyDescent="0.25">
      <c r="F62" s="8">
        <v>46258</v>
      </c>
      <c r="G62" s="9" t="s">
        <v>3</v>
      </c>
      <c r="H62" s="9">
        <v>1550</v>
      </c>
      <c r="I62" s="10">
        <f t="shared" si="1"/>
        <v>1550</v>
      </c>
    </row>
    <row r="63" spans="6:9" x14ac:dyDescent="0.25">
      <c r="F63" s="8">
        <v>46258</v>
      </c>
      <c r="G63" s="9" t="s">
        <v>178</v>
      </c>
      <c r="H63" s="9">
        <v>-1550</v>
      </c>
      <c r="I63" s="10">
        <f t="shared" si="1"/>
        <v>0</v>
      </c>
    </row>
    <row r="64" spans="6:9" x14ac:dyDescent="0.25">
      <c r="F64" s="8">
        <v>46282</v>
      </c>
      <c r="G64" s="9" t="s">
        <v>594</v>
      </c>
      <c r="H64" s="9">
        <v>7340</v>
      </c>
      <c r="I64" s="10">
        <f t="shared" si="1"/>
        <v>7340</v>
      </c>
    </row>
    <row r="65" spans="6:9" x14ac:dyDescent="0.25">
      <c r="F65" s="8">
        <v>46282</v>
      </c>
      <c r="G65" s="9" t="s">
        <v>178</v>
      </c>
      <c r="H65" s="9">
        <v>-4000</v>
      </c>
      <c r="I65" s="10">
        <f t="shared" si="1"/>
        <v>3340</v>
      </c>
    </row>
    <row r="66" spans="6:9" x14ac:dyDescent="0.25">
      <c r="F66" s="8">
        <v>46289</v>
      </c>
      <c r="G66" s="9" t="s">
        <v>178</v>
      </c>
      <c r="H66" s="9">
        <v>-3340</v>
      </c>
      <c r="I66" s="10">
        <f t="shared" si="1"/>
        <v>0</v>
      </c>
    </row>
    <row r="67" spans="6:9" x14ac:dyDescent="0.25">
      <c r="F67" s="8"/>
      <c r="G67" s="9"/>
      <c r="H67" s="9"/>
      <c r="I67" s="10">
        <f t="shared" si="1"/>
        <v>0</v>
      </c>
    </row>
    <row r="68" spans="6:9" x14ac:dyDescent="0.25">
      <c r="F68" s="8"/>
      <c r="G68" s="9"/>
      <c r="H68" s="9"/>
      <c r="I68" s="10">
        <f t="shared" si="1"/>
        <v>0</v>
      </c>
    </row>
    <row r="69" spans="6:9" x14ac:dyDescent="0.25">
      <c r="F69" s="8"/>
      <c r="G69" s="9"/>
      <c r="H69" s="9"/>
      <c r="I69" s="10">
        <f t="shared" si="1"/>
        <v>0</v>
      </c>
    </row>
    <row r="70" spans="6:9" x14ac:dyDescent="0.25">
      <c r="F70" s="8"/>
      <c r="G70" s="9"/>
      <c r="H70" s="9"/>
      <c r="I70" s="10">
        <f t="shared" si="1"/>
        <v>0</v>
      </c>
    </row>
    <row r="71" spans="6:9" x14ac:dyDescent="0.25">
      <c r="F71" s="8"/>
      <c r="G71" s="9"/>
      <c r="H71" s="9"/>
      <c r="I71" s="10">
        <f t="shared" si="1"/>
        <v>0</v>
      </c>
    </row>
    <row r="72" spans="6:9" x14ac:dyDescent="0.25">
      <c r="F72" s="8"/>
      <c r="G72" s="9"/>
      <c r="H72" s="9"/>
      <c r="I72" s="10">
        <f t="shared" si="1"/>
        <v>0</v>
      </c>
    </row>
    <row r="73" spans="6:9" x14ac:dyDescent="0.25">
      <c r="F73" s="8"/>
      <c r="G73" s="9"/>
      <c r="H73" s="9"/>
      <c r="I73" s="10">
        <f t="shared" si="1"/>
        <v>0</v>
      </c>
    </row>
    <row r="74" spans="6:9" x14ac:dyDescent="0.25">
      <c r="F74" s="9"/>
      <c r="G74" s="9"/>
      <c r="H74" s="9"/>
      <c r="I74" s="10">
        <f t="shared" si="1"/>
        <v>0</v>
      </c>
    </row>
    <row r="75" spans="6:9" x14ac:dyDescent="0.25">
      <c r="F75" s="9"/>
      <c r="G75" s="9"/>
      <c r="H75" s="9"/>
      <c r="I75" s="10">
        <f t="shared" si="1"/>
        <v>0</v>
      </c>
    </row>
  </sheetData>
  <mergeCells count="1">
    <mergeCell ref="G6:I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2E064-2603-4719-8A81-A742AA6890F8}">
  <sheetPr>
    <tabColor theme="1" tint="0.249977111117893"/>
  </sheetPr>
  <dimension ref="A4:E228"/>
  <sheetViews>
    <sheetView topLeftCell="A198" workbookViewId="0">
      <selection activeCell="B229" sqref="B229"/>
    </sheetView>
  </sheetViews>
  <sheetFormatPr baseColWidth="10" defaultRowHeight="15" x14ac:dyDescent="0.25"/>
  <cols>
    <col min="1" max="1" width="28.28515625" customWidth="1"/>
    <col min="2" max="2" width="27.140625" customWidth="1"/>
    <col min="3" max="3" width="23.42578125" style="6" customWidth="1"/>
    <col min="4" max="4" width="21.85546875" style="6" customWidth="1"/>
  </cols>
  <sheetData>
    <row r="4" spans="1:5" ht="18" x14ac:dyDescent="0.25">
      <c r="A4" s="98" t="s">
        <v>0</v>
      </c>
      <c r="B4" s="98"/>
      <c r="C4" s="98"/>
      <c r="D4" s="98"/>
      <c r="E4" s="1"/>
    </row>
    <row r="6" spans="1:5" x14ac:dyDescent="0.25">
      <c r="A6" s="2" t="s">
        <v>1</v>
      </c>
      <c r="B6" s="96" t="s">
        <v>21</v>
      </c>
      <c r="C6" s="97"/>
      <c r="D6" s="97"/>
    </row>
    <row r="7" spans="1:5" x14ac:dyDescent="0.25">
      <c r="A7" s="3" t="s">
        <v>11</v>
      </c>
      <c r="B7" s="4" t="s">
        <v>23</v>
      </c>
      <c r="C7" s="4"/>
      <c r="D7" s="4"/>
    </row>
    <row r="8" spans="1:5" x14ac:dyDescent="0.25">
      <c r="B8" s="5"/>
    </row>
    <row r="9" spans="1:5" x14ac:dyDescent="0.25">
      <c r="A9" s="2" t="s">
        <v>2</v>
      </c>
      <c r="B9" s="2" t="s">
        <v>3</v>
      </c>
      <c r="C9" s="7" t="s">
        <v>4</v>
      </c>
      <c r="D9" s="7" t="s">
        <v>5</v>
      </c>
    </row>
    <row r="10" spans="1:5" x14ac:dyDescent="0.25">
      <c r="A10" s="8">
        <v>45834</v>
      </c>
      <c r="B10" s="9" t="s">
        <v>6</v>
      </c>
      <c r="C10" s="10">
        <v>8080</v>
      </c>
      <c r="D10" s="10">
        <f>C10</f>
        <v>8080</v>
      </c>
    </row>
    <row r="11" spans="1:5" x14ac:dyDescent="0.25">
      <c r="A11" s="8">
        <v>45838</v>
      </c>
      <c r="B11" s="9" t="s">
        <v>7</v>
      </c>
      <c r="C11" s="10">
        <v>-4000</v>
      </c>
      <c r="D11" s="10">
        <f>D10+C11</f>
        <v>4080</v>
      </c>
    </row>
    <row r="12" spans="1:5" x14ac:dyDescent="0.25">
      <c r="A12" s="8">
        <v>45838</v>
      </c>
      <c r="B12" s="9" t="s">
        <v>6</v>
      </c>
      <c r="C12" s="10">
        <v>4670</v>
      </c>
      <c r="D12" s="10">
        <f t="shared" ref="D12:D31" si="0">D11+C12</f>
        <v>8750</v>
      </c>
    </row>
    <row r="13" spans="1:5" x14ac:dyDescent="0.25">
      <c r="A13" s="8">
        <v>45845</v>
      </c>
      <c r="B13" s="9" t="s">
        <v>61</v>
      </c>
      <c r="C13" s="10">
        <v>-5000</v>
      </c>
      <c r="D13" s="10">
        <f t="shared" si="0"/>
        <v>3750</v>
      </c>
    </row>
    <row r="14" spans="1:5" x14ac:dyDescent="0.25">
      <c r="A14" s="8">
        <v>45845</v>
      </c>
      <c r="B14" s="9" t="s">
        <v>6</v>
      </c>
      <c r="C14" s="10">
        <v>4160</v>
      </c>
      <c r="D14" s="10">
        <f t="shared" si="0"/>
        <v>7910</v>
      </c>
    </row>
    <row r="15" spans="1:5" x14ac:dyDescent="0.25">
      <c r="A15" s="8">
        <v>45848</v>
      </c>
      <c r="B15" s="9" t="s">
        <v>7</v>
      </c>
      <c r="C15" s="10">
        <v>-5000</v>
      </c>
      <c r="D15" s="11">
        <f t="shared" si="0"/>
        <v>2910</v>
      </c>
    </row>
    <row r="16" spans="1:5" x14ac:dyDescent="0.25">
      <c r="A16" s="8">
        <v>45848</v>
      </c>
      <c r="B16" s="9" t="s">
        <v>6</v>
      </c>
      <c r="C16" s="10">
        <v>3630</v>
      </c>
      <c r="D16" s="10">
        <f t="shared" si="0"/>
        <v>6540</v>
      </c>
    </row>
    <row r="17" spans="1:4" x14ac:dyDescent="0.25">
      <c r="A17" s="8">
        <v>45855</v>
      </c>
      <c r="B17" s="9" t="s">
        <v>7</v>
      </c>
      <c r="C17" s="10">
        <v>-4500</v>
      </c>
      <c r="D17" s="10">
        <f t="shared" si="0"/>
        <v>2040</v>
      </c>
    </row>
    <row r="18" spans="1:4" x14ac:dyDescent="0.25">
      <c r="A18" s="8">
        <v>45855</v>
      </c>
      <c r="B18" s="9" t="s">
        <v>6</v>
      </c>
      <c r="C18" s="10">
        <v>4360</v>
      </c>
      <c r="D18" s="10">
        <f t="shared" si="0"/>
        <v>6400</v>
      </c>
    </row>
    <row r="19" spans="1:4" x14ac:dyDescent="0.25">
      <c r="A19" s="8">
        <v>45862</v>
      </c>
      <c r="B19" s="9" t="s">
        <v>6</v>
      </c>
      <c r="C19" s="10">
        <v>1840</v>
      </c>
      <c r="D19" s="10">
        <f t="shared" si="0"/>
        <v>8240</v>
      </c>
    </row>
    <row r="20" spans="1:4" x14ac:dyDescent="0.25">
      <c r="A20" s="8">
        <v>45862</v>
      </c>
      <c r="B20" s="9" t="s">
        <v>7</v>
      </c>
      <c r="C20" s="10">
        <v>-1500</v>
      </c>
      <c r="D20" s="10">
        <f t="shared" si="0"/>
        <v>6740</v>
      </c>
    </row>
    <row r="21" spans="1:4" x14ac:dyDescent="0.25">
      <c r="A21" s="8">
        <v>45862</v>
      </c>
      <c r="B21" s="9" t="s">
        <v>6</v>
      </c>
      <c r="C21" s="10">
        <v>1840</v>
      </c>
      <c r="D21" s="10">
        <f t="shared" si="0"/>
        <v>8580</v>
      </c>
    </row>
    <row r="22" spans="1:4" x14ac:dyDescent="0.25">
      <c r="A22" s="8">
        <v>45859</v>
      </c>
      <c r="B22" s="9" t="s">
        <v>6</v>
      </c>
      <c r="C22" s="10">
        <v>2830</v>
      </c>
      <c r="D22" s="10">
        <f t="shared" si="0"/>
        <v>11410</v>
      </c>
    </row>
    <row r="23" spans="1:4" x14ac:dyDescent="0.25">
      <c r="A23" s="8">
        <v>45859</v>
      </c>
      <c r="B23" s="9" t="s">
        <v>7</v>
      </c>
      <c r="C23" s="10">
        <v>-3000</v>
      </c>
      <c r="D23" s="10">
        <f t="shared" si="0"/>
        <v>8410</v>
      </c>
    </row>
    <row r="24" spans="1:4" x14ac:dyDescent="0.25">
      <c r="A24" s="8">
        <v>45869</v>
      </c>
      <c r="B24" s="9" t="s">
        <v>6</v>
      </c>
      <c r="C24" s="10">
        <v>4500</v>
      </c>
      <c r="D24" s="10">
        <f t="shared" si="0"/>
        <v>12910</v>
      </c>
    </row>
    <row r="25" spans="1:4" x14ac:dyDescent="0.25">
      <c r="A25" s="8">
        <v>45869</v>
      </c>
      <c r="B25" s="9" t="s">
        <v>83</v>
      </c>
      <c r="C25" s="10">
        <v>-5000</v>
      </c>
      <c r="D25" s="10">
        <f>D24+C25</f>
        <v>7910</v>
      </c>
    </row>
    <row r="26" spans="1:4" x14ac:dyDescent="0.25">
      <c r="A26" s="8">
        <v>45873</v>
      </c>
      <c r="B26" s="9" t="s">
        <v>6</v>
      </c>
      <c r="C26" s="10">
        <v>4790</v>
      </c>
      <c r="D26" s="10">
        <f t="shared" si="0"/>
        <v>12700</v>
      </c>
    </row>
    <row r="27" spans="1:4" x14ac:dyDescent="0.25">
      <c r="A27" s="8">
        <v>45873</v>
      </c>
      <c r="B27" s="9" t="s">
        <v>55</v>
      </c>
      <c r="C27" s="10">
        <v>-5000</v>
      </c>
      <c r="D27" s="10">
        <f t="shared" si="0"/>
        <v>7700</v>
      </c>
    </row>
    <row r="28" spans="1:4" x14ac:dyDescent="0.25">
      <c r="A28" s="8">
        <v>45876</v>
      </c>
      <c r="B28" s="9" t="s">
        <v>6</v>
      </c>
      <c r="C28" s="10">
        <v>4790</v>
      </c>
      <c r="D28" s="10">
        <f t="shared" si="0"/>
        <v>12490</v>
      </c>
    </row>
    <row r="29" spans="1:4" x14ac:dyDescent="0.25">
      <c r="A29" s="8">
        <v>45876</v>
      </c>
      <c r="B29" s="9" t="s">
        <v>64</v>
      </c>
      <c r="C29" s="10">
        <v>-7000</v>
      </c>
      <c r="D29" s="10">
        <f t="shared" si="0"/>
        <v>5490</v>
      </c>
    </row>
    <row r="30" spans="1:4" x14ac:dyDescent="0.25">
      <c r="A30" s="8">
        <v>45880</v>
      </c>
      <c r="B30" s="9" t="s">
        <v>6</v>
      </c>
      <c r="C30" s="10">
        <v>4440</v>
      </c>
      <c r="D30" s="10">
        <f t="shared" si="0"/>
        <v>9930</v>
      </c>
    </row>
    <row r="31" spans="1:4" x14ac:dyDescent="0.25">
      <c r="A31" s="8">
        <v>45880</v>
      </c>
      <c r="B31" s="9" t="s">
        <v>55</v>
      </c>
      <c r="C31" s="10">
        <v>-3000</v>
      </c>
      <c r="D31" s="10">
        <f t="shared" si="0"/>
        <v>6930</v>
      </c>
    </row>
    <row r="32" spans="1:4" x14ac:dyDescent="0.25">
      <c r="A32" s="8">
        <v>45887</v>
      </c>
      <c r="B32" s="9" t="s">
        <v>46</v>
      </c>
      <c r="C32" s="10">
        <v>-3500</v>
      </c>
      <c r="D32" s="10">
        <f>D31+C32</f>
        <v>3430</v>
      </c>
    </row>
    <row r="33" spans="1:4" x14ac:dyDescent="0.25">
      <c r="A33" s="8">
        <v>45887</v>
      </c>
      <c r="B33" s="9" t="s">
        <v>6</v>
      </c>
      <c r="C33" s="10">
        <v>3080</v>
      </c>
      <c r="D33" s="10">
        <f t="shared" ref="D33:D84" si="1">D32+C33</f>
        <v>6510</v>
      </c>
    </row>
    <row r="34" spans="1:4" x14ac:dyDescent="0.25">
      <c r="A34" s="8">
        <v>45890</v>
      </c>
      <c r="B34" s="9" t="s">
        <v>46</v>
      </c>
      <c r="C34" s="10">
        <v>-3500</v>
      </c>
      <c r="D34" s="10">
        <f t="shared" si="1"/>
        <v>3010</v>
      </c>
    </row>
    <row r="35" spans="1:4" x14ac:dyDescent="0.25">
      <c r="A35" s="8">
        <v>45890</v>
      </c>
      <c r="B35" s="9" t="s">
        <v>44</v>
      </c>
      <c r="C35" s="10">
        <v>-800</v>
      </c>
      <c r="D35" s="10">
        <f t="shared" si="1"/>
        <v>2210</v>
      </c>
    </row>
    <row r="36" spans="1:4" x14ac:dyDescent="0.25">
      <c r="A36" s="8">
        <v>45894</v>
      </c>
      <c r="B36" s="9" t="s">
        <v>6</v>
      </c>
      <c r="C36" s="10">
        <v>1820</v>
      </c>
      <c r="D36" s="10">
        <f t="shared" si="1"/>
        <v>4030</v>
      </c>
    </row>
    <row r="37" spans="1:4" x14ac:dyDescent="0.25">
      <c r="A37" s="8">
        <v>45897</v>
      </c>
      <c r="B37" s="9" t="s">
        <v>6</v>
      </c>
      <c r="C37" s="10">
        <v>5250</v>
      </c>
      <c r="D37" s="10">
        <f t="shared" si="1"/>
        <v>9280</v>
      </c>
    </row>
    <row r="38" spans="1:4" x14ac:dyDescent="0.25">
      <c r="A38" s="8">
        <v>45897</v>
      </c>
      <c r="B38" s="9" t="s">
        <v>55</v>
      </c>
      <c r="C38" s="10">
        <v>-5000</v>
      </c>
      <c r="D38" s="10">
        <f t="shared" si="1"/>
        <v>4280</v>
      </c>
    </row>
    <row r="39" spans="1:4" x14ac:dyDescent="0.25">
      <c r="A39" s="8">
        <v>45901</v>
      </c>
      <c r="B39" s="9" t="s">
        <v>6</v>
      </c>
      <c r="C39" s="10">
        <v>4220</v>
      </c>
      <c r="D39" s="10">
        <f t="shared" si="1"/>
        <v>8500</v>
      </c>
    </row>
    <row r="40" spans="1:4" x14ac:dyDescent="0.25">
      <c r="A40" s="8">
        <v>45901</v>
      </c>
      <c r="B40" s="9" t="s">
        <v>74</v>
      </c>
      <c r="C40" s="10">
        <v>-4000</v>
      </c>
      <c r="D40" s="10">
        <f t="shared" si="1"/>
        <v>4500</v>
      </c>
    </row>
    <row r="41" spans="1:4" x14ac:dyDescent="0.25">
      <c r="A41" s="8">
        <v>45904</v>
      </c>
      <c r="B41" s="9" t="s">
        <v>6</v>
      </c>
      <c r="C41" s="10">
        <v>4810</v>
      </c>
      <c r="D41" s="10">
        <f t="shared" si="1"/>
        <v>9310</v>
      </c>
    </row>
    <row r="42" spans="1:4" x14ac:dyDescent="0.25">
      <c r="A42" s="8">
        <v>45908</v>
      </c>
      <c r="B42" s="9" t="s">
        <v>55</v>
      </c>
      <c r="C42" s="10">
        <v>-5000</v>
      </c>
      <c r="D42" s="10">
        <f t="shared" si="1"/>
        <v>4310</v>
      </c>
    </row>
    <row r="43" spans="1:4" x14ac:dyDescent="0.25">
      <c r="A43" s="8">
        <v>45908</v>
      </c>
      <c r="B43" s="9" t="s">
        <v>6</v>
      </c>
      <c r="C43" s="10">
        <v>4680</v>
      </c>
      <c r="D43" s="10">
        <f t="shared" si="1"/>
        <v>8990</v>
      </c>
    </row>
    <row r="44" spans="1:4" x14ac:dyDescent="0.25">
      <c r="A44" s="8">
        <v>45911</v>
      </c>
      <c r="B44" s="9" t="s">
        <v>6</v>
      </c>
      <c r="C44" s="10">
        <v>2160</v>
      </c>
      <c r="D44" s="10">
        <f t="shared" si="1"/>
        <v>11150</v>
      </c>
    </row>
    <row r="45" spans="1:4" x14ac:dyDescent="0.25">
      <c r="A45" s="8">
        <v>45911</v>
      </c>
      <c r="B45" s="9" t="s">
        <v>74</v>
      </c>
      <c r="C45" s="10">
        <v>-3500</v>
      </c>
      <c r="D45" s="10">
        <f t="shared" si="1"/>
        <v>7650</v>
      </c>
    </row>
    <row r="46" spans="1:4" x14ac:dyDescent="0.25">
      <c r="A46" s="8"/>
      <c r="B46" s="9"/>
      <c r="C46" s="10"/>
      <c r="D46" s="10">
        <f t="shared" si="1"/>
        <v>7650</v>
      </c>
    </row>
    <row r="47" spans="1:4" x14ac:dyDescent="0.25">
      <c r="A47" s="8">
        <v>45914</v>
      </c>
      <c r="B47" s="9" t="s">
        <v>44</v>
      </c>
      <c r="C47" s="10">
        <v>-2000</v>
      </c>
      <c r="D47" s="10">
        <f t="shared" si="1"/>
        <v>5650</v>
      </c>
    </row>
    <row r="48" spans="1:4" x14ac:dyDescent="0.25">
      <c r="A48" s="8">
        <v>45915</v>
      </c>
      <c r="B48" s="9" t="s">
        <v>6</v>
      </c>
      <c r="C48" s="10">
        <v>5440</v>
      </c>
      <c r="D48" s="10">
        <f t="shared" si="1"/>
        <v>11090</v>
      </c>
    </row>
    <row r="49" spans="1:4" x14ac:dyDescent="0.25">
      <c r="A49" s="8">
        <v>45915</v>
      </c>
      <c r="B49" s="9" t="s">
        <v>75</v>
      </c>
      <c r="C49" s="10">
        <v>-3000</v>
      </c>
      <c r="D49" s="10">
        <f t="shared" si="1"/>
        <v>8090</v>
      </c>
    </row>
    <row r="50" spans="1:4" x14ac:dyDescent="0.25">
      <c r="A50" s="8">
        <v>45917</v>
      </c>
      <c r="B50" s="9" t="s">
        <v>56</v>
      </c>
      <c r="C50" s="10">
        <v>-2215</v>
      </c>
      <c r="D50" s="10">
        <f t="shared" si="1"/>
        <v>5875</v>
      </c>
    </row>
    <row r="51" spans="1:4" x14ac:dyDescent="0.25">
      <c r="A51" s="8">
        <v>45918</v>
      </c>
      <c r="B51" s="9" t="s">
        <v>56</v>
      </c>
      <c r="C51" s="10">
        <v>-261</v>
      </c>
      <c r="D51" s="10">
        <f t="shared" si="1"/>
        <v>5614</v>
      </c>
    </row>
    <row r="52" spans="1:4" x14ac:dyDescent="0.25">
      <c r="A52" s="8">
        <v>45918</v>
      </c>
      <c r="B52" s="9" t="s">
        <v>46</v>
      </c>
      <c r="C52" s="10">
        <v>-3500</v>
      </c>
      <c r="D52" s="10">
        <f t="shared" si="1"/>
        <v>2114</v>
      </c>
    </row>
    <row r="53" spans="1:4" ht="14.25" customHeight="1" x14ac:dyDescent="0.25">
      <c r="A53" s="8">
        <v>45918</v>
      </c>
      <c r="B53" s="9" t="s">
        <v>6</v>
      </c>
      <c r="C53" s="10">
        <v>26730</v>
      </c>
      <c r="D53" s="10">
        <f t="shared" si="1"/>
        <v>28844</v>
      </c>
    </row>
    <row r="54" spans="1:4" ht="14.25" customHeight="1" x14ac:dyDescent="0.25">
      <c r="A54" s="8">
        <v>45920</v>
      </c>
      <c r="B54" s="9" t="s">
        <v>137</v>
      </c>
      <c r="C54" s="10">
        <v>-1140</v>
      </c>
      <c r="D54" s="10">
        <f t="shared" si="1"/>
        <v>27704</v>
      </c>
    </row>
    <row r="55" spans="1:4" ht="14.25" customHeight="1" x14ac:dyDescent="0.25">
      <c r="A55" s="8">
        <v>45920</v>
      </c>
      <c r="B55" s="9" t="s">
        <v>136</v>
      </c>
      <c r="C55" s="10">
        <v>-320</v>
      </c>
      <c r="D55" s="10">
        <f t="shared" si="1"/>
        <v>27384</v>
      </c>
    </row>
    <row r="56" spans="1:4" x14ac:dyDescent="0.25">
      <c r="A56" s="8">
        <v>45922</v>
      </c>
      <c r="B56" s="9" t="s">
        <v>6</v>
      </c>
      <c r="C56" s="10">
        <v>2410</v>
      </c>
      <c r="D56" s="10">
        <f t="shared" si="1"/>
        <v>29794</v>
      </c>
    </row>
    <row r="57" spans="1:4" x14ac:dyDescent="0.25">
      <c r="A57" s="8">
        <v>45922</v>
      </c>
      <c r="B57" s="9" t="s">
        <v>92</v>
      </c>
      <c r="C57" s="10">
        <v>-26730</v>
      </c>
      <c r="D57" s="10">
        <f t="shared" si="1"/>
        <v>3064</v>
      </c>
    </row>
    <row r="58" spans="1:4" x14ac:dyDescent="0.25">
      <c r="A58" s="8">
        <v>45925</v>
      </c>
      <c r="B58" s="9" t="s">
        <v>56</v>
      </c>
      <c r="C58" s="10">
        <v>-757</v>
      </c>
      <c r="D58" s="10">
        <f t="shared" si="1"/>
        <v>2307</v>
      </c>
    </row>
    <row r="59" spans="1:4" x14ac:dyDescent="0.25">
      <c r="A59" s="8">
        <v>45925</v>
      </c>
      <c r="B59" s="9" t="s">
        <v>6</v>
      </c>
      <c r="C59" s="10">
        <v>3120</v>
      </c>
      <c r="D59" s="10">
        <f t="shared" si="1"/>
        <v>5427</v>
      </c>
    </row>
    <row r="60" spans="1:4" x14ac:dyDescent="0.25">
      <c r="A60" s="8">
        <v>45926</v>
      </c>
      <c r="B60" s="9" t="s">
        <v>56</v>
      </c>
      <c r="C60" s="10">
        <v>-4005</v>
      </c>
      <c r="D60" s="10">
        <f t="shared" si="1"/>
        <v>1422</v>
      </c>
    </row>
    <row r="61" spans="1:4" x14ac:dyDescent="0.25">
      <c r="A61" s="8">
        <v>45929</v>
      </c>
      <c r="B61" s="9" t="s">
        <v>6</v>
      </c>
      <c r="C61" s="10">
        <v>6670</v>
      </c>
      <c r="D61" s="10">
        <f t="shared" si="1"/>
        <v>8092</v>
      </c>
    </row>
    <row r="62" spans="1:4" x14ac:dyDescent="0.25">
      <c r="A62" s="8">
        <v>45932</v>
      </c>
      <c r="B62" s="9" t="s">
        <v>6</v>
      </c>
      <c r="C62" s="10">
        <v>2400</v>
      </c>
      <c r="D62" s="10">
        <f t="shared" si="1"/>
        <v>10492</v>
      </c>
    </row>
    <row r="63" spans="1:4" x14ac:dyDescent="0.25">
      <c r="A63" s="8">
        <v>45932</v>
      </c>
      <c r="B63" s="9" t="s">
        <v>169</v>
      </c>
      <c r="C63" s="10">
        <v>-4000</v>
      </c>
      <c r="D63" s="10">
        <f t="shared" si="1"/>
        <v>6492</v>
      </c>
    </row>
    <row r="64" spans="1:4" x14ac:dyDescent="0.25">
      <c r="A64" s="8">
        <v>45932</v>
      </c>
      <c r="B64" s="9" t="s">
        <v>168</v>
      </c>
      <c r="C64" s="10">
        <v>-1501</v>
      </c>
      <c r="D64" s="10">
        <f t="shared" si="1"/>
        <v>4991</v>
      </c>
    </row>
    <row r="65" spans="1:4" x14ac:dyDescent="0.25">
      <c r="A65" s="8">
        <v>45936</v>
      </c>
      <c r="B65" s="9" t="s">
        <v>6</v>
      </c>
      <c r="C65" s="10">
        <v>1740</v>
      </c>
      <c r="D65" s="10">
        <f t="shared" si="1"/>
        <v>6731</v>
      </c>
    </row>
    <row r="66" spans="1:4" x14ac:dyDescent="0.25">
      <c r="A66" s="8">
        <v>45936</v>
      </c>
      <c r="B66" s="9" t="s">
        <v>180</v>
      </c>
      <c r="C66" s="10">
        <v>-2000</v>
      </c>
      <c r="D66" s="10">
        <f t="shared" si="1"/>
        <v>4731</v>
      </c>
    </row>
    <row r="67" spans="1:4" x14ac:dyDescent="0.25">
      <c r="A67" s="8">
        <v>45939</v>
      </c>
      <c r="B67" s="9" t="s">
        <v>6</v>
      </c>
      <c r="C67" s="10">
        <v>6290</v>
      </c>
      <c r="D67" s="10">
        <f t="shared" si="1"/>
        <v>11021</v>
      </c>
    </row>
    <row r="68" spans="1:4" x14ac:dyDescent="0.25">
      <c r="A68" s="8">
        <v>45939</v>
      </c>
      <c r="B68" s="9" t="s">
        <v>178</v>
      </c>
      <c r="C68" s="10">
        <v>-3000</v>
      </c>
      <c r="D68" s="10">
        <f t="shared" si="1"/>
        <v>8021</v>
      </c>
    </row>
    <row r="69" spans="1:4" x14ac:dyDescent="0.25">
      <c r="A69" s="8">
        <v>45943</v>
      </c>
      <c r="B69" s="9" t="s">
        <v>6</v>
      </c>
      <c r="C69" s="10">
        <v>3530</v>
      </c>
      <c r="D69" s="10">
        <f t="shared" si="1"/>
        <v>11551</v>
      </c>
    </row>
    <row r="70" spans="1:4" x14ac:dyDescent="0.25">
      <c r="A70" s="8">
        <v>45943</v>
      </c>
      <c r="B70" s="9" t="s">
        <v>178</v>
      </c>
      <c r="C70" s="10">
        <v>-3000</v>
      </c>
      <c r="D70" s="10">
        <f t="shared" si="1"/>
        <v>8551</v>
      </c>
    </row>
    <row r="71" spans="1:4" x14ac:dyDescent="0.25">
      <c r="A71" s="8">
        <v>45946</v>
      </c>
      <c r="B71" s="9" t="s">
        <v>6</v>
      </c>
      <c r="C71" s="10">
        <v>4100</v>
      </c>
      <c r="D71" s="10">
        <f t="shared" si="1"/>
        <v>12651</v>
      </c>
    </row>
    <row r="72" spans="1:4" x14ac:dyDescent="0.25">
      <c r="A72" s="8">
        <v>45946</v>
      </c>
      <c r="B72" s="9" t="s">
        <v>178</v>
      </c>
      <c r="C72" s="10">
        <v>-4000</v>
      </c>
      <c r="D72" s="10">
        <f t="shared" si="1"/>
        <v>8651</v>
      </c>
    </row>
    <row r="73" spans="1:4" x14ac:dyDescent="0.25">
      <c r="A73" s="8">
        <v>45950</v>
      </c>
      <c r="B73" s="9" t="s">
        <v>6</v>
      </c>
      <c r="C73" s="10">
        <v>1920</v>
      </c>
      <c r="D73" s="10">
        <f t="shared" si="1"/>
        <v>10571</v>
      </c>
    </row>
    <row r="74" spans="1:4" x14ac:dyDescent="0.25">
      <c r="A74" s="8">
        <v>45953</v>
      </c>
      <c r="B74" s="9" t="s">
        <v>6</v>
      </c>
      <c r="C74" s="10">
        <v>5360</v>
      </c>
      <c r="D74" s="10">
        <f t="shared" si="1"/>
        <v>15931</v>
      </c>
    </row>
    <row r="75" spans="1:4" x14ac:dyDescent="0.25">
      <c r="A75" s="8">
        <v>45953</v>
      </c>
      <c r="B75" s="9" t="s">
        <v>178</v>
      </c>
      <c r="C75" s="10">
        <v>-5000</v>
      </c>
      <c r="D75" s="10">
        <f t="shared" si="1"/>
        <v>10931</v>
      </c>
    </row>
    <row r="76" spans="1:4" x14ac:dyDescent="0.25">
      <c r="A76" s="8">
        <v>45988</v>
      </c>
      <c r="B76" s="9" t="s">
        <v>6</v>
      </c>
      <c r="C76" s="10">
        <v>5140</v>
      </c>
      <c r="D76" s="10">
        <f t="shared" si="1"/>
        <v>16071</v>
      </c>
    </row>
    <row r="77" spans="1:4" x14ac:dyDescent="0.25">
      <c r="A77" s="8">
        <v>45988</v>
      </c>
      <c r="B77" s="9" t="s">
        <v>178</v>
      </c>
      <c r="C77" s="10">
        <v>-5000</v>
      </c>
      <c r="D77" s="10">
        <f t="shared" si="1"/>
        <v>11071</v>
      </c>
    </row>
    <row r="78" spans="1:4" x14ac:dyDescent="0.25">
      <c r="A78" s="8">
        <v>45991</v>
      </c>
      <c r="B78" s="9" t="s">
        <v>6</v>
      </c>
      <c r="C78" s="10">
        <v>12950</v>
      </c>
      <c r="D78" s="10">
        <f t="shared" si="1"/>
        <v>24021</v>
      </c>
    </row>
    <row r="79" spans="1:4" x14ac:dyDescent="0.25">
      <c r="A79" s="8">
        <v>45991</v>
      </c>
      <c r="B79" s="9" t="s">
        <v>178</v>
      </c>
      <c r="C79" s="10">
        <v>-7000</v>
      </c>
      <c r="D79" s="10">
        <f t="shared" si="1"/>
        <v>17021</v>
      </c>
    </row>
    <row r="80" spans="1:4" x14ac:dyDescent="0.25">
      <c r="A80" s="8">
        <v>45964</v>
      </c>
      <c r="B80" s="9" t="s">
        <v>6</v>
      </c>
      <c r="C80" s="10">
        <v>3440</v>
      </c>
      <c r="D80" s="10">
        <f t="shared" si="1"/>
        <v>20461</v>
      </c>
    </row>
    <row r="81" spans="1:4" x14ac:dyDescent="0.25">
      <c r="A81" s="8">
        <v>45964</v>
      </c>
      <c r="B81" s="9" t="s">
        <v>178</v>
      </c>
      <c r="C81" s="10">
        <v>-12950</v>
      </c>
      <c r="D81" s="10">
        <f t="shared" si="1"/>
        <v>7511</v>
      </c>
    </row>
    <row r="82" spans="1:4" x14ac:dyDescent="0.25">
      <c r="A82" s="8">
        <v>45967</v>
      </c>
      <c r="B82" s="9" t="s">
        <v>6</v>
      </c>
      <c r="C82" s="10">
        <v>3250</v>
      </c>
      <c r="D82" s="10">
        <f t="shared" si="1"/>
        <v>10761</v>
      </c>
    </row>
    <row r="83" spans="1:4" x14ac:dyDescent="0.25">
      <c r="A83" s="8">
        <v>45967</v>
      </c>
      <c r="B83" s="9" t="s">
        <v>178</v>
      </c>
      <c r="C83" s="10">
        <v>-4000</v>
      </c>
      <c r="D83" s="10">
        <f t="shared" si="1"/>
        <v>6761</v>
      </c>
    </row>
    <row r="84" spans="1:4" x14ac:dyDescent="0.25">
      <c r="A84" s="8">
        <v>45971</v>
      </c>
      <c r="B84" s="9" t="s">
        <v>6</v>
      </c>
      <c r="C84" s="10">
        <v>5890</v>
      </c>
      <c r="D84" s="10">
        <f t="shared" si="1"/>
        <v>12651</v>
      </c>
    </row>
    <row r="85" spans="1:4" x14ac:dyDescent="0.25">
      <c r="A85" s="8">
        <v>45971</v>
      </c>
      <c r="B85" s="9" t="s">
        <v>178</v>
      </c>
      <c r="C85" s="10">
        <v>-4000</v>
      </c>
      <c r="D85" s="10">
        <f>D84+C85</f>
        <v>8651</v>
      </c>
    </row>
    <row r="86" spans="1:4" x14ac:dyDescent="0.25">
      <c r="A86" s="8">
        <v>45974</v>
      </c>
      <c r="B86" s="9" t="s">
        <v>6</v>
      </c>
      <c r="C86" s="10">
        <v>3150</v>
      </c>
      <c r="D86" s="10">
        <f>D85+C86</f>
        <v>11801</v>
      </c>
    </row>
    <row r="87" spans="1:4" x14ac:dyDescent="0.25">
      <c r="A87" s="8">
        <v>45974</v>
      </c>
      <c r="B87" s="9" t="s">
        <v>178</v>
      </c>
      <c r="C87" s="10">
        <v>-3000</v>
      </c>
      <c r="D87" s="10">
        <f t="shared" ref="D87:D150" si="2">D86+C87</f>
        <v>8801</v>
      </c>
    </row>
    <row r="88" spans="1:4" x14ac:dyDescent="0.25">
      <c r="A88" s="8">
        <v>45978</v>
      </c>
      <c r="B88" s="9" t="s">
        <v>6</v>
      </c>
      <c r="C88" s="10">
        <v>3250</v>
      </c>
      <c r="D88" s="10">
        <f t="shared" si="2"/>
        <v>12051</v>
      </c>
    </row>
    <row r="89" spans="1:4" x14ac:dyDescent="0.25">
      <c r="A89" s="8">
        <v>45978</v>
      </c>
      <c r="B89" s="9" t="s">
        <v>92</v>
      </c>
      <c r="C89" s="10">
        <v>-4000</v>
      </c>
      <c r="D89" s="10">
        <f t="shared" si="2"/>
        <v>8051</v>
      </c>
    </row>
    <row r="90" spans="1:4" x14ac:dyDescent="0.25">
      <c r="A90" s="8">
        <v>45981</v>
      </c>
      <c r="B90" s="9" t="s">
        <v>6</v>
      </c>
      <c r="C90" s="10">
        <v>7390</v>
      </c>
      <c r="D90" s="10">
        <f t="shared" si="2"/>
        <v>15441</v>
      </c>
    </row>
    <row r="91" spans="1:4" x14ac:dyDescent="0.25">
      <c r="A91" s="8">
        <v>45981</v>
      </c>
      <c r="B91" s="9" t="s">
        <v>92</v>
      </c>
      <c r="C91" s="10">
        <v>-6000</v>
      </c>
      <c r="D91" s="10">
        <f t="shared" si="2"/>
        <v>9441</v>
      </c>
    </row>
    <row r="92" spans="1:4" x14ac:dyDescent="0.25">
      <c r="A92" s="8">
        <v>45983</v>
      </c>
      <c r="B92" s="9" t="s">
        <v>250</v>
      </c>
      <c r="C92" s="10">
        <v>5070</v>
      </c>
      <c r="D92" s="10">
        <f t="shared" si="2"/>
        <v>14511</v>
      </c>
    </row>
    <row r="93" spans="1:4" x14ac:dyDescent="0.25">
      <c r="A93" s="8">
        <v>45985</v>
      </c>
      <c r="B93" s="9" t="s">
        <v>6</v>
      </c>
      <c r="C93" s="10">
        <v>3970</v>
      </c>
      <c r="D93" s="10">
        <f t="shared" si="2"/>
        <v>18481</v>
      </c>
    </row>
    <row r="94" spans="1:4" x14ac:dyDescent="0.25">
      <c r="A94" s="8">
        <v>45985</v>
      </c>
      <c r="B94" s="9" t="s">
        <v>7</v>
      </c>
      <c r="C94" s="10">
        <v>-8000</v>
      </c>
      <c r="D94" s="10">
        <f t="shared" si="2"/>
        <v>10481</v>
      </c>
    </row>
    <row r="95" spans="1:4" x14ac:dyDescent="0.25">
      <c r="A95" s="8">
        <v>45988</v>
      </c>
      <c r="B95" s="9" t="s">
        <v>3</v>
      </c>
      <c r="C95" s="10">
        <v>10100</v>
      </c>
      <c r="D95" s="10">
        <f t="shared" si="2"/>
        <v>20581</v>
      </c>
    </row>
    <row r="96" spans="1:4" x14ac:dyDescent="0.25">
      <c r="A96" s="8">
        <v>45988</v>
      </c>
      <c r="B96" s="9" t="s">
        <v>92</v>
      </c>
      <c r="C96" s="10">
        <v>-8000</v>
      </c>
      <c r="D96" s="10">
        <f t="shared" si="2"/>
        <v>12581</v>
      </c>
    </row>
    <row r="97" spans="1:4" x14ac:dyDescent="0.25">
      <c r="A97" s="8">
        <v>45991</v>
      </c>
      <c r="B97" s="9" t="s">
        <v>3</v>
      </c>
      <c r="C97" s="10">
        <v>7310</v>
      </c>
      <c r="D97" s="10">
        <f t="shared" si="2"/>
        <v>19891</v>
      </c>
    </row>
    <row r="98" spans="1:4" x14ac:dyDescent="0.25">
      <c r="A98" s="8">
        <v>45992</v>
      </c>
      <c r="B98" s="9" t="s">
        <v>3</v>
      </c>
      <c r="C98" s="10">
        <v>1660</v>
      </c>
      <c r="D98" s="10">
        <f t="shared" si="2"/>
        <v>21551</v>
      </c>
    </row>
    <row r="99" spans="1:4" x14ac:dyDescent="0.25">
      <c r="A99" s="8">
        <v>45992</v>
      </c>
      <c r="B99" s="9" t="s">
        <v>92</v>
      </c>
      <c r="C99" s="10">
        <v>-6000</v>
      </c>
      <c r="D99" s="10">
        <f t="shared" si="2"/>
        <v>15551</v>
      </c>
    </row>
    <row r="100" spans="1:4" x14ac:dyDescent="0.25">
      <c r="A100" s="8">
        <v>45995</v>
      </c>
      <c r="B100" s="9" t="s">
        <v>3</v>
      </c>
      <c r="C100" s="10">
        <v>6630</v>
      </c>
      <c r="D100" s="10">
        <f t="shared" si="2"/>
        <v>22181</v>
      </c>
    </row>
    <row r="101" spans="1:4" x14ac:dyDescent="0.25">
      <c r="A101" s="8">
        <v>45995</v>
      </c>
      <c r="B101" s="9" t="s">
        <v>92</v>
      </c>
      <c r="C101" s="10">
        <v>-8000</v>
      </c>
      <c r="D101" s="10">
        <f t="shared" si="2"/>
        <v>14181</v>
      </c>
    </row>
    <row r="102" spans="1:4" x14ac:dyDescent="0.25">
      <c r="A102" s="26">
        <v>45999</v>
      </c>
      <c r="B102" s="9" t="s">
        <v>3</v>
      </c>
      <c r="C102" s="10">
        <v>4210</v>
      </c>
      <c r="D102" s="10">
        <f t="shared" si="2"/>
        <v>18391</v>
      </c>
    </row>
    <row r="103" spans="1:4" x14ac:dyDescent="0.25">
      <c r="A103" s="26">
        <v>45999</v>
      </c>
      <c r="B103" s="9" t="s">
        <v>267</v>
      </c>
      <c r="C103" s="10">
        <v>-5000</v>
      </c>
      <c r="D103" s="10">
        <f t="shared" si="2"/>
        <v>13391</v>
      </c>
    </row>
    <row r="104" spans="1:4" x14ac:dyDescent="0.25">
      <c r="A104" s="8">
        <v>46002</v>
      </c>
      <c r="B104" s="9" t="s">
        <v>3</v>
      </c>
      <c r="C104" s="10">
        <v>8780</v>
      </c>
      <c r="D104" s="10">
        <f t="shared" si="2"/>
        <v>22171</v>
      </c>
    </row>
    <row r="105" spans="1:4" x14ac:dyDescent="0.25">
      <c r="A105" s="8">
        <v>46002</v>
      </c>
      <c r="B105" s="9" t="s">
        <v>92</v>
      </c>
      <c r="C105" s="10">
        <v>-7000</v>
      </c>
      <c r="D105" s="10">
        <f t="shared" si="2"/>
        <v>15171</v>
      </c>
    </row>
    <row r="106" spans="1:4" x14ac:dyDescent="0.25">
      <c r="A106" s="8">
        <v>46006</v>
      </c>
      <c r="B106" s="9" t="s">
        <v>3</v>
      </c>
      <c r="C106" s="10">
        <v>7410</v>
      </c>
      <c r="D106" s="10">
        <f t="shared" si="2"/>
        <v>22581</v>
      </c>
    </row>
    <row r="107" spans="1:4" x14ac:dyDescent="0.25">
      <c r="A107" s="8">
        <v>46006</v>
      </c>
      <c r="B107" s="9" t="s">
        <v>92</v>
      </c>
      <c r="C107" s="10">
        <v>-9000</v>
      </c>
      <c r="D107" s="10">
        <f t="shared" si="2"/>
        <v>13581</v>
      </c>
    </row>
    <row r="108" spans="1:4" x14ac:dyDescent="0.25">
      <c r="A108" s="8">
        <v>46009</v>
      </c>
      <c r="B108" s="9" t="s">
        <v>3</v>
      </c>
      <c r="C108" s="10">
        <v>900</v>
      </c>
      <c r="D108" s="10">
        <f t="shared" si="2"/>
        <v>14481</v>
      </c>
    </row>
    <row r="109" spans="1:4" x14ac:dyDescent="0.25">
      <c r="A109" s="8">
        <v>46013</v>
      </c>
      <c r="B109" s="9" t="s">
        <v>3</v>
      </c>
      <c r="C109" s="10">
        <v>4660</v>
      </c>
      <c r="D109" s="10">
        <f t="shared" si="2"/>
        <v>19141</v>
      </c>
    </row>
    <row r="110" spans="1:4" x14ac:dyDescent="0.25">
      <c r="A110" s="8">
        <v>46013</v>
      </c>
      <c r="B110" s="9" t="s">
        <v>178</v>
      </c>
      <c r="C110" s="10">
        <v>-7000</v>
      </c>
      <c r="D110" s="10">
        <f t="shared" si="2"/>
        <v>12141</v>
      </c>
    </row>
    <row r="111" spans="1:4" x14ac:dyDescent="0.25">
      <c r="A111" s="8">
        <v>46016</v>
      </c>
      <c r="B111" s="9" t="s">
        <v>3</v>
      </c>
      <c r="C111" s="10">
        <v>5410</v>
      </c>
      <c r="D111" s="10">
        <f t="shared" si="2"/>
        <v>17551</v>
      </c>
    </row>
    <row r="112" spans="1:4" x14ac:dyDescent="0.25">
      <c r="A112" s="8">
        <v>46016</v>
      </c>
      <c r="B112" s="9" t="s">
        <v>178</v>
      </c>
      <c r="C112" s="10">
        <v>-6000</v>
      </c>
      <c r="D112" s="10">
        <f t="shared" si="2"/>
        <v>11551</v>
      </c>
    </row>
    <row r="113" spans="1:4" x14ac:dyDescent="0.25">
      <c r="A113" s="8">
        <v>46020</v>
      </c>
      <c r="B113" s="9" t="s">
        <v>3</v>
      </c>
      <c r="C113" s="10">
        <v>2760</v>
      </c>
      <c r="D113" s="10">
        <f t="shared" si="2"/>
        <v>14311</v>
      </c>
    </row>
    <row r="114" spans="1:4" x14ac:dyDescent="0.25">
      <c r="A114" s="8">
        <v>46020</v>
      </c>
      <c r="B114" s="9" t="s">
        <v>178</v>
      </c>
      <c r="C114" s="10">
        <v>-5500</v>
      </c>
      <c r="D114" s="10">
        <f t="shared" si="2"/>
        <v>8811</v>
      </c>
    </row>
    <row r="115" spans="1:4" x14ac:dyDescent="0.25">
      <c r="A115" s="8">
        <v>46024</v>
      </c>
      <c r="B115" s="9" t="s">
        <v>3</v>
      </c>
      <c r="C115" s="10">
        <v>4020</v>
      </c>
      <c r="D115" s="10">
        <f t="shared" si="2"/>
        <v>12831</v>
      </c>
    </row>
    <row r="116" spans="1:4" x14ac:dyDescent="0.25">
      <c r="A116" s="8">
        <v>46024</v>
      </c>
      <c r="B116" s="9" t="s">
        <v>178</v>
      </c>
      <c r="C116" s="10">
        <v>-5000</v>
      </c>
      <c r="D116" s="10">
        <f t="shared" si="2"/>
        <v>7831</v>
      </c>
    </row>
    <row r="117" spans="1:4" x14ac:dyDescent="0.25">
      <c r="A117" s="8">
        <v>46027</v>
      </c>
      <c r="B117" s="9" t="s">
        <v>3</v>
      </c>
      <c r="C117" s="10">
        <v>2640</v>
      </c>
      <c r="D117" s="10">
        <f t="shared" si="2"/>
        <v>10471</v>
      </c>
    </row>
    <row r="118" spans="1:4" x14ac:dyDescent="0.25">
      <c r="A118" s="8">
        <v>46027</v>
      </c>
      <c r="B118" s="9" t="s">
        <v>178</v>
      </c>
      <c r="C118" s="10">
        <v>-5000</v>
      </c>
      <c r="D118" s="10">
        <f t="shared" si="2"/>
        <v>5471</v>
      </c>
    </row>
    <row r="119" spans="1:4" x14ac:dyDescent="0.25">
      <c r="A119" s="8">
        <v>46030</v>
      </c>
      <c r="B119" s="9" t="s">
        <v>3</v>
      </c>
      <c r="C119" s="10">
        <v>970</v>
      </c>
      <c r="D119" s="10">
        <f t="shared" si="2"/>
        <v>6441</v>
      </c>
    </row>
    <row r="120" spans="1:4" x14ac:dyDescent="0.25">
      <c r="A120" s="8">
        <v>46030</v>
      </c>
      <c r="B120" s="9" t="s">
        <v>178</v>
      </c>
      <c r="C120" s="10">
        <v>-3000</v>
      </c>
      <c r="D120" s="10">
        <f t="shared" si="2"/>
        <v>3441</v>
      </c>
    </row>
    <row r="121" spans="1:4" x14ac:dyDescent="0.25">
      <c r="A121" s="8">
        <v>46034</v>
      </c>
      <c r="B121" s="9" t="s">
        <v>3</v>
      </c>
      <c r="C121" s="10">
        <v>7390</v>
      </c>
      <c r="D121" s="10">
        <f t="shared" si="2"/>
        <v>10831</v>
      </c>
    </row>
    <row r="122" spans="1:4" x14ac:dyDescent="0.25">
      <c r="A122" s="8">
        <v>46034</v>
      </c>
      <c r="B122" s="9" t="s">
        <v>178</v>
      </c>
      <c r="C122" s="10">
        <v>-4000</v>
      </c>
      <c r="D122" s="10">
        <f t="shared" si="2"/>
        <v>6831</v>
      </c>
    </row>
    <row r="123" spans="1:4" x14ac:dyDescent="0.25">
      <c r="A123" s="8">
        <v>46041</v>
      </c>
      <c r="B123" s="9" t="s">
        <v>3</v>
      </c>
      <c r="C123" s="10">
        <v>8680</v>
      </c>
      <c r="D123" s="10">
        <f t="shared" si="2"/>
        <v>15511</v>
      </c>
    </row>
    <row r="124" spans="1:4" x14ac:dyDescent="0.25">
      <c r="A124" s="8">
        <v>46041</v>
      </c>
      <c r="B124" s="9" t="s">
        <v>178</v>
      </c>
      <c r="C124" s="10">
        <v>-6000</v>
      </c>
      <c r="D124" s="10">
        <f t="shared" si="2"/>
        <v>9511</v>
      </c>
    </row>
    <row r="125" spans="1:4" x14ac:dyDescent="0.25">
      <c r="A125" s="8">
        <v>46044</v>
      </c>
      <c r="B125" s="9" t="s">
        <v>3</v>
      </c>
      <c r="C125" s="10">
        <v>4380</v>
      </c>
      <c r="D125" s="10">
        <f t="shared" si="2"/>
        <v>13891</v>
      </c>
    </row>
    <row r="126" spans="1:4" x14ac:dyDescent="0.25">
      <c r="A126" s="8">
        <v>46044</v>
      </c>
      <c r="B126" s="9" t="s">
        <v>178</v>
      </c>
      <c r="C126" s="10">
        <v>-6000</v>
      </c>
      <c r="D126" s="10">
        <f t="shared" si="2"/>
        <v>7891</v>
      </c>
    </row>
    <row r="127" spans="1:4" x14ac:dyDescent="0.25">
      <c r="A127" s="8">
        <v>46049</v>
      </c>
      <c r="B127" s="9" t="s">
        <v>129</v>
      </c>
      <c r="C127" s="10">
        <v>7030</v>
      </c>
      <c r="D127" s="10">
        <f t="shared" si="2"/>
        <v>14921</v>
      </c>
    </row>
    <row r="128" spans="1:4" x14ac:dyDescent="0.25">
      <c r="A128" s="8">
        <v>46051</v>
      </c>
      <c r="B128" s="9" t="s">
        <v>3</v>
      </c>
      <c r="C128" s="10">
        <v>4150</v>
      </c>
      <c r="D128" s="10">
        <f t="shared" si="2"/>
        <v>19071</v>
      </c>
    </row>
    <row r="129" spans="1:4" x14ac:dyDescent="0.25">
      <c r="A129" s="8">
        <v>46051</v>
      </c>
      <c r="B129" s="9" t="s">
        <v>178</v>
      </c>
      <c r="C129" s="10">
        <v>-4500</v>
      </c>
      <c r="D129" s="10">
        <f t="shared" si="2"/>
        <v>14571</v>
      </c>
    </row>
    <row r="130" spans="1:4" x14ac:dyDescent="0.25">
      <c r="A130" s="8">
        <v>46055</v>
      </c>
      <c r="B130" s="9" t="s">
        <v>3</v>
      </c>
      <c r="C130" s="10">
        <v>3760</v>
      </c>
      <c r="D130" s="10">
        <f t="shared" si="2"/>
        <v>18331</v>
      </c>
    </row>
    <row r="131" spans="1:4" x14ac:dyDescent="0.25">
      <c r="A131" s="8">
        <v>46055</v>
      </c>
      <c r="B131" s="9" t="s">
        <v>178</v>
      </c>
      <c r="C131" s="10">
        <v>-5000</v>
      </c>
      <c r="D131" s="10">
        <f t="shared" si="2"/>
        <v>13331</v>
      </c>
    </row>
    <row r="132" spans="1:4" x14ac:dyDescent="0.25">
      <c r="A132" s="8">
        <v>46059</v>
      </c>
      <c r="B132" s="9" t="s">
        <v>178</v>
      </c>
      <c r="C132" s="10">
        <v>-4500</v>
      </c>
      <c r="D132" s="10">
        <f t="shared" si="2"/>
        <v>8831</v>
      </c>
    </row>
    <row r="133" spans="1:4" x14ac:dyDescent="0.25">
      <c r="A133" s="8">
        <v>46062</v>
      </c>
      <c r="B133" s="9" t="s">
        <v>3</v>
      </c>
      <c r="C133" s="10">
        <v>7570</v>
      </c>
      <c r="D133" s="10">
        <f t="shared" si="2"/>
        <v>16401</v>
      </c>
    </row>
    <row r="134" spans="1:4" x14ac:dyDescent="0.25">
      <c r="A134" s="8">
        <v>46062</v>
      </c>
      <c r="B134" s="9" t="s">
        <v>178</v>
      </c>
      <c r="C134" s="10">
        <v>-7000</v>
      </c>
      <c r="D134" s="10">
        <f t="shared" si="2"/>
        <v>9401</v>
      </c>
    </row>
    <row r="135" spans="1:4" x14ac:dyDescent="0.25">
      <c r="A135" s="8">
        <v>46066</v>
      </c>
      <c r="B135" s="9" t="s">
        <v>3</v>
      </c>
      <c r="C135" s="10">
        <v>32160</v>
      </c>
      <c r="D135" s="10">
        <f t="shared" si="2"/>
        <v>41561</v>
      </c>
    </row>
    <row r="136" spans="1:4" x14ac:dyDescent="0.25">
      <c r="A136" s="8">
        <v>46069</v>
      </c>
      <c r="B136" s="9" t="s">
        <v>178</v>
      </c>
      <c r="C136" s="10">
        <v>-30000</v>
      </c>
      <c r="D136" s="10">
        <f t="shared" si="2"/>
        <v>11561</v>
      </c>
    </row>
    <row r="137" spans="1:4" x14ac:dyDescent="0.25">
      <c r="A137" s="8">
        <v>46069</v>
      </c>
      <c r="B137" s="9" t="s">
        <v>3</v>
      </c>
      <c r="C137" s="10">
        <v>7620</v>
      </c>
      <c r="D137" s="10">
        <f t="shared" si="2"/>
        <v>19181</v>
      </c>
    </row>
    <row r="138" spans="1:4" x14ac:dyDescent="0.25">
      <c r="A138" s="8">
        <v>46072</v>
      </c>
      <c r="B138" s="9" t="s">
        <v>3</v>
      </c>
      <c r="C138" s="10">
        <v>5725</v>
      </c>
      <c r="D138" s="10">
        <f t="shared" si="2"/>
        <v>24906</v>
      </c>
    </row>
    <row r="139" spans="1:4" x14ac:dyDescent="0.25">
      <c r="A139" s="8">
        <v>46072</v>
      </c>
      <c r="B139" s="9" t="s">
        <v>178</v>
      </c>
      <c r="C139" s="10">
        <v>-5500</v>
      </c>
      <c r="D139" s="10">
        <f t="shared" si="2"/>
        <v>19406</v>
      </c>
    </row>
    <row r="140" spans="1:4" x14ac:dyDescent="0.25">
      <c r="A140" s="8">
        <v>46076</v>
      </c>
      <c r="B140" s="9" t="s">
        <v>3</v>
      </c>
      <c r="C140" s="10">
        <v>2660</v>
      </c>
      <c r="D140" s="10">
        <f t="shared" si="2"/>
        <v>22066</v>
      </c>
    </row>
    <row r="141" spans="1:4" x14ac:dyDescent="0.25">
      <c r="A141" s="8">
        <v>46076</v>
      </c>
      <c r="B141" s="9" t="s">
        <v>178</v>
      </c>
      <c r="C141" s="10">
        <v>-5000</v>
      </c>
      <c r="D141" s="10">
        <f t="shared" si="2"/>
        <v>17066</v>
      </c>
    </row>
    <row r="142" spans="1:4" x14ac:dyDescent="0.25">
      <c r="A142" s="8">
        <v>46083</v>
      </c>
      <c r="B142" s="9" t="s">
        <v>3</v>
      </c>
      <c r="C142" s="10">
        <v>3800</v>
      </c>
      <c r="D142" s="10">
        <f t="shared" si="2"/>
        <v>20866</v>
      </c>
    </row>
    <row r="143" spans="1:4" x14ac:dyDescent="0.25">
      <c r="A143" s="8">
        <v>46083</v>
      </c>
      <c r="B143" s="9" t="s">
        <v>178</v>
      </c>
      <c r="C143" s="10">
        <v>-7000</v>
      </c>
      <c r="D143" s="10">
        <f t="shared" si="2"/>
        <v>13866</v>
      </c>
    </row>
    <row r="144" spans="1:4" x14ac:dyDescent="0.25">
      <c r="A144" s="8">
        <v>46086</v>
      </c>
      <c r="B144" s="9" t="s">
        <v>3</v>
      </c>
      <c r="C144" s="10">
        <v>1080</v>
      </c>
      <c r="D144" s="10">
        <f t="shared" si="2"/>
        <v>14946</v>
      </c>
    </row>
    <row r="145" spans="1:4" x14ac:dyDescent="0.25">
      <c r="A145" s="8">
        <v>46086</v>
      </c>
      <c r="B145" s="9" t="s">
        <v>178</v>
      </c>
      <c r="C145" s="10">
        <v>-3000</v>
      </c>
      <c r="D145" s="10">
        <f t="shared" si="2"/>
        <v>11946</v>
      </c>
    </row>
    <row r="146" spans="1:4" x14ac:dyDescent="0.25">
      <c r="A146" s="8">
        <v>46097</v>
      </c>
      <c r="B146" s="9" t="s">
        <v>3</v>
      </c>
      <c r="C146" s="10">
        <v>6340</v>
      </c>
      <c r="D146" s="10">
        <f t="shared" si="2"/>
        <v>18286</v>
      </c>
    </row>
    <row r="147" spans="1:4" x14ac:dyDescent="0.25">
      <c r="A147" s="8">
        <v>46097</v>
      </c>
      <c r="B147" s="9" t="s">
        <v>178</v>
      </c>
      <c r="C147" s="10">
        <v>-5000</v>
      </c>
      <c r="D147" s="10">
        <f t="shared" si="2"/>
        <v>13286</v>
      </c>
    </row>
    <row r="148" spans="1:4" x14ac:dyDescent="0.25">
      <c r="A148" s="8">
        <v>46100</v>
      </c>
      <c r="B148" s="9" t="s">
        <v>3</v>
      </c>
      <c r="C148" s="10">
        <v>6320</v>
      </c>
      <c r="D148" s="10">
        <f t="shared" si="2"/>
        <v>19606</v>
      </c>
    </row>
    <row r="149" spans="1:4" x14ac:dyDescent="0.25">
      <c r="A149" s="8">
        <v>46100</v>
      </c>
      <c r="B149" s="9" t="s">
        <v>178</v>
      </c>
      <c r="C149" s="10">
        <v>-7000</v>
      </c>
      <c r="D149" s="10">
        <f t="shared" si="2"/>
        <v>12606</v>
      </c>
    </row>
    <row r="150" spans="1:4" x14ac:dyDescent="0.25">
      <c r="A150" s="8">
        <v>46104</v>
      </c>
      <c r="B150" s="9" t="s">
        <v>3</v>
      </c>
      <c r="C150" s="10">
        <v>5310</v>
      </c>
      <c r="D150" s="10">
        <f t="shared" si="2"/>
        <v>17916</v>
      </c>
    </row>
    <row r="151" spans="1:4" x14ac:dyDescent="0.25">
      <c r="A151" s="8">
        <v>46104</v>
      </c>
      <c r="B151" s="9" t="s">
        <v>178</v>
      </c>
      <c r="C151" s="10">
        <v>-7500</v>
      </c>
      <c r="D151" s="10">
        <f t="shared" ref="D151:D228" si="3">D150+C151</f>
        <v>10416</v>
      </c>
    </row>
    <row r="152" spans="1:4" x14ac:dyDescent="0.25">
      <c r="A152" s="8">
        <v>46107</v>
      </c>
      <c r="B152" s="9" t="s">
        <v>3</v>
      </c>
      <c r="C152" s="10">
        <v>8890</v>
      </c>
      <c r="D152" s="10">
        <f t="shared" si="3"/>
        <v>19306</v>
      </c>
    </row>
    <row r="153" spans="1:4" x14ac:dyDescent="0.25">
      <c r="A153" s="8">
        <v>46107</v>
      </c>
      <c r="B153" s="9" t="s">
        <v>92</v>
      </c>
      <c r="C153" s="10">
        <v>-6000</v>
      </c>
      <c r="D153" s="10">
        <f t="shared" si="3"/>
        <v>13306</v>
      </c>
    </row>
    <row r="154" spans="1:4" x14ac:dyDescent="0.25">
      <c r="A154" s="8">
        <v>46118</v>
      </c>
      <c r="B154" s="9" t="s">
        <v>3</v>
      </c>
      <c r="C154" s="10">
        <v>7040</v>
      </c>
      <c r="D154" s="10">
        <f t="shared" si="3"/>
        <v>20346</v>
      </c>
    </row>
    <row r="155" spans="1:4" x14ac:dyDescent="0.25">
      <c r="A155" s="8">
        <v>46118</v>
      </c>
      <c r="B155" s="9" t="s">
        <v>178</v>
      </c>
      <c r="C155" s="10">
        <v>-6000</v>
      </c>
      <c r="D155" s="10">
        <f t="shared" si="3"/>
        <v>14346</v>
      </c>
    </row>
    <row r="156" spans="1:4" x14ac:dyDescent="0.25">
      <c r="A156" s="8">
        <v>46128</v>
      </c>
      <c r="B156" s="9" t="s">
        <v>3</v>
      </c>
      <c r="C156" s="10">
        <v>6750</v>
      </c>
      <c r="D156" s="10">
        <f t="shared" si="3"/>
        <v>21096</v>
      </c>
    </row>
    <row r="157" spans="1:4" x14ac:dyDescent="0.25">
      <c r="A157" s="8">
        <v>46128</v>
      </c>
      <c r="B157" s="9" t="s">
        <v>178</v>
      </c>
      <c r="C157" s="10">
        <v>-8000</v>
      </c>
      <c r="D157" s="10">
        <f t="shared" si="3"/>
        <v>13096</v>
      </c>
    </row>
    <row r="158" spans="1:4" x14ac:dyDescent="0.25">
      <c r="A158" s="8">
        <v>46132</v>
      </c>
      <c r="B158" s="9" t="s">
        <v>3</v>
      </c>
      <c r="C158" s="10">
        <v>7840</v>
      </c>
      <c r="D158" s="10">
        <f t="shared" si="3"/>
        <v>20936</v>
      </c>
    </row>
    <row r="159" spans="1:4" x14ac:dyDescent="0.25">
      <c r="A159" s="8">
        <v>46132</v>
      </c>
      <c r="B159" s="9" t="s">
        <v>178</v>
      </c>
      <c r="C159" s="10">
        <v>-10000</v>
      </c>
      <c r="D159" s="10">
        <f t="shared" si="3"/>
        <v>10936</v>
      </c>
    </row>
    <row r="160" spans="1:4" x14ac:dyDescent="0.25">
      <c r="A160" s="8">
        <v>46135</v>
      </c>
      <c r="B160" s="9" t="s">
        <v>3</v>
      </c>
      <c r="C160" s="10">
        <v>2880</v>
      </c>
      <c r="D160" s="10">
        <f t="shared" si="3"/>
        <v>13816</v>
      </c>
    </row>
    <row r="161" spans="1:4" x14ac:dyDescent="0.25">
      <c r="A161" s="8">
        <v>46135</v>
      </c>
      <c r="B161" s="9" t="s">
        <v>178</v>
      </c>
      <c r="C161" s="10">
        <v>-3000</v>
      </c>
      <c r="D161" s="10">
        <f t="shared" si="3"/>
        <v>10816</v>
      </c>
    </row>
    <row r="162" spans="1:4" x14ac:dyDescent="0.25">
      <c r="A162" s="8">
        <v>46139</v>
      </c>
      <c r="B162" s="9" t="s">
        <v>3</v>
      </c>
      <c r="C162" s="10">
        <v>2160</v>
      </c>
      <c r="D162" s="10">
        <f t="shared" si="3"/>
        <v>12976</v>
      </c>
    </row>
    <row r="163" spans="1:4" x14ac:dyDescent="0.25">
      <c r="A163" s="8">
        <v>46146</v>
      </c>
      <c r="B163" s="9" t="s">
        <v>3</v>
      </c>
      <c r="C163" s="10">
        <v>4660</v>
      </c>
      <c r="D163" s="10">
        <f t="shared" si="3"/>
        <v>17636</v>
      </c>
    </row>
    <row r="164" spans="1:4" x14ac:dyDescent="0.25">
      <c r="A164" s="8">
        <v>46146</v>
      </c>
      <c r="B164" s="9" t="s">
        <v>92</v>
      </c>
      <c r="C164" s="10">
        <v>-5000</v>
      </c>
      <c r="D164" s="10">
        <f t="shared" si="3"/>
        <v>12636</v>
      </c>
    </row>
    <row r="165" spans="1:4" x14ac:dyDescent="0.25">
      <c r="A165" s="8">
        <v>46149</v>
      </c>
      <c r="B165" s="9" t="s">
        <v>3</v>
      </c>
      <c r="C165" s="10">
        <v>37040</v>
      </c>
      <c r="D165" s="10">
        <f t="shared" si="3"/>
        <v>49676</v>
      </c>
    </row>
    <row r="166" spans="1:4" x14ac:dyDescent="0.25">
      <c r="A166" s="8">
        <v>46153</v>
      </c>
      <c r="B166" s="9" t="s">
        <v>3</v>
      </c>
      <c r="C166" s="10">
        <v>3580</v>
      </c>
      <c r="D166" s="10">
        <f t="shared" si="3"/>
        <v>53256</v>
      </c>
    </row>
    <row r="167" spans="1:4" x14ac:dyDescent="0.25">
      <c r="A167" s="8">
        <v>46153</v>
      </c>
      <c r="B167" s="9" t="s">
        <v>178</v>
      </c>
      <c r="C167" s="10">
        <v>-38000</v>
      </c>
      <c r="D167" s="10">
        <f t="shared" si="3"/>
        <v>15256</v>
      </c>
    </row>
    <row r="168" spans="1:4" x14ac:dyDescent="0.25">
      <c r="A168" s="8">
        <v>46156</v>
      </c>
      <c r="B168" s="9" t="s">
        <v>3</v>
      </c>
      <c r="C168" s="10">
        <v>4670</v>
      </c>
      <c r="D168" s="10">
        <f t="shared" si="3"/>
        <v>19926</v>
      </c>
    </row>
    <row r="169" spans="1:4" x14ac:dyDescent="0.25">
      <c r="A169" s="8">
        <v>46156</v>
      </c>
      <c r="B169" s="9" t="s">
        <v>178</v>
      </c>
      <c r="C169" s="10">
        <v>-7000</v>
      </c>
      <c r="D169" s="10">
        <f t="shared" si="3"/>
        <v>12926</v>
      </c>
    </row>
    <row r="170" spans="1:4" x14ac:dyDescent="0.25">
      <c r="A170" s="8">
        <v>46163</v>
      </c>
      <c r="B170" s="9" t="s">
        <v>3</v>
      </c>
      <c r="C170" s="10">
        <v>4580</v>
      </c>
      <c r="D170" s="10">
        <f t="shared" si="3"/>
        <v>17506</v>
      </c>
    </row>
    <row r="171" spans="1:4" x14ac:dyDescent="0.25">
      <c r="A171" s="8">
        <v>46163</v>
      </c>
      <c r="B171" s="9" t="s">
        <v>435</v>
      </c>
      <c r="C171" s="10">
        <v>-8500</v>
      </c>
      <c r="D171" s="10">
        <f t="shared" si="3"/>
        <v>9006</v>
      </c>
    </row>
    <row r="172" spans="1:4" x14ac:dyDescent="0.25">
      <c r="A172" s="8">
        <v>46170</v>
      </c>
      <c r="B172" s="9" t="s">
        <v>3</v>
      </c>
      <c r="C172" s="10">
        <v>2380</v>
      </c>
      <c r="D172" s="10">
        <f t="shared" si="3"/>
        <v>11386</v>
      </c>
    </row>
    <row r="173" spans="1:4" x14ac:dyDescent="0.25">
      <c r="A173" s="8">
        <v>46170</v>
      </c>
      <c r="B173" s="9" t="s">
        <v>178</v>
      </c>
      <c r="C173" s="10">
        <v>-3000</v>
      </c>
      <c r="D173" s="10">
        <f t="shared" si="3"/>
        <v>8386</v>
      </c>
    </row>
    <row r="174" spans="1:4" x14ac:dyDescent="0.25">
      <c r="A174" s="8">
        <v>46177</v>
      </c>
      <c r="B174" s="9" t="s">
        <v>3</v>
      </c>
      <c r="C174" s="9">
        <v>4710</v>
      </c>
      <c r="D174" s="10">
        <f t="shared" si="3"/>
        <v>13096</v>
      </c>
    </row>
    <row r="175" spans="1:4" x14ac:dyDescent="0.25">
      <c r="A175" s="8">
        <v>46177</v>
      </c>
      <c r="B175" s="9" t="s">
        <v>178</v>
      </c>
      <c r="C175" s="9">
        <v>-8000</v>
      </c>
      <c r="D175" s="10">
        <f t="shared" si="3"/>
        <v>5096</v>
      </c>
    </row>
    <row r="176" spans="1:4" x14ac:dyDescent="0.25">
      <c r="A176" s="8">
        <v>46191</v>
      </c>
      <c r="B176" s="9" t="s">
        <v>3</v>
      </c>
      <c r="C176" s="10">
        <v>3960</v>
      </c>
      <c r="D176" s="10">
        <f t="shared" si="3"/>
        <v>9056</v>
      </c>
    </row>
    <row r="177" spans="1:4" x14ac:dyDescent="0.25">
      <c r="A177" s="8">
        <v>46191</v>
      </c>
      <c r="B177" s="9" t="s">
        <v>178</v>
      </c>
      <c r="C177" s="10">
        <v>5100</v>
      </c>
      <c r="D177" s="10">
        <f t="shared" si="3"/>
        <v>14156</v>
      </c>
    </row>
    <row r="178" spans="1:4" x14ac:dyDescent="0.25">
      <c r="A178" s="8">
        <v>46195</v>
      </c>
      <c r="B178" s="9" t="s">
        <v>3</v>
      </c>
      <c r="C178" s="10">
        <v>2630</v>
      </c>
      <c r="D178" s="10">
        <f t="shared" si="3"/>
        <v>16786</v>
      </c>
    </row>
    <row r="179" spans="1:4" x14ac:dyDescent="0.25">
      <c r="A179" s="8">
        <v>46195</v>
      </c>
      <c r="B179" s="9" t="s">
        <v>178</v>
      </c>
      <c r="C179" s="10">
        <v>-4000</v>
      </c>
      <c r="D179" s="10">
        <f t="shared" si="3"/>
        <v>12786</v>
      </c>
    </row>
    <row r="180" spans="1:4" x14ac:dyDescent="0.25">
      <c r="A180" s="8">
        <v>46202</v>
      </c>
      <c r="B180" s="9" t="s">
        <v>3</v>
      </c>
      <c r="C180" s="10">
        <f>600+1800+700+200+150+510+480+200+250+160+160+300+170+100</f>
        <v>5780</v>
      </c>
      <c r="D180" s="10">
        <f t="shared" si="3"/>
        <v>18566</v>
      </c>
    </row>
    <row r="181" spans="1:4" x14ac:dyDescent="0.25">
      <c r="A181" s="8">
        <v>46202</v>
      </c>
      <c r="B181" s="9" t="s">
        <v>178</v>
      </c>
      <c r="C181" s="10">
        <v>-7000</v>
      </c>
      <c r="D181" s="10">
        <f t="shared" si="3"/>
        <v>11566</v>
      </c>
    </row>
    <row r="182" spans="1:4" x14ac:dyDescent="0.25">
      <c r="A182" s="8">
        <v>46205</v>
      </c>
      <c r="B182" s="9" t="s">
        <v>3</v>
      </c>
      <c r="C182" s="10">
        <v>2590</v>
      </c>
      <c r="D182" s="10">
        <f t="shared" si="3"/>
        <v>14156</v>
      </c>
    </row>
    <row r="183" spans="1:4" x14ac:dyDescent="0.25">
      <c r="A183" s="8">
        <v>46205</v>
      </c>
      <c r="B183" s="9" t="s">
        <v>178</v>
      </c>
      <c r="C183" s="10">
        <v>-2000</v>
      </c>
      <c r="D183" s="10">
        <f t="shared" si="3"/>
        <v>12156</v>
      </c>
    </row>
    <row r="184" spans="1:4" x14ac:dyDescent="0.25">
      <c r="A184" s="8">
        <v>46206</v>
      </c>
      <c r="B184" s="9" t="s">
        <v>3</v>
      </c>
      <c r="C184" s="10">
        <f>900+500+240+350+350</f>
        <v>2340</v>
      </c>
      <c r="D184" s="10">
        <f t="shared" si="3"/>
        <v>14496</v>
      </c>
    </row>
    <row r="185" spans="1:4" x14ac:dyDescent="0.25">
      <c r="A185" s="8">
        <v>46209</v>
      </c>
      <c r="B185" s="9" t="s">
        <v>178</v>
      </c>
      <c r="C185" s="10">
        <v>-5000</v>
      </c>
      <c r="D185" s="10">
        <f t="shared" si="3"/>
        <v>9496</v>
      </c>
    </row>
    <row r="186" spans="1:4" x14ac:dyDescent="0.25">
      <c r="A186" s="8">
        <v>46209</v>
      </c>
      <c r="B186" s="9" t="s">
        <v>3</v>
      </c>
      <c r="C186" s="10">
        <f>480+1800+240+600+200+550+440</f>
        <v>4310</v>
      </c>
      <c r="D186" s="10">
        <f t="shared" si="3"/>
        <v>13806</v>
      </c>
    </row>
    <row r="187" spans="1:4" x14ac:dyDescent="0.25">
      <c r="A187" s="8">
        <v>46212</v>
      </c>
      <c r="B187" s="9" t="s">
        <v>3</v>
      </c>
      <c r="C187" s="10">
        <v>830</v>
      </c>
      <c r="D187" s="10">
        <f t="shared" si="3"/>
        <v>14636</v>
      </c>
    </row>
    <row r="188" spans="1:4" x14ac:dyDescent="0.25">
      <c r="A188" s="8">
        <v>46212</v>
      </c>
      <c r="B188" s="9" t="s">
        <v>178</v>
      </c>
      <c r="C188" s="10">
        <v>-3000</v>
      </c>
      <c r="D188" s="10">
        <f t="shared" si="3"/>
        <v>11636</v>
      </c>
    </row>
    <row r="189" spans="1:4" x14ac:dyDescent="0.25">
      <c r="A189" s="8">
        <v>46216</v>
      </c>
      <c r="B189" s="9" t="s">
        <v>3</v>
      </c>
      <c r="C189" s="10">
        <v>4820</v>
      </c>
      <c r="D189" s="10">
        <f t="shared" si="3"/>
        <v>16456</v>
      </c>
    </row>
    <row r="190" spans="1:4" x14ac:dyDescent="0.25">
      <c r="A190" s="8">
        <v>46216</v>
      </c>
      <c r="B190" s="9" t="s">
        <v>178</v>
      </c>
      <c r="C190" s="10">
        <v>-5000</v>
      </c>
      <c r="D190" s="10">
        <f t="shared" si="3"/>
        <v>11456</v>
      </c>
    </row>
    <row r="191" spans="1:4" x14ac:dyDescent="0.25">
      <c r="A191" s="8">
        <v>46219</v>
      </c>
      <c r="B191" s="9" t="s">
        <v>3</v>
      </c>
      <c r="C191" s="10">
        <v>3050</v>
      </c>
      <c r="D191" s="10">
        <f t="shared" si="3"/>
        <v>14506</v>
      </c>
    </row>
    <row r="192" spans="1:4" x14ac:dyDescent="0.25">
      <c r="A192" s="8">
        <v>46223</v>
      </c>
      <c r="B192" s="9" t="s">
        <v>3</v>
      </c>
      <c r="C192" s="10">
        <v>5490</v>
      </c>
      <c r="D192" s="10">
        <f t="shared" si="3"/>
        <v>19996</v>
      </c>
    </row>
    <row r="193" spans="1:4" x14ac:dyDescent="0.25">
      <c r="A193" s="8">
        <v>46223</v>
      </c>
      <c r="B193" s="9" t="s">
        <v>178</v>
      </c>
      <c r="C193" s="10">
        <v>-8000</v>
      </c>
      <c r="D193" s="10">
        <f t="shared" si="3"/>
        <v>11996</v>
      </c>
    </row>
    <row r="194" spans="1:4" x14ac:dyDescent="0.25">
      <c r="A194" s="8">
        <v>46230</v>
      </c>
      <c r="B194" s="9" t="s">
        <v>3</v>
      </c>
      <c r="C194" s="10">
        <f>360+240+350+600+600+180+470+100</f>
        <v>2900</v>
      </c>
      <c r="D194" s="10">
        <f t="shared" si="3"/>
        <v>14896</v>
      </c>
    </row>
    <row r="195" spans="1:4" x14ac:dyDescent="0.25">
      <c r="A195" s="8">
        <v>46230</v>
      </c>
      <c r="B195" s="9" t="s">
        <v>178</v>
      </c>
      <c r="C195" s="10">
        <v>-3500</v>
      </c>
      <c r="D195" s="10">
        <f t="shared" si="3"/>
        <v>11396</v>
      </c>
    </row>
    <row r="196" spans="1:4" x14ac:dyDescent="0.25">
      <c r="A196" s="8">
        <v>46233</v>
      </c>
      <c r="B196" s="9" t="s">
        <v>3</v>
      </c>
      <c r="C196" s="10">
        <v>5270</v>
      </c>
      <c r="D196" s="10">
        <f t="shared" si="3"/>
        <v>16666</v>
      </c>
    </row>
    <row r="197" spans="1:4" x14ac:dyDescent="0.25">
      <c r="A197" s="8">
        <v>46233</v>
      </c>
      <c r="B197" s="9" t="s">
        <v>178</v>
      </c>
      <c r="C197" s="10">
        <v>-5500</v>
      </c>
      <c r="D197" s="10">
        <f t="shared" si="3"/>
        <v>11166</v>
      </c>
    </row>
    <row r="198" spans="1:4" x14ac:dyDescent="0.25">
      <c r="A198" s="8">
        <v>46237</v>
      </c>
      <c r="B198" s="9" t="s">
        <v>3</v>
      </c>
      <c r="C198" s="10">
        <v>4910</v>
      </c>
      <c r="D198" s="10">
        <f t="shared" si="3"/>
        <v>16076</v>
      </c>
    </row>
    <row r="199" spans="1:4" x14ac:dyDescent="0.25">
      <c r="A199" s="8">
        <v>46237</v>
      </c>
      <c r="B199" s="9" t="s">
        <v>178</v>
      </c>
      <c r="C199" s="10">
        <v>-5500</v>
      </c>
      <c r="D199" s="10">
        <f t="shared" si="3"/>
        <v>10576</v>
      </c>
    </row>
    <row r="200" spans="1:4" x14ac:dyDescent="0.25">
      <c r="A200" s="8">
        <v>46240</v>
      </c>
      <c r="B200" s="9" t="s">
        <v>541</v>
      </c>
      <c r="C200" s="10">
        <v>2010</v>
      </c>
      <c r="D200" s="10">
        <f t="shared" si="3"/>
        <v>12586</v>
      </c>
    </row>
    <row r="201" spans="1:4" x14ac:dyDescent="0.25">
      <c r="A201" s="8">
        <v>46240</v>
      </c>
      <c r="B201" s="9" t="s">
        <v>178</v>
      </c>
      <c r="C201" s="10">
        <v>-2800</v>
      </c>
      <c r="D201" s="10">
        <f t="shared" si="3"/>
        <v>9786</v>
      </c>
    </row>
    <row r="202" spans="1:4" x14ac:dyDescent="0.25">
      <c r="A202" s="8">
        <v>46244</v>
      </c>
      <c r="B202" s="9" t="s">
        <v>547</v>
      </c>
      <c r="C202" s="10">
        <v>3460</v>
      </c>
      <c r="D202" s="10">
        <f t="shared" si="3"/>
        <v>13246</v>
      </c>
    </row>
    <row r="203" spans="1:4" x14ac:dyDescent="0.25">
      <c r="A203" s="8">
        <v>46244</v>
      </c>
      <c r="B203" s="9" t="s">
        <v>178</v>
      </c>
      <c r="C203" s="10">
        <v>-4000</v>
      </c>
      <c r="D203" s="10">
        <f t="shared" si="3"/>
        <v>9246</v>
      </c>
    </row>
    <row r="204" spans="1:4" x14ac:dyDescent="0.25">
      <c r="A204" s="8">
        <v>46247</v>
      </c>
      <c r="B204" s="9" t="s">
        <v>3</v>
      </c>
      <c r="C204" s="10">
        <v>1910</v>
      </c>
      <c r="D204" s="10">
        <f t="shared" si="3"/>
        <v>11156</v>
      </c>
    </row>
    <row r="205" spans="1:4" x14ac:dyDescent="0.25">
      <c r="A205" s="8">
        <v>46247</v>
      </c>
      <c r="B205" s="9" t="s">
        <v>178</v>
      </c>
      <c r="C205" s="10">
        <v>-2500</v>
      </c>
      <c r="D205" s="10">
        <f t="shared" si="3"/>
        <v>8656</v>
      </c>
    </row>
    <row r="206" spans="1:4" x14ac:dyDescent="0.25">
      <c r="A206" s="8">
        <v>46254</v>
      </c>
      <c r="B206" s="9" t="s">
        <v>3</v>
      </c>
      <c r="C206" s="10">
        <v>4210</v>
      </c>
      <c r="D206" s="10">
        <f t="shared" si="3"/>
        <v>12866</v>
      </c>
    </row>
    <row r="207" spans="1:4" x14ac:dyDescent="0.25">
      <c r="A207" s="8">
        <v>46254</v>
      </c>
      <c r="B207" s="9" t="s">
        <v>178</v>
      </c>
      <c r="C207" s="10">
        <v>-4000</v>
      </c>
      <c r="D207" s="10">
        <f t="shared" si="3"/>
        <v>8866</v>
      </c>
    </row>
    <row r="208" spans="1:4" x14ac:dyDescent="0.25">
      <c r="A208" s="8">
        <v>46261</v>
      </c>
      <c r="B208" s="9" t="s">
        <v>3</v>
      </c>
      <c r="C208" s="10">
        <v>4130</v>
      </c>
      <c r="D208" s="10">
        <f t="shared" si="3"/>
        <v>12996</v>
      </c>
    </row>
    <row r="209" spans="1:4" x14ac:dyDescent="0.25">
      <c r="A209" s="8">
        <v>46261</v>
      </c>
      <c r="B209" s="9" t="s">
        <v>178</v>
      </c>
      <c r="C209" s="10">
        <v>-4000</v>
      </c>
      <c r="D209" s="10">
        <f t="shared" si="3"/>
        <v>8996</v>
      </c>
    </row>
    <row r="210" spans="1:4" x14ac:dyDescent="0.25">
      <c r="A210" s="8">
        <v>46265</v>
      </c>
      <c r="B210" s="9" t="s">
        <v>3</v>
      </c>
      <c r="C210" s="10">
        <v>3930</v>
      </c>
      <c r="D210" s="10">
        <f t="shared" si="3"/>
        <v>12926</v>
      </c>
    </row>
    <row r="211" spans="1:4" x14ac:dyDescent="0.25">
      <c r="A211" s="8">
        <v>46265</v>
      </c>
      <c r="B211" s="9" t="s">
        <v>178</v>
      </c>
      <c r="C211" s="10">
        <v>-4500</v>
      </c>
      <c r="D211" s="10">
        <f t="shared" si="3"/>
        <v>8426</v>
      </c>
    </row>
    <row r="212" spans="1:4" x14ac:dyDescent="0.25">
      <c r="A212" s="8">
        <v>46268</v>
      </c>
      <c r="B212" s="9" t="s">
        <v>3</v>
      </c>
      <c r="C212" s="10">
        <v>5450</v>
      </c>
      <c r="D212" s="10">
        <f t="shared" si="3"/>
        <v>13876</v>
      </c>
    </row>
    <row r="213" spans="1:4" x14ac:dyDescent="0.25">
      <c r="A213" s="8">
        <v>46268</v>
      </c>
      <c r="B213" s="9" t="s">
        <v>178</v>
      </c>
      <c r="C213" s="10">
        <v>-4500</v>
      </c>
      <c r="D213" s="10">
        <f t="shared" si="3"/>
        <v>9376</v>
      </c>
    </row>
    <row r="214" spans="1:4" x14ac:dyDescent="0.25">
      <c r="A214" s="8">
        <v>46272</v>
      </c>
      <c r="B214" s="9" t="s">
        <v>3</v>
      </c>
      <c r="C214" s="10">
        <v>3450</v>
      </c>
      <c r="D214" s="10">
        <f t="shared" si="3"/>
        <v>12826</v>
      </c>
    </row>
    <row r="215" spans="1:4" x14ac:dyDescent="0.25">
      <c r="A215" s="8">
        <v>46272</v>
      </c>
      <c r="B215" s="9" t="s">
        <v>178</v>
      </c>
      <c r="C215" s="10">
        <v>-4000</v>
      </c>
      <c r="D215" s="10">
        <f t="shared" si="3"/>
        <v>8826</v>
      </c>
    </row>
    <row r="216" spans="1:4" x14ac:dyDescent="0.25">
      <c r="A216" s="8">
        <v>46279</v>
      </c>
      <c r="B216" s="9" t="s">
        <v>3</v>
      </c>
      <c r="C216" s="10">
        <v>1670</v>
      </c>
      <c r="D216" s="10">
        <f t="shared" si="3"/>
        <v>10496</v>
      </c>
    </row>
    <row r="217" spans="1:4" x14ac:dyDescent="0.25">
      <c r="A217" s="8">
        <v>46279</v>
      </c>
      <c r="B217" s="9" t="s">
        <v>178</v>
      </c>
      <c r="C217" s="10">
        <v>-3000</v>
      </c>
      <c r="D217" s="10">
        <f t="shared" si="3"/>
        <v>7496</v>
      </c>
    </row>
    <row r="218" spans="1:4" x14ac:dyDescent="0.25">
      <c r="A218" s="8">
        <v>46282</v>
      </c>
      <c r="B218" s="9" t="s">
        <v>3</v>
      </c>
      <c r="C218" s="10">
        <v>19360</v>
      </c>
      <c r="D218" s="10">
        <f t="shared" si="3"/>
        <v>26856</v>
      </c>
    </row>
    <row r="219" spans="1:4" x14ac:dyDescent="0.25">
      <c r="A219" s="8">
        <v>46282</v>
      </c>
      <c r="B219" s="9" t="s">
        <v>178</v>
      </c>
      <c r="C219" s="10">
        <v>-3000</v>
      </c>
      <c r="D219" s="10">
        <f t="shared" si="3"/>
        <v>23856</v>
      </c>
    </row>
    <row r="220" spans="1:4" x14ac:dyDescent="0.25">
      <c r="A220" s="8">
        <v>46285</v>
      </c>
      <c r="B220" s="9" t="s">
        <v>129</v>
      </c>
      <c r="C220" s="10">
        <v>2620</v>
      </c>
      <c r="D220" s="10">
        <f t="shared" si="3"/>
        <v>26476</v>
      </c>
    </row>
    <row r="221" spans="1:4" x14ac:dyDescent="0.25">
      <c r="A221" s="8">
        <v>46286</v>
      </c>
      <c r="B221" s="9" t="s">
        <v>3</v>
      </c>
      <c r="C221" s="10">
        <v>960</v>
      </c>
      <c r="D221" s="10">
        <f t="shared" si="3"/>
        <v>27436</v>
      </c>
    </row>
    <row r="222" spans="1:4" x14ac:dyDescent="0.25">
      <c r="A222" s="8">
        <v>46286</v>
      </c>
      <c r="B222" s="9" t="s">
        <v>3</v>
      </c>
      <c r="C222" s="10">
        <v>-11000</v>
      </c>
      <c r="D222" s="10">
        <f t="shared" si="3"/>
        <v>16436</v>
      </c>
    </row>
    <row r="223" spans="1:4" x14ac:dyDescent="0.25">
      <c r="A223" s="8">
        <v>46289</v>
      </c>
      <c r="B223" s="9" t="s">
        <v>3</v>
      </c>
      <c r="C223" s="10">
        <v>4560</v>
      </c>
      <c r="D223" s="10">
        <f t="shared" si="3"/>
        <v>20996</v>
      </c>
    </row>
    <row r="224" spans="1:4" x14ac:dyDescent="0.25">
      <c r="A224" s="8">
        <v>46289</v>
      </c>
      <c r="B224" s="9" t="s">
        <v>178</v>
      </c>
      <c r="C224" s="10">
        <v>-10000</v>
      </c>
      <c r="D224" s="10">
        <f t="shared" si="3"/>
        <v>10996</v>
      </c>
    </row>
    <row r="225" spans="1:4" x14ac:dyDescent="0.25">
      <c r="A225" s="8">
        <v>46296</v>
      </c>
      <c r="B225" s="9" t="s">
        <v>589</v>
      </c>
      <c r="C225" s="10">
        <v>4460</v>
      </c>
      <c r="D225" s="10">
        <f t="shared" si="3"/>
        <v>15456</v>
      </c>
    </row>
    <row r="226" spans="1:4" x14ac:dyDescent="0.25">
      <c r="A226" s="8">
        <v>46296</v>
      </c>
      <c r="B226" s="9" t="s">
        <v>178</v>
      </c>
      <c r="C226" s="10">
        <v>-6000</v>
      </c>
      <c r="D226" s="10">
        <f t="shared" si="3"/>
        <v>9456</v>
      </c>
    </row>
    <row r="227" spans="1:4" x14ac:dyDescent="0.25">
      <c r="A227" s="8"/>
      <c r="B227" s="9"/>
      <c r="C227" s="10"/>
      <c r="D227" s="10">
        <f t="shared" si="3"/>
        <v>9456</v>
      </c>
    </row>
    <row r="228" spans="1:4" x14ac:dyDescent="0.25">
      <c r="A228" s="9"/>
      <c r="B228" s="9"/>
      <c r="C228" s="10"/>
      <c r="D228" s="10">
        <f t="shared" si="3"/>
        <v>9456</v>
      </c>
    </row>
  </sheetData>
  <mergeCells count="2">
    <mergeCell ref="A4:D4"/>
    <mergeCell ref="B6:D6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5C7C8-8D98-4612-8C86-4AE1D663BCE3}">
  <dimension ref="D4:G192"/>
  <sheetViews>
    <sheetView topLeftCell="A11" workbookViewId="0">
      <selection activeCell="F36" sqref="F36"/>
    </sheetView>
  </sheetViews>
  <sheetFormatPr baseColWidth="10" defaultRowHeight="15" x14ac:dyDescent="0.25"/>
  <cols>
    <col min="4" max="4" width="28.28515625" customWidth="1"/>
    <col min="5" max="5" width="27.140625" customWidth="1"/>
    <col min="6" max="6" width="23.42578125" style="6" customWidth="1"/>
    <col min="7" max="7" width="21.85546875" style="6" customWidth="1"/>
  </cols>
  <sheetData>
    <row r="4" spans="4:7" ht="18" x14ac:dyDescent="0.25">
      <c r="D4" s="98" t="s">
        <v>0</v>
      </c>
      <c r="E4" s="98"/>
      <c r="F4" s="98"/>
      <c r="G4" s="98"/>
    </row>
    <row r="6" spans="4:7" x14ac:dyDescent="0.25">
      <c r="D6" s="2" t="s">
        <v>1</v>
      </c>
      <c r="E6" s="96" t="s">
        <v>478</v>
      </c>
      <c r="F6" s="97"/>
      <c r="G6" s="97"/>
    </row>
    <row r="7" spans="4:7" x14ac:dyDescent="0.25">
      <c r="D7" s="3" t="s">
        <v>11</v>
      </c>
      <c r="E7" s="4" t="s">
        <v>479</v>
      </c>
      <c r="F7" s="4"/>
      <c r="G7" s="4"/>
    </row>
    <row r="8" spans="4:7" x14ac:dyDescent="0.25">
      <c r="E8" s="5"/>
    </row>
    <row r="9" spans="4:7" x14ac:dyDescent="0.25">
      <c r="D9" s="2" t="s">
        <v>2</v>
      </c>
      <c r="E9" s="2" t="s">
        <v>3</v>
      </c>
      <c r="F9" s="7" t="s">
        <v>4</v>
      </c>
      <c r="G9" s="7" t="s">
        <v>5</v>
      </c>
    </row>
    <row r="10" spans="4:7" x14ac:dyDescent="0.25">
      <c r="D10" s="8">
        <v>46184</v>
      </c>
      <c r="E10" s="9" t="s">
        <v>3</v>
      </c>
      <c r="F10" s="10">
        <v>900</v>
      </c>
      <c r="G10" s="10">
        <f>F10</f>
        <v>900</v>
      </c>
    </row>
    <row r="11" spans="4:7" x14ac:dyDescent="0.25">
      <c r="D11" s="8">
        <v>46198</v>
      </c>
      <c r="E11" s="9" t="s">
        <v>3</v>
      </c>
      <c r="F11" s="10">
        <f>300+300+300+300+300+350+120+80+170</f>
        <v>2220</v>
      </c>
      <c r="G11" s="10">
        <f>G10+F11</f>
        <v>3120</v>
      </c>
    </row>
    <row r="12" spans="4:7" x14ac:dyDescent="0.25">
      <c r="D12" s="8">
        <v>46202</v>
      </c>
      <c r="E12" s="9" t="s">
        <v>178</v>
      </c>
      <c r="F12" s="10">
        <v>-3120</v>
      </c>
      <c r="G12" s="10">
        <f t="shared" ref="G12:G31" si="0">G11+F12</f>
        <v>0</v>
      </c>
    </row>
    <row r="13" spans="4:7" x14ac:dyDescent="0.25">
      <c r="D13" s="8">
        <v>46202</v>
      </c>
      <c r="E13" s="9" t="s">
        <v>3</v>
      </c>
      <c r="F13" s="10">
        <f>900+350+320+400</f>
        <v>1970</v>
      </c>
      <c r="G13" s="10">
        <f t="shared" si="0"/>
        <v>1970</v>
      </c>
    </row>
    <row r="14" spans="4:7" x14ac:dyDescent="0.25">
      <c r="D14" s="8">
        <v>46205</v>
      </c>
      <c r="E14" s="9" t="s">
        <v>178</v>
      </c>
      <c r="F14" s="10">
        <v>-1970</v>
      </c>
      <c r="G14" s="10">
        <f t="shared" si="0"/>
        <v>0</v>
      </c>
    </row>
    <row r="15" spans="4:7" x14ac:dyDescent="0.25">
      <c r="D15" s="8">
        <v>46209</v>
      </c>
      <c r="E15" s="9" t="s">
        <v>3</v>
      </c>
      <c r="F15" s="10">
        <f>150+60+150+160+220+340+350+100</f>
        <v>1530</v>
      </c>
      <c r="G15" s="11">
        <f t="shared" si="0"/>
        <v>1530</v>
      </c>
    </row>
    <row r="16" spans="4:7" x14ac:dyDescent="0.25">
      <c r="D16" s="8">
        <v>46219</v>
      </c>
      <c r="E16" s="9" t="s">
        <v>178</v>
      </c>
      <c r="F16" s="10">
        <v>-1330</v>
      </c>
      <c r="G16" s="10">
        <f t="shared" si="0"/>
        <v>200</v>
      </c>
    </row>
    <row r="17" spans="4:7" x14ac:dyDescent="0.25">
      <c r="D17" s="8">
        <v>46221</v>
      </c>
      <c r="E17" s="9" t="s">
        <v>3</v>
      </c>
      <c r="F17" s="10">
        <v>2020</v>
      </c>
      <c r="G17" s="10">
        <f t="shared" si="0"/>
        <v>2220</v>
      </c>
    </row>
    <row r="18" spans="4:7" x14ac:dyDescent="0.25">
      <c r="D18" s="22">
        <v>46225</v>
      </c>
      <c r="E18" s="9" t="s">
        <v>129</v>
      </c>
      <c r="F18" s="10">
        <v>1850</v>
      </c>
      <c r="G18" s="10">
        <f t="shared" si="0"/>
        <v>4070</v>
      </c>
    </row>
    <row r="19" spans="4:7" x14ac:dyDescent="0.25">
      <c r="D19" s="8">
        <v>46226</v>
      </c>
      <c r="E19" s="9" t="s">
        <v>178</v>
      </c>
      <c r="F19" s="10">
        <v>-2020</v>
      </c>
      <c r="G19" s="10">
        <f t="shared" si="0"/>
        <v>2050</v>
      </c>
    </row>
    <row r="20" spans="4:7" x14ac:dyDescent="0.25">
      <c r="D20" s="8">
        <v>46230</v>
      </c>
      <c r="E20" s="9" t="s">
        <v>178</v>
      </c>
      <c r="F20" s="10">
        <v>-2050</v>
      </c>
      <c r="G20" s="10">
        <f t="shared" si="0"/>
        <v>0</v>
      </c>
    </row>
    <row r="21" spans="4:7" x14ac:dyDescent="0.25">
      <c r="D21" s="8">
        <v>46233</v>
      </c>
      <c r="E21" s="9" t="s">
        <v>129</v>
      </c>
      <c r="F21" s="10">
        <f>300+300+300+600+80+150+120</f>
        <v>1850</v>
      </c>
      <c r="G21" s="10">
        <f t="shared" si="0"/>
        <v>1850</v>
      </c>
    </row>
    <row r="22" spans="4:7" x14ac:dyDescent="0.25">
      <c r="D22" s="8">
        <v>46237</v>
      </c>
      <c r="E22" s="9" t="s">
        <v>178</v>
      </c>
      <c r="F22" s="10">
        <v>-1850</v>
      </c>
      <c r="G22" s="10">
        <f t="shared" si="0"/>
        <v>0</v>
      </c>
    </row>
    <row r="23" spans="4:7" x14ac:dyDescent="0.25">
      <c r="D23" s="8">
        <v>46240</v>
      </c>
      <c r="E23" s="9" t="s">
        <v>3</v>
      </c>
      <c r="F23" s="10">
        <v>2170</v>
      </c>
      <c r="G23" s="10">
        <f t="shared" si="0"/>
        <v>2170</v>
      </c>
    </row>
    <row r="24" spans="4:7" x14ac:dyDescent="0.25">
      <c r="D24" s="8">
        <v>46244</v>
      </c>
      <c r="E24" s="9" t="s">
        <v>178</v>
      </c>
      <c r="F24" s="10">
        <v>-2170</v>
      </c>
      <c r="G24" s="10">
        <f t="shared" si="0"/>
        <v>0</v>
      </c>
    </row>
    <row r="25" spans="4:7" x14ac:dyDescent="0.25">
      <c r="D25" s="8">
        <v>46246</v>
      </c>
      <c r="E25" s="9" t="s">
        <v>3</v>
      </c>
      <c r="F25" s="10">
        <v>1370</v>
      </c>
      <c r="G25" s="10">
        <f>G24+F25</f>
        <v>1370</v>
      </c>
    </row>
    <row r="26" spans="4:7" x14ac:dyDescent="0.25">
      <c r="D26" s="8">
        <v>46247</v>
      </c>
      <c r="E26" s="9" t="s">
        <v>178</v>
      </c>
      <c r="F26" s="10">
        <v>-1370</v>
      </c>
      <c r="G26" s="10">
        <f t="shared" si="0"/>
        <v>0</v>
      </c>
    </row>
    <row r="27" spans="4:7" x14ac:dyDescent="0.25">
      <c r="D27" s="8">
        <v>46252</v>
      </c>
      <c r="E27" s="9" t="s">
        <v>129</v>
      </c>
      <c r="F27" s="10">
        <v>2330</v>
      </c>
      <c r="G27" s="10">
        <f t="shared" si="0"/>
        <v>2330</v>
      </c>
    </row>
    <row r="28" spans="4:7" x14ac:dyDescent="0.25">
      <c r="D28" s="8">
        <v>46261</v>
      </c>
      <c r="E28" s="9" t="s">
        <v>178</v>
      </c>
      <c r="F28" s="10">
        <v>-2330</v>
      </c>
      <c r="G28" s="10">
        <f t="shared" si="0"/>
        <v>0</v>
      </c>
    </row>
    <row r="29" spans="4:7" x14ac:dyDescent="0.25">
      <c r="D29" s="8">
        <v>46266</v>
      </c>
      <c r="E29" s="9" t="s">
        <v>129</v>
      </c>
      <c r="F29" s="10">
        <v>3280</v>
      </c>
      <c r="G29" s="10">
        <f t="shared" si="0"/>
        <v>3280</v>
      </c>
    </row>
    <row r="30" spans="4:7" x14ac:dyDescent="0.25">
      <c r="D30" s="8">
        <v>46272</v>
      </c>
      <c r="E30" s="9" t="s">
        <v>3</v>
      </c>
      <c r="F30" s="10">
        <v>-3280</v>
      </c>
      <c r="G30" s="10">
        <f t="shared" si="0"/>
        <v>0</v>
      </c>
    </row>
    <row r="31" spans="4:7" x14ac:dyDescent="0.25">
      <c r="D31" s="8">
        <v>46275</v>
      </c>
      <c r="E31" s="9" t="s">
        <v>3</v>
      </c>
      <c r="F31" s="10">
        <v>970</v>
      </c>
      <c r="G31" s="10">
        <f t="shared" si="0"/>
        <v>970</v>
      </c>
    </row>
    <row r="32" spans="4:7" x14ac:dyDescent="0.25">
      <c r="D32" s="8">
        <v>46288</v>
      </c>
      <c r="E32" s="9" t="s">
        <v>3</v>
      </c>
      <c r="F32" s="10">
        <v>2210</v>
      </c>
      <c r="G32" s="10">
        <f>G31+F32</f>
        <v>3180</v>
      </c>
    </row>
    <row r="33" spans="4:7" x14ac:dyDescent="0.25">
      <c r="D33" s="8">
        <v>46293</v>
      </c>
      <c r="E33" s="9" t="s">
        <v>3</v>
      </c>
      <c r="F33" s="10">
        <v>900</v>
      </c>
      <c r="G33" s="10">
        <f t="shared" ref="G33:G84" si="1">G32+F33</f>
        <v>4080</v>
      </c>
    </row>
    <row r="34" spans="4:7" x14ac:dyDescent="0.25">
      <c r="D34" s="8">
        <v>46293</v>
      </c>
      <c r="E34" s="9" t="s">
        <v>178</v>
      </c>
      <c r="F34" s="10">
        <v>-3180</v>
      </c>
      <c r="G34" s="10">
        <f t="shared" si="1"/>
        <v>900</v>
      </c>
    </row>
    <row r="35" spans="4:7" x14ac:dyDescent="0.25">
      <c r="D35" s="8">
        <v>46296</v>
      </c>
      <c r="E35" s="9" t="s">
        <v>178</v>
      </c>
      <c r="F35" s="10">
        <v>-900</v>
      </c>
      <c r="G35" s="10">
        <f t="shared" si="1"/>
        <v>0</v>
      </c>
    </row>
    <row r="36" spans="4:7" x14ac:dyDescent="0.25">
      <c r="D36" s="8"/>
      <c r="E36" s="9"/>
      <c r="F36" s="10"/>
      <c r="G36" s="10">
        <f t="shared" si="1"/>
        <v>0</v>
      </c>
    </row>
    <row r="37" spans="4:7" x14ac:dyDescent="0.25">
      <c r="D37" s="8"/>
      <c r="E37" s="9"/>
      <c r="F37" s="10"/>
      <c r="G37" s="10">
        <f t="shared" si="1"/>
        <v>0</v>
      </c>
    </row>
    <row r="38" spans="4:7" x14ac:dyDescent="0.25">
      <c r="D38" s="8"/>
      <c r="E38" s="9"/>
      <c r="F38" s="10"/>
      <c r="G38" s="10">
        <f t="shared" si="1"/>
        <v>0</v>
      </c>
    </row>
    <row r="39" spans="4:7" x14ac:dyDescent="0.25">
      <c r="D39" s="8"/>
      <c r="E39" s="9"/>
      <c r="F39" s="10"/>
      <c r="G39" s="10">
        <f t="shared" si="1"/>
        <v>0</v>
      </c>
    </row>
    <row r="40" spans="4:7" x14ac:dyDescent="0.25">
      <c r="D40" s="8"/>
      <c r="E40" s="9"/>
      <c r="F40" s="10"/>
      <c r="G40" s="10">
        <f t="shared" si="1"/>
        <v>0</v>
      </c>
    </row>
    <row r="41" spans="4:7" x14ac:dyDescent="0.25">
      <c r="D41" s="8"/>
      <c r="E41" s="9"/>
      <c r="F41" s="10"/>
      <c r="G41" s="10">
        <f t="shared" si="1"/>
        <v>0</v>
      </c>
    </row>
    <row r="42" spans="4:7" x14ac:dyDescent="0.25">
      <c r="D42" s="8"/>
      <c r="E42" s="9"/>
      <c r="F42" s="10"/>
      <c r="G42" s="10">
        <f t="shared" si="1"/>
        <v>0</v>
      </c>
    </row>
    <row r="43" spans="4:7" x14ac:dyDescent="0.25">
      <c r="D43" s="8"/>
      <c r="E43" s="9"/>
      <c r="F43" s="10"/>
      <c r="G43" s="10">
        <f t="shared" si="1"/>
        <v>0</v>
      </c>
    </row>
    <row r="44" spans="4:7" x14ac:dyDescent="0.25">
      <c r="D44" s="8"/>
      <c r="E44" s="9"/>
      <c r="F44" s="10"/>
      <c r="G44" s="10">
        <f t="shared" si="1"/>
        <v>0</v>
      </c>
    </row>
    <row r="45" spans="4:7" x14ac:dyDescent="0.25">
      <c r="D45" s="8"/>
      <c r="E45" s="9"/>
      <c r="F45" s="10"/>
      <c r="G45" s="10">
        <f t="shared" si="1"/>
        <v>0</v>
      </c>
    </row>
    <row r="46" spans="4:7" x14ac:dyDescent="0.25">
      <c r="D46" s="8"/>
      <c r="E46" s="9"/>
      <c r="F46" s="10"/>
      <c r="G46" s="10">
        <f t="shared" si="1"/>
        <v>0</v>
      </c>
    </row>
    <row r="47" spans="4:7" x14ac:dyDescent="0.25">
      <c r="D47" s="8"/>
      <c r="E47" s="9"/>
      <c r="F47" s="10"/>
      <c r="G47" s="10">
        <f t="shared" si="1"/>
        <v>0</v>
      </c>
    </row>
    <row r="48" spans="4:7" x14ac:dyDescent="0.25">
      <c r="D48" s="8"/>
      <c r="E48" s="9"/>
      <c r="F48" s="10"/>
      <c r="G48" s="10">
        <f t="shared" si="1"/>
        <v>0</v>
      </c>
    </row>
    <row r="49" spans="4:7" x14ac:dyDescent="0.25">
      <c r="D49" s="8"/>
      <c r="E49" s="9"/>
      <c r="F49" s="10"/>
      <c r="G49" s="10">
        <f t="shared" si="1"/>
        <v>0</v>
      </c>
    </row>
    <row r="50" spans="4:7" x14ac:dyDescent="0.25">
      <c r="D50" s="8"/>
      <c r="E50" s="9"/>
      <c r="F50" s="10"/>
      <c r="G50" s="10">
        <f t="shared" si="1"/>
        <v>0</v>
      </c>
    </row>
    <row r="51" spans="4:7" x14ac:dyDescent="0.25">
      <c r="D51" s="8"/>
      <c r="E51" s="9"/>
      <c r="F51" s="10"/>
      <c r="G51" s="10">
        <f t="shared" si="1"/>
        <v>0</v>
      </c>
    </row>
    <row r="52" spans="4:7" x14ac:dyDescent="0.25">
      <c r="D52" s="8"/>
      <c r="E52" s="9"/>
      <c r="F52" s="10"/>
      <c r="G52" s="10">
        <f t="shared" si="1"/>
        <v>0</v>
      </c>
    </row>
    <row r="53" spans="4:7" x14ac:dyDescent="0.25">
      <c r="D53" s="8"/>
      <c r="E53" s="9"/>
      <c r="F53" s="10"/>
      <c r="G53" s="10">
        <f t="shared" si="1"/>
        <v>0</v>
      </c>
    </row>
    <row r="54" spans="4:7" x14ac:dyDescent="0.25">
      <c r="D54" s="8"/>
      <c r="E54" s="9"/>
      <c r="F54" s="10"/>
      <c r="G54" s="10">
        <f t="shared" si="1"/>
        <v>0</v>
      </c>
    </row>
    <row r="55" spans="4:7" x14ac:dyDescent="0.25">
      <c r="D55" s="8"/>
      <c r="E55" s="9"/>
      <c r="F55" s="10"/>
      <c r="G55" s="10">
        <f t="shared" si="1"/>
        <v>0</v>
      </c>
    </row>
    <row r="56" spans="4:7" x14ac:dyDescent="0.25">
      <c r="D56" s="8"/>
      <c r="E56" s="9"/>
      <c r="F56" s="10"/>
      <c r="G56" s="10">
        <f t="shared" si="1"/>
        <v>0</v>
      </c>
    </row>
    <row r="57" spans="4:7" x14ac:dyDescent="0.25">
      <c r="D57" s="8"/>
      <c r="E57" s="9"/>
      <c r="F57" s="10"/>
      <c r="G57" s="10">
        <f t="shared" si="1"/>
        <v>0</v>
      </c>
    </row>
    <row r="58" spans="4:7" x14ac:dyDescent="0.25">
      <c r="D58" s="8"/>
      <c r="E58" s="9"/>
      <c r="F58" s="10"/>
      <c r="G58" s="10">
        <f t="shared" si="1"/>
        <v>0</v>
      </c>
    </row>
    <row r="59" spans="4:7" x14ac:dyDescent="0.25">
      <c r="D59" s="8"/>
      <c r="E59" s="9"/>
      <c r="F59" s="10"/>
      <c r="G59" s="10">
        <f t="shared" si="1"/>
        <v>0</v>
      </c>
    </row>
    <row r="60" spans="4:7" x14ac:dyDescent="0.25">
      <c r="D60" s="8"/>
      <c r="E60" s="9"/>
      <c r="F60" s="10"/>
      <c r="G60" s="10">
        <f t="shared" si="1"/>
        <v>0</v>
      </c>
    </row>
    <row r="61" spans="4:7" x14ac:dyDescent="0.25">
      <c r="D61" s="8"/>
      <c r="E61" s="9"/>
      <c r="F61" s="10"/>
      <c r="G61" s="10">
        <f t="shared" si="1"/>
        <v>0</v>
      </c>
    </row>
    <row r="62" spans="4:7" x14ac:dyDescent="0.25">
      <c r="D62" s="8"/>
      <c r="E62" s="9"/>
      <c r="F62" s="10"/>
      <c r="G62" s="10">
        <f t="shared" si="1"/>
        <v>0</v>
      </c>
    </row>
    <row r="63" spans="4:7" x14ac:dyDescent="0.25">
      <c r="D63" s="8"/>
      <c r="E63" s="9"/>
      <c r="F63" s="10"/>
      <c r="G63" s="10">
        <f t="shared" si="1"/>
        <v>0</v>
      </c>
    </row>
    <row r="64" spans="4:7" x14ac:dyDescent="0.25">
      <c r="D64" s="8"/>
      <c r="E64" s="9"/>
      <c r="F64" s="10"/>
      <c r="G64" s="10">
        <f t="shared" si="1"/>
        <v>0</v>
      </c>
    </row>
    <row r="65" spans="4:7" x14ac:dyDescent="0.25">
      <c r="D65" s="8"/>
      <c r="E65" s="9"/>
      <c r="F65" s="10"/>
      <c r="G65" s="10">
        <f t="shared" si="1"/>
        <v>0</v>
      </c>
    </row>
    <row r="66" spans="4:7" x14ac:dyDescent="0.25">
      <c r="D66" s="8"/>
      <c r="E66" s="9"/>
      <c r="F66" s="10"/>
      <c r="G66" s="10">
        <f t="shared" si="1"/>
        <v>0</v>
      </c>
    </row>
    <row r="67" spans="4:7" x14ac:dyDescent="0.25">
      <c r="D67" s="8"/>
      <c r="E67" s="9"/>
      <c r="F67" s="10"/>
      <c r="G67" s="10">
        <f t="shared" si="1"/>
        <v>0</v>
      </c>
    </row>
    <row r="68" spans="4:7" x14ac:dyDescent="0.25">
      <c r="D68" s="8"/>
      <c r="E68" s="9"/>
      <c r="F68" s="10"/>
      <c r="G68" s="10">
        <f t="shared" si="1"/>
        <v>0</v>
      </c>
    </row>
    <row r="69" spans="4:7" x14ac:dyDescent="0.25">
      <c r="D69" s="8"/>
      <c r="E69" s="9"/>
      <c r="F69" s="10"/>
      <c r="G69" s="10">
        <f t="shared" si="1"/>
        <v>0</v>
      </c>
    </row>
    <row r="70" spans="4:7" x14ac:dyDescent="0.25">
      <c r="D70" s="8"/>
      <c r="E70" s="9"/>
      <c r="F70" s="10"/>
      <c r="G70" s="10">
        <f t="shared" si="1"/>
        <v>0</v>
      </c>
    </row>
    <row r="71" spans="4:7" x14ac:dyDescent="0.25">
      <c r="D71" s="8"/>
      <c r="E71" s="9"/>
      <c r="F71" s="10"/>
      <c r="G71" s="10">
        <f t="shared" si="1"/>
        <v>0</v>
      </c>
    </row>
    <row r="72" spans="4:7" x14ac:dyDescent="0.25">
      <c r="D72" s="8"/>
      <c r="E72" s="9"/>
      <c r="F72" s="10"/>
      <c r="G72" s="10">
        <f t="shared" si="1"/>
        <v>0</v>
      </c>
    </row>
    <row r="73" spans="4:7" x14ac:dyDescent="0.25">
      <c r="D73" s="8"/>
      <c r="E73" s="9"/>
      <c r="F73" s="10"/>
      <c r="G73" s="10">
        <f t="shared" si="1"/>
        <v>0</v>
      </c>
    </row>
    <row r="74" spans="4:7" x14ac:dyDescent="0.25">
      <c r="D74" s="8"/>
      <c r="E74" s="9"/>
      <c r="F74" s="10"/>
      <c r="G74" s="10">
        <f t="shared" si="1"/>
        <v>0</v>
      </c>
    </row>
    <row r="75" spans="4:7" x14ac:dyDescent="0.25">
      <c r="D75" s="8"/>
      <c r="E75" s="9"/>
      <c r="F75" s="10"/>
      <c r="G75" s="10">
        <f t="shared" si="1"/>
        <v>0</v>
      </c>
    </row>
    <row r="76" spans="4:7" x14ac:dyDescent="0.25">
      <c r="D76" s="8"/>
      <c r="E76" s="9"/>
      <c r="F76" s="10"/>
      <c r="G76" s="10">
        <f t="shared" si="1"/>
        <v>0</v>
      </c>
    </row>
    <row r="77" spans="4:7" x14ac:dyDescent="0.25">
      <c r="D77" s="8"/>
      <c r="E77" s="9"/>
      <c r="F77" s="10"/>
      <c r="G77" s="10">
        <f t="shared" si="1"/>
        <v>0</v>
      </c>
    </row>
    <row r="78" spans="4:7" x14ac:dyDescent="0.25">
      <c r="D78" s="8"/>
      <c r="E78" s="9"/>
      <c r="F78" s="10"/>
      <c r="G78" s="10">
        <f t="shared" si="1"/>
        <v>0</v>
      </c>
    </row>
    <row r="79" spans="4:7" x14ac:dyDescent="0.25">
      <c r="D79" s="8"/>
      <c r="E79" s="9"/>
      <c r="F79" s="10"/>
      <c r="G79" s="10">
        <f t="shared" si="1"/>
        <v>0</v>
      </c>
    </row>
    <row r="80" spans="4:7" x14ac:dyDescent="0.25">
      <c r="D80" s="8"/>
      <c r="E80" s="9"/>
      <c r="F80" s="10"/>
      <c r="G80" s="10">
        <f t="shared" si="1"/>
        <v>0</v>
      </c>
    </row>
    <row r="81" spans="4:7" x14ac:dyDescent="0.25">
      <c r="D81" s="8"/>
      <c r="E81" s="9"/>
      <c r="F81" s="10"/>
      <c r="G81" s="10">
        <f t="shared" si="1"/>
        <v>0</v>
      </c>
    </row>
    <row r="82" spans="4:7" x14ac:dyDescent="0.25">
      <c r="D82" s="8"/>
      <c r="E82" s="9"/>
      <c r="F82" s="10"/>
      <c r="G82" s="10">
        <f t="shared" si="1"/>
        <v>0</v>
      </c>
    </row>
    <row r="83" spans="4:7" x14ac:dyDescent="0.25">
      <c r="D83" s="8"/>
      <c r="E83" s="9"/>
      <c r="F83" s="10"/>
      <c r="G83" s="10">
        <f t="shared" si="1"/>
        <v>0</v>
      </c>
    </row>
    <row r="84" spans="4:7" x14ac:dyDescent="0.25">
      <c r="D84" s="8"/>
      <c r="E84" s="9"/>
      <c r="F84" s="10"/>
      <c r="G84" s="10">
        <f t="shared" si="1"/>
        <v>0</v>
      </c>
    </row>
    <row r="85" spans="4:7" x14ac:dyDescent="0.25">
      <c r="D85" s="8"/>
      <c r="E85" s="9"/>
      <c r="F85" s="10"/>
      <c r="G85" s="10">
        <f>G84+F85</f>
        <v>0</v>
      </c>
    </row>
    <row r="86" spans="4:7" x14ac:dyDescent="0.25">
      <c r="D86" s="8"/>
      <c r="E86" s="9"/>
      <c r="F86" s="10"/>
      <c r="G86" s="10">
        <f>G85+F86</f>
        <v>0</v>
      </c>
    </row>
    <row r="87" spans="4:7" x14ac:dyDescent="0.25">
      <c r="D87" s="8"/>
      <c r="E87" s="9"/>
      <c r="F87" s="10"/>
      <c r="G87" s="10">
        <f t="shared" ref="G87:G150" si="2">G86+F87</f>
        <v>0</v>
      </c>
    </row>
    <row r="88" spans="4:7" x14ac:dyDescent="0.25">
      <c r="D88" s="8"/>
      <c r="E88" s="9"/>
      <c r="F88" s="10"/>
      <c r="G88" s="10">
        <f t="shared" si="2"/>
        <v>0</v>
      </c>
    </row>
    <row r="89" spans="4:7" x14ac:dyDescent="0.25">
      <c r="D89" s="8"/>
      <c r="E89" s="9"/>
      <c r="F89" s="10"/>
      <c r="G89" s="10">
        <f t="shared" si="2"/>
        <v>0</v>
      </c>
    </row>
    <row r="90" spans="4:7" x14ac:dyDescent="0.25">
      <c r="D90" s="8"/>
      <c r="E90" s="9"/>
      <c r="F90" s="10"/>
      <c r="G90" s="10">
        <f t="shared" si="2"/>
        <v>0</v>
      </c>
    </row>
    <row r="91" spans="4:7" x14ac:dyDescent="0.25">
      <c r="D91" s="8"/>
      <c r="E91" s="9"/>
      <c r="F91" s="10"/>
      <c r="G91" s="10">
        <f t="shared" si="2"/>
        <v>0</v>
      </c>
    </row>
    <row r="92" spans="4:7" x14ac:dyDescent="0.25">
      <c r="D92" s="8"/>
      <c r="E92" s="9"/>
      <c r="F92" s="10"/>
      <c r="G92" s="10">
        <f t="shared" si="2"/>
        <v>0</v>
      </c>
    </row>
    <row r="93" spans="4:7" x14ac:dyDescent="0.25">
      <c r="D93" s="8"/>
      <c r="E93" s="9"/>
      <c r="F93" s="10"/>
      <c r="G93" s="10">
        <f t="shared" si="2"/>
        <v>0</v>
      </c>
    </row>
    <row r="94" spans="4:7" x14ac:dyDescent="0.25">
      <c r="D94" s="8"/>
      <c r="E94" s="9"/>
      <c r="F94" s="10"/>
      <c r="G94" s="10">
        <f t="shared" si="2"/>
        <v>0</v>
      </c>
    </row>
    <row r="95" spans="4:7" x14ac:dyDescent="0.25">
      <c r="D95" s="8"/>
      <c r="E95" s="9"/>
      <c r="F95" s="10"/>
      <c r="G95" s="10">
        <f t="shared" si="2"/>
        <v>0</v>
      </c>
    </row>
    <row r="96" spans="4:7" x14ac:dyDescent="0.25">
      <c r="D96" s="8"/>
      <c r="E96" s="9"/>
      <c r="F96" s="10"/>
      <c r="G96" s="10">
        <f t="shared" si="2"/>
        <v>0</v>
      </c>
    </row>
    <row r="97" spans="4:7" x14ac:dyDescent="0.25">
      <c r="D97" s="8"/>
      <c r="E97" s="9"/>
      <c r="F97" s="10"/>
      <c r="G97" s="10">
        <f t="shared" si="2"/>
        <v>0</v>
      </c>
    </row>
    <row r="98" spans="4:7" x14ac:dyDescent="0.25">
      <c r="D98" s="8"/>
      <c r="E98" s="9"/>
      <c r="F98" s="10"/>
      <c r="G98" s="10">
        <f t="shared" si="2"/>
        <v>0</v>
      </c>
    </row>
    <row r="99" spans="4:7" x14ac:dyDescent="0.25">
      <c r="D99" s="8"/>
      <c r="E99" s="9"/>
      <c r="F99" s="10"/>
      <c r="G99" s="10">
        <f t="shared" si="2"/>
        <v>0</v>
      </c>
    </row>
    <row r="100" spans="4:7" x14ac:dyDescent="0.25">
      <c r="D100" s="8"/>
      <c r="E100" s="9"/>
      <c r="F100" s="10"/>
      <c r="G100" s="10">
        <f t="shared" si="2"/>
        <v>0</v>
      </c>
    </row>
    <row r="101" spans="4:7" x14ac:dyDescent="0.25">
      <c r="D101" s="8"/>
      <c r="E101" s="9"/>
      <c r="F101" s="10"/>
      <c r="G101" s="10">
        <f t="shared" si="2"/>
        <v>0</v>
      </c>
    </row>
    <row r="102" spans="4:7" x14ac:dyDescent="0.25">
      <c r="D102" s="26"/>
      <c r="E102" s="9"/>
      <c r="F102" s="10"/>
      <c r="G102" s="10">
        <f t="shared" si="2"/>
        <v>0</v>
      </c>
    </row>
    <row r="103" spans="4:7" x14ac:dyDescent="0.25">
      <c r="D103" s="26"/>
      <c r="E103" s="9"/>
      <c r="F103" s="10"/>
      <c r="G103" s="10">
        <f t="shared" si="2"/>
        <v>0</v>
      </c>
    </row>
    <row r="104" spans="4:7" x14ac:dyDescent="0.25">
      <c r="D104" s="8"/>
      <c r="E104" s="9"/>
      <c r="F104" s="10"/>
      <c r="G104" s="10">
        <f t="shared" si="2"/>
        <v>0</v>
      </c>
    </row>
    <row r="105" spans="4:7" x14ac:dyDescent="0.25">
      <c r="D105" s="8"/>
      <c r="E105" s="9"/>
      <c r="F105" s="10"/>
      <c r="G105" s="10">
        <f t="shared" si="2"/>
        <v>0</v>
      </c>
    </row>
    <row r="106" spans="4:7" x14ac:dyDescent="0.25">
      <c r="D106" s="8"/>
      <c r="E106" s="9"/>
      <c r="F106" s="10"/>
      <c r="G106" s="10">
        <f t="shared" si="2"/>
        <v>0</v>
      </c>
    </row>
    <row r="107" spans="4:7" x14ac:dyDescent="0.25">
      <c r="D107" s="8"/>
      <c r="E107" s="9"/>
      <c r="F107" s="10"/>
      <c r="G107" s="10">
        <f t="shared" si="2"/>
        <v>0</v>
      </c>
    </row>
    <row r="108" spans="4:7" x14ac:dyDescent="0.25">
      <c r="D108" s="8"/>
      <c r="E108" s="9"/>
      <c r="F108" s="10"/>
      <c r="G108" s="10">
        <f t="shared" si="2"/>
        <v>0</v>
      </c>
    </row>
    <row r="109" spans="4:7" x14ac:dyDescent="0.25">
      <c r="D109" s="8"/>
      <c r="E109" s="9"/>
      <c r="F109" s="10"/>
      <c r="G109" s="10">
        <f t="shared" si="2"/>
        <v>0</v>
      </c>
    </row>
    <row r="110" spans="4:7" x14ac:dyDescent="0.25">
      <c r="D110" s="8"/>
      <c r="E110" s="9"/>
      <c r="F110" s="10"/>
      <c r="G110" s="10">
        <f t="shared" si="2"/>
        <v>0</v>
      </c>
    </row>
    <row r="111" spans="4:7" x14ac:dyDescent="0.25">
      <c r="D111" s="8"/>
      <c r="E111" s="9"/>
      <c r="F111" s="10"/>
      <c r="G111" s="10">
        <f t="shared" si="2"/>
        <v>0</v>
      </c>
    </row>
    <row r="112" spans="4:7" x14ac:dyDescent="0.25">
      <c r="D112" s="8"/>
      <c r="E112" s="9"/>
      <c r="F112" s="10"/>
      <c r="G112" s="10">
        <f t="shared" si="2"/>
        <v>0</v>
      </c>
    </row>
    <row r="113" spans="4:7" x14ac:dyDescent="0.25">
      <c r="D113" s="8"/>
      <c r="E113" s="9"/>
      <c r="F113" s="10"/>
      <c r="G113" s="10">
        <f t="shared" si="2"/>
        <v>0</v>
      </c>
    </row>
    <row r="114" spans="4:7" x14ac:dyDescent="0.25">
      <c r="D114" s="8"/>
      <c r="E114" s="9"/>
      <c r="F114" s="10"/>
      <c r="G114" s="10">
        <f t="shared" si="2"/>
        <v>0</v>
      </c>
    </row>
    <row r="115" spans="4:7" x14ac:dyDescent="0.25">
      <c r="D115" s="8"/>
      <c r="E115" s="9"/>
      <c r="F115" s="10"/>
      <c r="G115" s="10">
        <f t="shared" si="2"/>
        <v>0</v>
      </c>
    </row>
    <row r="116" spans="4:7" x14ac:dyDescent="0.25">
      <c r="D116" s="8"/>
      <c r="E116" s="9"/>
      <c r="F116" s="10"/>
      <c r="G116" s="10">
        <f t="shared" si="2"/>
        <v>0</v>
      </c>
    </row>
    <row r="117" spans="4:7" x14ac:dyDescent="0.25">
      <c r="D117" s="8"/>
      <c r="E117" s="9"/>
      <c r="F117" s="10"/>
      <c r="G117" s="10">
        <f t="shared" si="2"/>
        <v>0</v>
      </c>
    </row>
    <row r="118" spans="4:7" x14ac:dyDescent="0.25">
      <c r="D118" s="8"/>
      <c r="E118" s="9"/>
      <c r="F118" s="10"/>
      <c r="G118" s="10">
        <f t="shared" si="2"/>
        <v>0</v>
      </c>
    </row>
    <row r="119" spans="4:7" x14ac:dyDescent="0.25">
      <c r="D119" s="8"/>
      <c r="E119" s="9"/>
      <c r="F119" s="10"/>
      <c r="G119" s="10">
        <f t="shared" si="2"/>
        <v>0</v>
      </c>
    </row>
    <row r="120" spans="4:7" x14ac:dyDescent="0.25">
      <c r="D120" s="8"/>
      <c r="E120" s="9"/>
      <c r="F120" s="10"/>
      <c r="G120" s="10">
        <f t="shared" si="2"/>
        <v>0</v>
      </c>
    </row>
    <row r="121" spans="4:7" x14ac:dyDescent="0.25">
      <c r="D121" s="8"/>
      <c r="E121" s="9"/>
      <c r="F121" s="10"/>
      <c r="G121" s="10">
        <f t="shared" si="2"/>
        <v>0</v>
      </c>
    </row>
    <row r="122" spans="4:7" x14ac:dyDescent="0.25">
      <c r="D122" s="8"/>
      <c r="E122" s="9"/>
      <c r="F122" s="10"/>
      <c r="G122" s="10">
        <f t="shared" si="2"/>
        <v>0</v>
      </c>
    </row>
    <row r="123" spans="4:7" x14ac:dyDescent="0.25">
      <c r="D123" s="8"/>
      <c r="E123" s="9"/>
      <c r="F123" s="10"/>
      <c r="G123" s="10">
        <f t="shared" si="2"/>
        <v>0</v>
      </c>
    </row>
    <row r="124" spans="4:7" x14ac:dyDescent="0.25">
      <c r="D124" s="8"/>
      <c r="E124" s="9"/>
      <c r="F124" s="10"/>
      <c r="G124" s="10">
        <f t="shared" si="2"/>
        <v>0</v>
      </c>
    </row>
    <row r="125" spans="4:7" x14ac:dyDescent="0.25">
      <c r="D125" s="8"/>
      <c r="E125" s="9"/>
      <c r="F125" s="10"/>
      <c r="G125" s="10">
        <f t="shared" si="2"/>
        <v>0</v>
      </c>
    </row>
    <row r="126" spans="4:7" x14ac:dyDescent="0.25">
      <c r="D126" s="8"/>
      <c r="E126" s="9"/>
      <c r="F126" s="10"/>
      <c r="G126" s="10">
        <f t="shared" si="2"/>
        <v>0</v>
      </c>
    </row>
    <row r="127" spans="4:7" x14ac:dyDescent="0.25">
      <c r="D127" s="8"/>
      <c r="E127" s="9"/>
      <c r="F127" s="10"/>
      <c r="G127" s="10">
        <f t="shared" si="2"/>
        <v>0</v>
      </c>
    </row>
    <row r="128" spans="4:7" x14ac:dyDescent="0.25">
      <c r="D128" s="8"/>
      <c r="E128" s="9"/>
      <c r="F128" s="10"/>
      <c r="G128" s="10">
        <f t="shared" si="2"/>
        <v>0</v>
      </c>
    </row>
    <row r="129" spans="4:7" x14ac:dyDescent="0.25">
      <c r="D129" s="8"/>
      <c r="E129" s="9"/>
      <c r="F129" s="10"/>
      <c r="G129" s="10">
        <f t="shared" si="2"/>
        <v>0</v>
      </c>
    </row>
    <row r="130" spans="4:7" x14ac:dyDescent="0.25">
      <c r="D130" s="8"/>
      <c r="E130" s="9"/>
      <c r="F130" s="10"/>
      <c r="G130" s="10">
        <f t="shared" si="2"/>
        <v>0</v>
      </c>
    </row>
    <row r="131" spans="4:7" x14ac:dyDescent="0.25">
      <c r="D131" s="8"/>
      <c r="E131" s="9"/>
      <c r="F131" s="10"/>
      <c r="G131" s="10">
        <f t="shared" si="2"/>
        <v>0</v>
      </c>
    </row>
    <row r="132" spans="4:7" x14ac:dyDescent="0.25">
      <c r="D132" s="8"/>
      <c r="E132" s="9"/>
      <c r="F132" s="10"/>
      <c r="G132" s="10">
        <f t="shared" si="2"/>
        <v>0</v>
      </c>
    </row>
    <row r="133" spans="4:7" x14ac:dyDescent="0.25">
      <c r="D133" s="8"/>
      <c r="E133" s="9"/>
      <c r="F133" s="10"/>
      <c r="G133" s="10">
        <f t="shared" si="2"/>
        <v>0</v>
      </c>
    </row>
    <row r="134" spans="4:7" x14ac:dyDescent="0.25">
      <c r="D134" s="8"/>
      <c r="E134" s="9"/>
      <c r="F134" s="10"/>
      <c r="G134" s="10">
        <f t="shared" si="2"/>
        <v>0</v>
      </c>
    </row>
    <row r="135" spans="4:7" x14ac:dyDescent="0.25">
      <c r="D135" s="8"/>
      <c r="E135" s="9"/>
      <c r="F135" s="10"/>
      <c r="G135" s="10">
        <f t="shared" si="2"/>
        <v>0</v>
      </c>
    </row>
    <row r="136" spans="4:7" x14ac:dyDescent="0.25">
      <c r="D136" s="8"/>
      <c r="E136" s="9"/>
      <c r="F136" s="10"/>
      <c r="G136" s="10">
        <f t="shared" si="2"/>
        <v>0</v>
      </c>
    </row>
    <row r="137" spans="4:7" x14ac:dyDescent="0.25">
      <c r="D137" s="8"/>
      <c r="E137" s="9"/>
      <c r="F137" s="10"/>
      <c r="G137" s="10">
        <f t="shared" si="2"/>
        <v>0</v>
      </c>
    </row>
    <row r="138" spans="4:7" x14ac:dyDescent="0.25">
      <c r="D138" s="8"/>
      <c r="E138" s="9"/>
      <c r="F138" s="10"/>
      <c r="G138" s="10">
        <f t="shared" si="2"/>
        <v>0</v>
      </c>
    </row>
    <row r="139" spans="4:7" x14ac:dyDescent="0.25">
      <c r="D139" s="8"/>
      <c r="E139" s="9"/>
      <c r="F139" s="10"/>
      <c r="G139" s="10">
        <f t="shared" si="2"/>
        <v>0</v>
      </c>
    </row>
    <row r="140" spans="4:7" x14ac:dyDescent="0.25">
      <c r="D140" s="8"/>
      <c r="E140" s="9"/>
      <c r="F140" s="10"/>
      <c r="G140" s="10">
        <f t="shared" si="2"/>
        <v>0</v>
      </c>
    </row>
    <row r="141" spans="4:7" x14ac:dyDescent="0.25">
      <c r="D141" s="8"/>
      <c r="E141" s="9"/>
      <c r="F141" s="10"/>
      <c r="G141" s="10">
        <f t="shared" si="2"/>
        <v>0</v>
      </c>
    </row>
    <row r="142" spans="4:7" x14ac:dyDescent="0.25">
      <c r="D142" s="8"/>
      <c r="E142" s="9"/>
      <c r="F142" s="10"/>
      <c r="G142" s="10">
        <f t="shared" si="2"/>
        <v>0</v>
      </c>
    </row>
    <row r="143" spans="4:7" x14ac:dyDescent="0.25">
      <c r="D143" s="8"/>
      <c r="E143" s="9"/>
      <c r="F143" s="10"/>
      <c r="G143" s="10">
        <f t="shared" si="2"/>
        <v>0</v>
      </c>
    </row>
    <row r="144" spans="4:7" x14ac:dyDescent="0.25">
      <c r="D144" s="8"/>
      <c r="E144" s="9"/>
      <c r="F144" s="10"/>
      <c r="G144" s="10">
        <f t="shared" si="2"/>
        <v>0</v>
      </c>
    </row>
    <row r="145" spans="4:7" x14ac:dyDescent="0.25">
      <c r="D145" s="8"/>
      <c r="E145" s="9"/>
      <c r="F145" s="10"/>
      <c r="G145" s="10">
        <f t="shared" si="2"/>
        <v>0</v>
      </c>
    </row>
    <row r="146" spans="4:7" x14ac:dyDescent="0.25">
      <c r="D146" s="8"/>
      <c r="E146" s="9"/>
      <c r="F146" s="10"/>
      <c r="G146" s="10">
        <f t="shared" si="2"/>
        <v>0</v>
      </c>
    </row>
    <row r="147" spans="4:7" x14ac:dyDescent="0.25">
      <c r="D147" s="8"/>
      <c r="E147" s="9"/>
      <c r="F147" s="10"/>
      <c r="G147" s="10">
        <f t="shared" si="2"/>
        <v>0</v>
      </c>
    </row>
    <row r="148" spans="4:7" x14ac:dyDescent="0.25">
      <c r="D148" s="8"/>
      <c r="E148" s="9"/>
      <c r="F148" s="10"/>
      <c r="G148" s="10">
        <f t="shared" si="2"/>
        <v>0</v>
      </c>
    </row>
    <row r="149" spans="4:7" x14ac:dyDescent="0.25">
      <c r="D149" s="8"/>
      <c r="E149" s="9"/>
      <c r="F149" s="10"/>
      <c r="G149" s="10">
        <f t="shared" si="2"/>
        <v>0</v>
      </c>
    </row>
    <row r="150" spans="4:7" x14ac:dyDescent="0.25">
      <c r="D150" s="8"/>
      <c r="E150" s="9"/>
      <c r="F150" s="10"/>
      <c r="G150" s="10">
        <f t="shared" si="2"/>
        <v>0</v>
      </c>
    </row>
    <row r="151" spans="4:7" x14ac:dyDescent="0.25">
      <c r="D151" s="8"/>
      <c r="E151" s="9"/>
      <c r="F151" s="10"/>
      <c r="G151" s="10">
        <f t="shared" ref="G151:G182" si="3">G150+F151</f>
        <v>0</v>
      </c>
    </row>
    <row r="152" spans="4:7" x14ac:dyDescent="0.25">
      <c r="D152" s="8"/>
      <c r="E152" s="9"/>
      <c r="F152" s="10"/>
      <c r="G152" s="10">
        <f t="shared" si="3"/>
        <v>0</v>
      </c>
    </row>
    <row r="153" spans="4:7" x14ac:dyDescent="0.25">
      <c r="D153" s="8"/>
      <c r="E153" s="9"/>
      <c r="F153" s="10"/>
      <c r="G153" s="10">
        <f t="shared" si="3"/>
        <v>0</v>
      </c>
    </row>
    <row r="154" spans="4:7" x14ac:dyDescent="0.25">
      <c r="D154" s="8"/>
      <c r="E154" s="9"/>
      <c r="F154" s="10"/>
      <c r="G154" s="10">
        <f t="shared" si="3"/>
        <v>0</v>
      </c>
    </row>
    <row r="155" spans="4:7" x14ac:dyDescent="0.25">
      <c r="D155" s="8"/>
      <c r="E155" s="9"/>
      <c r="F155" s="10"/>
      <c r="G155" s="10">
        <f t="shared" si="3"/>
        <v>0</v>
      </c>
    </row>
    <row r="156" spans="4:7" x14ac:dyDescent="0.25">
      <c r="D156" s="8"/>
      <c r="E156" s="9"/>
      <c r="F156" s="10"/>
      <c r="G156" s="10">
        <f t="shared" si="3"/>
        <v>0</v>
      </c>
    </row>
    <row r="157" spans="4:7" x14ac:dyDescent="0.25">
      <c r="D157" s="8"/>
      <c r="E157" s="9"/>
      <c r="F157" s="10"/>
      <c r="G157" s="10">
        <f t="shared" si="3"/>
        <v>0</v>
      </c>
    </row>
    <row r="158" spans="4:7" x14ac:dyDescent="0.25">
      <c r="D158" s="8"/>
      <c r="E158" s="9"/>
      <c r="F158" s="10"/>
      <c r="G158" s="10">
        <f t="shared" si="3"/>
        <v>0</v>
      </c>
    </row>
    <row r="159" spans="4:7" x14ac:dyDescent="0.25">
      <c r="D159" s="8"/>
      <c r="E159" s="9"/>
      <c r="F159" s="10"/>
      <c r="G159" s="10">
        <f t="shared" si="3"/>
        <v>0</v>
      </c>
    </row>
    <row r="160" spans="4:7" x14ac:dyDescent="0.25">
      <c r="D160" s="8"/>
      <c r="E160" s="9"/>
      <c r="F160" s="10"/>
      <c r="G160" s="10">
        <f t="shared" si="3"/>
        <v>0</v>
      </c>
    </row>
    <row r="161" spans="4:7" x14ac:dyDescent="0.25">
      <c r="D161" s="8"/>
      <c r="E161" s="9"/>
      <c r="F161" s="10"/>
      <c r="G161" s="10">
        <f t="shared" si="3"/>
        <v>0</v>
      </c>
    </row>
    <row r="162" spans="4:7" x14ac:dyDescent="0.25">
      <c r="D162" s="8"/>
      <c r="E162" s="9"/>
      <c r="F162" s="10"/>
      <c r="G162" s="10">
        <f t="shared" si="3"/>
        <v>0</v>
      </c>
    </row>
    <row r="163" spans="4:7" x14ac:dyDescent="0.25">
      <c r="D163" s="8"/>
      <c r="E163" s="9"/>
      <c r="F163" s="10"/>
      <c r="G163" s="10">
        <f t="shared" si="3"/>
        <v>0</v>
      </c>
    </row>
    <row r="164" spans="4:7" x14ac:dyDescent="0.25">
      <c r="D164" s="8"/>
      <c r="E164" s="9"/>
      <c r="F164" s="10"/>
      <c r="G164" s="10">
        <f t="shared" si="3"/>
        <v>0</v>
      </c>
    </row>
    <row r="165" spans="4:7" x14ac:dyDescent="0.25">
      <c r="D165" s="8"/>
      <c r="E165" s="9"/>
      <c r="F165" s="10"/>
      <c r="G165" s="10">
        <f t="shared" si="3"/>
        <v>0</v>
      </c>
    </row>
    <row r="166" spans="4:7" x14ac:dyDescent="0.25">
      <c r="D166" s="8"/>
      <c r="E166" s="9"/>
      <c r="F166" s="10"/>
      <c r="G166" s="10">
        <f t="shared" si="3"/>
        <v>0</v>
      </c>
    </row>
    <row r="167" spans="4:7" x14ac:dyDescent="0.25">
      <c r="D167" s="8"/>
      <c r="E167" s="9"/>
      <c r="F167" s="10"/>
      <c r="G167" s="10">
        <f t="shared" si="3"/>
        <v>0</v>
      </c>
    </row>
    <row r="168" spans="4:7" x14ac:dyDescent="0.25">
      <c r="D168" s="8"/>
      <c r="E168" s="9"/>
      <c r="F168" s="10"/>
      <c r="G168" s="10">
        <f t="shared" si="3"/>
        <v>0</v>
      </c>
    </row>
    <row r="169" spans="4:7" x14ac:dyDescent="0.25">
      <c r="D169" s="8"/>
      <c r="E169" s="9"/>
      <c r="F169" s="10"/>
      <c r="G169" s="10">
        <f t="shared" si="3"/>
        <v>0</v>
      </c>
    </row>
    <row r="170" spans="4:7" x14ac:dyDescent="0.25">
      <c r="D170" s="8"/>
      <c r="E170" s="9"/>
      <c r="F170" s="10"/>
      <c r="G170" s="10">
        <f t="shared" si="3"/>
        <v>0</v>
      </c>
    </row>
    <row r="171" spans="4:7" x14ac:dyDescent="0.25">
      <c r="D171" s="8"/>
      <c r="E171" s="9"/>
      <c r="F171" s="10"/>
      <c r="G171" s="10">
        <f t="shared" si="3"/>
        <v>0</v>
      </c>
    </row>
    <row r="172" spans="4:7" x14ac:dyDescent="0.25">
      <c r="D172" s="8"/>
      <c r="E172" s="9"/>
      <c r="F172" s="10"/>
      <c r="G172" s="10">
        <f t="shared" si="3"/>
        <v>0</v>
      </c>
    </row>
    <row r="173" spans="4:7" x14ac:dyDescent="0.25">
      <c r="D173" s="8"/>
      <c r="E173" s="9"/>
      <c r="F173" s="10"/>
      <c r="G173" s="10">
        <f t="shared" si="3"/>
        <v>0</v>
      </c>
    </row>
    <row r="174" spans="4:7" x14ac:dyDescent="0.25">
      <c r="D174" s="8"/>
      <c r="E174" s="9"/>
      <c r="F174" s="9"/>
      <c r="G174" s="10">
        <f t="shared" si="3"/>
        <v>0</v>
      </c>
    </row>
    <row r="175" spans="4:7" x14ac:dyDescent="0.25">
      <c r="D175" s="8"/>
      <c r="E175" s="9"/>
      <c r="F175" s="9"/>
      <c r="G175" s="10">
        <f t="shared" si="3"/>
        <v>0</v>
      </c>
    </row>
    <row r="176" spans="4:7" x14ac:dyDescent="0.25">
      <c r="D176" s="8"/>
      <c r="E176" s="9"/>
      <c r="F176" s="10"/>
      <c r="G176" s="10">
        <f t="shared" si="3"/>
        <v>0</v>
      </c>
    </row>
    <row r="177" spans="4:7" x14ac:dyDescent="0.25">
      <c r="D177" s="8"/>
      <c r="E177" s="9"/>
      <c r="F177" s="10"/>
      <c r="G177" s="10">
        <f t="shared" si="3"/>
        <v>0</v>
      </c>
    </row>
    <row r="178" spans="4:7" x14ac:dyDescent="0.25">
      <c r="D178" s="8"/>
      <c r="E178" s="9"/>
      <c r="F178" s="10"/>
      <c r="G178" s="10">
        <f t="shared" si="3"/>
        <v>0</v>
      </c>
    </row>
    <row r="179" spans="4:7" x14ac:dyDescent="0.25">
      <c r="D179" s="8"/>
      <c r="E179" s="9"/>
      <c r="F179" s="10"/>
      <c r="G179" s="10">
        <f t="shared" si="3"/>
        <v>0</v>
      </c>
    </row>
    <row r="180" spans="4:7" x14ac:dyDescent="0.25">
      <c r="D180" s="9"/>
      <c r="E180" s="9"/>
      <c r="F180" s="10"/>
      <c r="G180" s="10">
        <f t="shared" si="3"/>
        <v>0</v>
      </c>
    </row>
    <row r="181" spans="4:7" x14ac:dyDescent="0.25">
      <c r="D181" s="9"/>
      <c r="E181" s="9"/>
      <c r="F181" s="10"/>
      <c r="G181" s="10">
        <f t="shared" si="3"/>
        <v>0</v>
      </c>
    </row>
    <row r="182" spans="4:7" x14ac:dyDescent="0.25">
      <c r="D182" s="9"/>
      <c r="E182" s="9"/>
      <c r="F182" s="10"/>
      <c r="G182" s="10">
        <f t="shared" si="3"/>
        <v>0</v>
      </c>
    </row>
    <row r="183" spans="4:7" x14ac:dyDescent="0.25">
      <c r="D183" s="9"/>
      <c r="E183" s="9"/>
      <c r="F183" s="10"/>
      <c r="G183" s="10"/>
    </row>
    <row r="184" spans="4:7" x14ac:dyDescent="0.25">
      <c r="D184" s="9"/>
      <c r="E184" s="9"/>
      <c r="F184" s="10"/>
      <c r="G184" s="10"/>
    </row>
    <row r="185" spans="4:7" x14ac:dyDescent="0.25">
      <c r="D185" s="9"/>
      <c r="E185" s="9"/>
      <c r="F185" s="10"/>
      <c r="G185" s="10"/>
    </row>
    <row r="186" spans="4:7" x14ac:dyDescent="0.25">
      <c r="D186" s="9"/>
      <c r="E186" s="9"/>
      <c r="F186" s="10"/>
      <c r="G186" s="10"/>
    </row>
    <row r="187" spans="4:7" x14ac:dyDescent="0.25">
      <c r="D187" s="9"/>
      <c r="E187" s="9"/>
      <c r="F187" s="10"/>
      <c r="G187" s="10"/>
    </row>
    <row r="188" spans="4:7" x14ac:dyDescent="0.25">
      <c r="D188" s="9"/>
      <c r="E188" s="9"/>
      <c r="F188" s="10"/>
      <c r="G188" s="10"/>
    </row>
    <row r="189" spans="4:7" x14ac:dyDescent="0.25">
      <c r="D189" s="9"/>
      <c r="E189" s="9"/>
      <c r="F189" s="10"/>
      <c r="G189" s="10"/>
    </row>
    <row r="190" spans="4:7" x14ac:dyDescent="0.25">
      <c r="D190" s="9"/>
      <c r="E190" s="9"/>
      <c r="F190" s="10"/>
      <c r="G190" s="10"/>
    </row>
    <row r="191" spans="4:7" x14ac:dyDescent="0.25">
      <c r="D191" s="9"/>
      <c r="E191" s="9"/>
      <c r="F191" s="10"/>
      <c r="G191" s="10"/>
    </row>
    <row r="192" spans="4:7" x14ac:dyDescent="0.25">
      <c r="D192" s="9"/>
      <c r="E192" s="9"/>
      <c r="F192" s="10"/>
      <c r="G192" s="10"/>
    </row>
  </sheetData>
  <mergeCells count="2">
    <mergeCell ref="D4:G4"/>
    <mergeCell ref="E6:G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467B-A2C1-4531-9958-1723A347B037}">
  <sheetPr>
    <tabColor theme="1" tint="4.9989318521683403E-2"/>
  </sheetPr>
  <dimension ref="A4:G258"/>
  <sheetViews>
    <sheetView topLeftCell="A232" workbookViewId="0">
      <selection activeCell="G256" sqref="G256"/>
    </sheetView>
  </sheetViews>
  <sheetFormatPr baseColWidth="10" defaultRowHeight="15" x14ac:dyDescent="0.25"/>
  <cols>
    <col min="1" max="1" width="28.28515625" customWidth="1"/>
    <col min="2" max="2" width="27.140625" style="42" customWidth="1"/>
    <col min="3" max="3" width="23.42578125" style="6" customWidth="1"/>
    <col min="4" max="4" width="21.85546875" style="6" customWidth="1"/>
    <col min="5" max="5" width="17.5703125" customWidth="1"/>
  </cols>
  <sheetData>
    <row r="4" spans="1:7" ht="18" x14ac:dyDescent="0.25">
      <c r="A4" s="98" t="s">
        <v>0</v>
      </c>
      <c r="B4" s="98"/>
      <c r="C4" s="98"/>
      <c r="D4" s="98"/>
      <c r="E4" s="1"/>
      <c r="F4" s="1"/>
      <c r="G4" s="1"/>
    </row>
    <row r="6" spans="1:7" x14ac:dyDescent="0.25">
      <c r="A6" s="57" t="s">
        <v>1</v>
      </c>
      <c r="B6" s="96" t="s">
        <v>22</v>
      </c>
      <c r="C6" s="97"/>
      <c r="D6" s="97"/>
    </row>
    <row r="7" spans="1:7" x14ac:dyDescent="0.25">
      <c r="A7" s="3" t="s">
        <v>11</v>
      </c>
      <c r="B7" s="62" t="s">
        <v>18</v>
      </c>
      <c r="C7" s="4"/>
      <c r="D7" s="4"/>
    </row>
    <row r="8" spans="1:7" x14ac:dyDescent="0.25">
      <c r="B8" s="63"/>
    </row>
    <row r="9" spans="1:7" x14ac:dyDescent="0.25">
      <c r="A9" s="57" t="s">
        <v>2</v>
      </c>
      <c r="B9" s="2" t="s">
        <v>3</v>
      </c>
      <c r="C9" s="60" t="s">
        <v>4</v>
      </c>
      <c r="D9" s="7" t="s">
        <v>5</v>
      </c>
      <c r="E9" t="s">
        <v>474</v>
      </c>
    </row>
    <row r="10" spans="1:7" x14ac:dyDescent="0.25">
      <c r="A10" s="58">
        <v>45834</v>
      </c>
      <c r="B10" s="9" t="s">
        <v>6</v>
      </c>
      <c r="C10" s="61">
        <v>11030</v>
      </c>
      <c r="D10" s="10">
        <f>C10</f>
        <v>11030</v>
      </c>
    </row>
    <row r="11" spans="1:7" x14ac:dyDescent="0.25">
      <c r="A11" s="58">
        <v>45837</v>
      </c>
      <c r="B11" s="9" t="s">
        <v>7</v>
      </c>
      <c r="C11" s="61">
        <v>-2500</v>
      </c>
      <c r="D11" s="10">
        <f t="shared" ref="D11:D42" si="0">D10+C11</f>
        <v>8530</v>
      </c>
    </row>
    <row r="12" spans="1:7" x14ac:dyDescent="0.25">
      <c r="A12" s="58">
        <v>45838</v>
      </c>
      <c r="B12" s="9" t="s">
        <v>6</v>
      </c>
      <c r="C12" s="61">
        <v>2640</v>
      </c>
      <c r="D12" s="10">
        <f t="shared" si="0"/>
        <v>11170</v>
      </c>
    </row>
    <row r="13" spans="1:7" x14ac:dyDescent="0.25">
      <c r="A13" s="58">
        <v>45838</v>
      </c>
      <c r="B13" s="9" t="s">
        <v>7</v>
      </c>
      <c r="C13" s="61">
        <v>-1870</v>
      </c>
      <c r="D13" s="10">
        <f t="shared" si="0"/>
        <v>9300</v>
      </c>
    </row>
    <row r="14" spans="1:7" x14ac:dyDescent="0.25">
      <c r="A14" s="58">
        <v>45838</v>
      </c>
      <c r="B14" s="9" t="s">
        <v>7</v>
      </c>
      <c r="C14" s="61">
        <v>-1470</v>
      </c>
      <c r="D14" s="10">
        <f t="shared" si="0"/>
        <v>7830</v>
      </c>
    </row>
    <row r="15" spans="1:7" x14ac:dyDescent="0.25">
      <c r="A15" s="58">
        <v>45839</v>
      </c>
      <c r="B15" s="9" t="s">
        <v>6</v>
      </c>
      <c r="C15" s="61">
        <v>1080</v>
      </c>
      <c r="D15" s="11">
        <f t="shared" si="0"/>
        <v>8910</v>
      </c>
    </row>
    <row r="16" spans="1:7" x14ac:dyDescent="0.25">
      <c r="A16" s="58">
        <v>45841</v>
      </c>
      <c r="B16" s="9" t="s">
        <v>7</v>
      </c>
      <c r="C16" s="61">
        <v>-2900</v>
      </c>
      <c r="D16" s="10">
        <f t="shared" si="0"/>
        <v>6010</v>
      </c>
    </row>
    <row r="17" spans="1:4" x14ac:dyDescent="0.25">
      <c r="A17" s="58">
        <v>45841</v>
      </c>
      <c r="B17" s="9" t="s">
        <v>6</v>
      </c>
      <c r="C17" s="61">
        <v>1870</v>
      </c>
      <c r="D17" s="10">
        <f t="shared" si="0"/>
        <v>7880</v>
      </c>
    </row>
    <row r="18" spans="1:4" x14ac:dyDescent="0.25">
      <c r="A18" s="58">
        <v>45845</v>
      </c>
      <c r="B18" s="9" t="s">
        <v>7</v>
      </c>
      <c r="C18" s="61">
        <v>-1870</v>
      </c>
      <c r="D18" s="10">
        <f t="shared" si="0"/>
        <v>6010</v>
      </c>
    </row>
    <row r="19" spans="1:4" x14ac:dyDescent="0.25">
      <c r="A19" s="58">
        <v>45845</v>
      </c>
      <c r="B19" s="9" t="s">
        <v>6</v>
      </c>
      <c r="C19" s="61">
        <v>1670</v>
      </c>
      <c r="D19" s="10">
        <f t="shared" si="0"/>
        <v>7680</v>
      </c>
    </row>
    <row r="20" spans="1:4" x14ac:dyDescent="0.25">
      <c r="A20" s="58">
        <v>45848</v>
      </c>
      <c r="B20" s="9" t="s">
        <v>6</v>
      </c>
      <c r="C20" s="61">
        <v>1270</v>
      </c>
      <c r="D20" s="10">
        <f t="shared" si="0"/>
        <v>8950</v>
      </c>
    </row>
    <row r="21" spans="1:4" x14ac:dyDescent="0.25">
      <c r="A21" s="58">
        <v>45851</v>
      </c>
      <c r="B21" s="9" t="s">
        <v>7</v>
      </c>
      <c r="C21" s="61">
        <v>-2350</v>
      </c>
      <c r="D21" s="10">
        <f t="shared" si="0"/>
        <v>6600</v>
      </c>
    </row>
    <row r="22" spans="1:4" x14ac:dyDescent="0.25">
      <c r="A22" s="58">
        <v>45852</v>
      </c>
      <c r="B22" s="9" t="s">
        <v>6</v>
      </c>
      <c r="C22" s="61">
        <v>1550</v>
      </c>
      <c r="D22" s="10">
        <f t="shared" si="0"/>
        <v>8150</v>
      </c>
    </row>
    <row r="23" spans="1:4" x14ac:dyDescent="0.25">
      <c r="A23" s="58">
        <v>45854</v>
      </c>
      <c r="B23" s="9" t="s">
        <v>7</v>
      </c>
      <c r="C23" s="61">
        <v>-2640</v>
      </c>
      <c r="D23" s="10">
        <f t="shared" si="0"/>
        <v>5510</v>
      </c>
    </row>
    <row r="24" spans="1:4" x14ac:dyDescent="0.25">
      <c r="A24" s="58">
        <v>45855</v>
      </c>
      <c r="B24" s="9" t="s">
        <v>6</v>
      </c>
      <c r="C24" s="61">
        <v>1870</v>
      </c>
      <c r="D24" s="10">
        <f t="shared" si="0"/>
        <v>7380</v>
      </c>
    </row>
    <row r="25" spans="1:4" x14ac:dyDescent="0.25">
      <c r="A25" s="58">
        <v>45857</v>
      </c>
      <c r="B25" s="9" t="s">
        <v>7</v>
      </c>
      <c r="C25" s="61">
        <v>-2950</v>
      </c>
      <c r="D25" s="10">
        <f t="shared" si="0"/>
        <v>4430</v>
      </c>
    </row>
    <row r="26" spans="1:4" x14ac:dyDescent="0.25">
      <c r="A26" s="58">
        <v>45859</v>
      </c>
      <c r="B26" s="9" t="s">
        <v>6</v>
      </c>
      <c r="C26" s="61">
        <v>710</v>
      </c>
      <c r="D26" s="10">
        <f t="shared" si="0"/>
        <v>5140</v>
      </c>
    </row>
    <row r="27" spans="1:4" x14ac:dyDescent="0.25">
      <c r="A27" s="58">
        <v>45862</v>
      </c>
      <c r="B27" s="9" t="s">
        <v>6</v>
      </c>
      <c r="C27" s="61">
        <v>1170</v>
      </c>
      <c r="D27" s="10">
        <f t="shared" si="0"/>
        <v>6310</v>
      </c>
    </row>
    <row r="28" spans="1:4" x14ac:dyDescent="0.25">
      <c r="A28" s="58">
        <v>45864</v>
      </c>
      <c r="B28" s="9" t="s">
        <v>7</v>
      </c>
      <c r="C28" s="61">
        <v>-2820</v>
      </c>
      <c r="D28" s="10">
        <f t="shared" si="0"/>
        <v>3490</v>
      </c>
    </row>
    <row r="29" spans="1:4" x14ac:dyDescent="0.25">
      <c r="A29" s="58">
        <v>45866</v>
      </c>
      <c r="B29" s="9" t="s">
        <v>6</v>
      </c>
      <c r="C29" s="61">
        <v>2690</v>
      </c>
      <c r="D29" s="10">
        <f t="shared" si="0"/>
        <v>6180</v>
      </c>
    </row>
    <row r="30" spans="1:4" x14ac:dyDescent="0.25">
      <c r="A30" s="58">
        <v>45868</v>
      </c>
      <c r="B30" s="9" t="s">
        <v>56</v>
      </c>
      <c r="C30" s="61">
        <v>-1170</v>
      </c>
      <c r="D30" s="10">
        <f t="shared" si="0"/>
        <v>5010</v>
      </c>
    </row>
    <row r="31" spans="1:4" x14ac:dyDescent="0.25">
      <c r="A31" s="58">
        <v>45873</v>
      </c>
      <c r="B31" s="9" t="s">
        <v>6</v>
      </c>
      <c r="C31" s="61">
        <v>1470</v>
      </c>
      <c r="D31" s="10">
        <f t="shared" si="0"/>
        <v>6480</v>
      </c>
    </row>
    <row r="32" spans="1:4" x14ac:dyDescent="0.25">
      <c r="A32" s="58">
        <v>45880</v>
      </c>
      <c r="B32" s="9" t="s">
        <v>6</v>
      </c>
      <c r="C32" s="61">
        <v>1140</v>
      </c>
      <c r="D32" s="10">
        <f t="shared" si="0"/>
        <v>7620</v>
      </c>
    </row>
    <row r="33" spans="1:5" x14ac:dyDescent="0.25">
      <c r="A33" s="58">
        <v>45887</v>
      </c>
      <c r="B33" s="9" t="s">
        <v>6</v>
      </c>
      <c r="C33" s="61">
        <v>1620</v>
      </c>
      <c r="D33" s="10">
        <f t="shared" si="0"/>
        <v>9240</v>
      </c>
    </row>
    <row r="34" spans="1:5" x14ac:dyDescent="0.25">
      <c r="A34" s="58">
        <v>45887</v>
      </c>
      <c r="B34" s="9" t="s">
        <v>56</v>
      </c>
      <c r="C34" s="61">
        <v>-1870</v>
      </c>
      <c r="D34" s="10">
        <f t="shared" si="0"/>
        <v>7370</v>
      </c>
    </row>
    <row r="35" spans="1:5" x14ac:dyDescent="0.25">
      <c r="A35" s="58">
        <v>45890</v>
      </c>
      <c r="B35" s="9" t="s">
        <v>44</v>
      </c>
      <c r="C35" s="61">
        <v>-2690</v>
      </c>
      <c r="D35" s="10">
        <f t="shared" si="0"/>
        <v>4680</v>
      </c>
    </row>
    <row r="36" spans="1:5" x14ac:dyDescent="0.25">
      <c r="A36" s="58">
        <v>45890</v>
      </c>
      <c r="B36" s="9" t="s">
        <v>6</v>
      </c>
      <c r="C36" s="61">
        <v>980</v>
      </c>
      <c r="D36" s="10">
        <f t="shared" si="0"/>
        <v>5660</v>
      </c>
    </row>
    <row r="37" spans="1:5" x14ac:dyDescent="0.25">
      <c r="A37" s="58">
        <v>45894</v>
      </c>
      <c r="B37" s="9" t="s">
        <v>6</v>
      </c>
      <c r="C37" s="61">
        <v>1440</v>
      </c>
      <c r="D37" s="10">
        <f t="shared" si="0"/>
        <v>7100</v>
      </c>
    </row>
    <row r="38" spans="1:5" x14ac:dyDescent="0.25">
      <c r="A38" s="58">
        <v>45897</v>
      </c>
      <c r="B38" s="9" t="s">
        <v>6</v>
      </c>
      <c r="C38" s="61">
        <v>780</v>
      </c>
      <c r="D38" s="10">
        <f t="shared" si="0"/>
        <v>7880</v>
      </c>
    </row>
    <row r="39" spans="1:5" x14ac:dyDescent="0.25">
      <c r="A39" s="58">
        <v>45901</v>
      </c>
      <c r="B39" s="9" t="s">
        <v>6</v>
      </c>
      <c r="C39" s="61">
        <v>1010</v>
      </c>
      <c r="D39" s="10">
        <f t="shared" si="0"/>
        <v>8890</v>
      </c>
    </row>
    <row r="40" spans="1:5" x14ac:dyDescent="0.25">
      <c r="A40" s="58">
        <v>45901</v>
      </c>
      <c r="B40" s="9" t="s">
        <v>56</v>
      </c>
      <c r="C40" s="61">
        <v>-1470</v>
      </c>
      <c r="D40" s="10">
        <f t="shared" si="0"/>
        <v>7420</v>
      </c>
    </row>
    <row r="41" spans="1:5" x14ac:dyDescent="0.25">
      <c r="A41" s="58"/>
      <c r="B41" s="9" t="s">
        <v>6</v>
      </c>
      <c r="C41" s="61">
        <v>1520</v>
      </c>
      <c r="D41" s="10">
        <f t="shared" si="0"/>
        <v>8940</v>
      </c>
      <c r="E41" s="19">
        <v>45883</v>
      </c>
    </row>
    <row r="42" spans="1:5" x14ac:dyDescent="0.25">
      <c r="A42" s="58"/>
      <c r="B42" s="9" t="s">
        <v>7</v>
      </c>
      <c r="C42" s="61">
        <v>-1670</v>
      </c>
      <c r="D42" s="10">
        <f t="shared" si="0"/>
        <v>7270</v>
      </c>
      <c r="E42" s="19">
        <v>45863</v>
      </c>
    </row>
    <row r="43" spans="1:5" x14ac:dyDescent="0.25">
      <c r="A43" s="58">
        <v>45908</v>
      </c>
      <c r="B43" s="9" t="s">
        <v>6</v>
      </c>
      <c r="C43" s="61">
        <v>1620</v>
      </c>
      <c r="D43" s="10">
        <f t="shared" ref="D43:D74" si="1">D42+C43</f>
        <v>8890</v>
      </c>
    </row>
    <row r="44" spans="1:5" x14ac:dyDescent="0.25">
      <c r="A44" s="58">
        <v>45911</v>
      </c>
      <c r="B44" s="9" t="s">
        <v>6</v>
      </c>
      <c r="C44" s="61">
        <v>4260</v>
      </c>
      <c r="D44" s="10">
        <f t="shared" si="1"/>
        <v>13150</v>
      </c>
    </row>
    <row r="45" spans="1:5" x14ac:dyDescent="0.25">
      <c r="A45" s="58">
        <v>45911</v>
      </c>
      <c r="B45" s="9" t="s">
        <v>56</v>
      </c>
      <c r="C45" s="61">
        <v>-1620</v>
      </c>
      <c r="D45" s="10">
        <f t="shared" si="1"/>
        <v>11530</v>
      </c>
    </row>
    <row r="46" spans="1:5" x14ac:dyDescent="0.25">
      <c r="A46" s="58">
        <v>45912</v>
      </c>
      <c r="B46" s="9" t="s">
        <v>142</v>
      </c>
      <c r="C46" s="61">
        <v>-3200</v>
      </c>
      <c r="D46" s="10">
        <f t="shared" si="1"/>
        <v>8330</v>
      </c>
    </row>
    <row r="47" spans="1:5" x14ac:dyDescent="0.25">
      <c r="A47" s="58">
        <v>45914</v>
      </c>
      <c r="B47" s="9" t="s">
        <v>69</v>
      </c>
      <c r="C47" s="61">
        <v>-1010</v>
      </c>
      <c r="D47" s="10">
        <f t="shared" si="1"/>
        <v>7320</v>
      </c>
    </row>
    <row r="48" spans="1:5" x14ac:dyDescent="0.25">
      <c r="A48" s="58">
        <v>45915</v>
      </c>
      <c r="B48" s="9" t="s">
        <v>6</v>
      </c>
      <c r="C48" s="61">
        <v>1220</v>
      </c>
      <c r="D48" s="10">
        <f t="shared" si="1"/>
        <v>8540</v>
      </c>
    </row>
    <row r="49" spans="1:4" x14ac:dyDescent="0.25">
      <c r="A49" s="58">
        <v>45917</v>
      </c>
      <c r="B49" s="9" t="s">
        <v>44</v>
      </c>
      <c r="C49" s="61">
        <v>-1620</v>
      </c>
      <c r="D49" s="10">
        <f t="shared" si="1"/>
        <v>6920</v>
      </c>
    </row>
    <row r="50" spans="1:4" x14ac:dyDescent="0.25">
      <c r="A50" s="58">
        <v>45917</v>
      </c>
      <c r="B50" s="9" t="s">
        <v>44</v>
      </c>
      <c r="C50" s="61">
        <v>-1440</v>
      </c>
      <c r="D50" s="10">
        <f t="shared" si="1"/>
        <v>5480</v>
      </c>
    </row>
    <row r="51" spans="1:4" x14ac:dyDescent="0.25">
      <c r="A51" s="58">
        <v>45918</v>
      </c>
      <c r="B51" s="9" t="s">
        <v>6</v>
      </c>
      <c r="C51" s="61">
        <v>1920</v>
      </c>
      <c r="D51" s="10">
        <f t="shared" si="1"/>
        <v>7400</v>
      </c>
    </row>
    <row r="52" spans="1:4" x14ac:dyDescent="0.25">
      <c r="A52" s="58">
        <v>45918</v>
      </c>
      <c r="B52" s="9" t="s">
        <v>6</v>
      </c>
      <c r="C52" s="61">
        <v>10740</v>
      </c>
      <c r="D52" s="10">
        <f t="shared" si="1"/>
        <v>18140</v>
      </c>
    </row>
    <row r="53" spans="1:4" x14ac:dyDescent="0.25">
      <c r="A53" s="59">
        <v>45920</v>
      </c>
      <c r="B53" s="9" t="s">
        <v>6</v>
      </c>
      <c r="C53" s="61">
        <v>3935</v>
      </c>
      <c r="D53" s="10">
        <f t="shared" si="1"/>
        <v>22075</v>
      </c>
    </row>
    <row r="54" spans="1:4" x14ac:dyDescent="0.25">
      <c r="A54" s="58">
        <v>45920</v>
      </c>
      <c r="B54" s="9" t="s">
        <v>44</v>
      </c>
      <c r="C54" s="61">
        <v>-3935</v>
      </c>
      <c r="D54" s="10">
        <f t="shared" si="1"/>
        <v>18140</v>
      </c>
    </row>
    <row r="55" spans="1:4" x14ac:dyDescent="0.25">
      <c r="A55" s="58">
        <v>45921</v>
      </c>
      <c r="B55" s="9" t="s">
        <v>141</v>
      </c>
      <c r="C55" s="61">
        <v>-10740</v>
      </c>
      <c r="D55" s="10">
        <f t="shared" si="1"/>
        <v>7400</v>
      </c>
    </row>
    <row r="56" spans="1:4" x14ac:dyDescent="0.25">
      <c r="A56" s="59" t="s">
        <v>139</v>
      </c>
      <c r="B56" s="9" t="s">
        <v>6</v>
      </c>
      <c r="C56" s="61">
        <v>980</v>
      </c>
      <c r="D56" s="10">
        <f t="shared" si="1"/>
        <v>8380</v>
      </c>
    </row>
    <row r="57" spans="1:4" x14ac:dyDescent="0.25">
      <c r="A57" s="58">
        <v>45923</v>
      </c>
      <c r="B57" s="9" t="s">
        <v>138</v>
      </c>
      <c r="C57" s="61">
        <v>-1920</v>
      </c>
      <c r="D57" s="10">
        <f t="shared" si="1"/>
        <v>6460</v>
      </c>
    </row>
    <row r="58" spans="1:4" x14ac:dyDescent="0.25">
      <c r="A58" s="58">
        <v>45925</v>
      </c>
      <c r="B58" s="9" t="s">
        <v>6</v>
      </c>
      <c r="C58" s="61">
        <v>625</v>
      </c>
      <c r="D58" s="10">
        <f t="shared" si="1"/>
        <v>7085</v>
      </c>
    </row>
    <row r="59" spans="1:4" x14ac:dyDescent="0.25">
      <c r="A59" s="58">
        <v>45928</v>
      </c>
      <c r="B59" s="9" t="s">
        <v>140</v>
      </c>
      <c r="C59" s="61">
        <v>-1220</v>
      </c>
      <c r="D59" s="10">
        <f t="shared" si="1"/>
        <v>5865</v>
      </c>
    </row>
    <row r="60" spans="1:4" x14ac:dyDescent="0.25">
      <c r="A60" s="58">
        <v>45929</v>
      </c>
      <c r="B60" s="9" t="s">
        <v>6</v>
      </c>
      <c r="C60" s="61">
        <v>1200</v>
      </c>
      <c r="D60" s="10">
        <f t="shared" si="1"/>
        <v>7065</v>
      </c>
    </row>
    <row r="61" spans="1:4" x14ac:dyDescent="0.25">
      <c r="A61" s="58">
        <v>45958</v>
      </c>
      <c r="B61" s="9" t="s">
        <v>161</v>
      </c>
      <c r="C61" s="61">
        <v>-980</v>
      </c>
      <c r="D61" s="10">
        <f t="shared" si="1"/>
        <v>6085</v>
      </c>
    </row>
    <row r="62" spans="1:4" x14ac:dyDescent="0.25">
      <c r="A62" s="59">
        <v>45932</v>
      </c>
      <c r="B62" s="9" t="s">
        <v>6</v>
      </c>
      <c r="C62" s="61">
        <v>3060</v>
      </c>
      <c r="D62" s="10">
        <f t="shared" si="1"/>
        <v>9145</v>
      </c>
    </row>
    <row r="63" spans="1:4" x14ac:dyDescent="0.25">
      <c r="A63" s="58">
        <v>45933</v>
      </c>
      <c r="B63" s="9" t="s">
        <v>56</v>
      </c>
      <c r="C63" s="61">
        <v>-1200</v>
      </c>
      <c r="D63" s="10">
        <f t="shared" si="1"/>
        <v>7945</v>
      </c>
    </row>
    <row r="64" spans="1:4" x14ac:dyDescent="0.25">
      <c r="A64" s="58">
        <v>45936</v>
      </c>
      <c r="B64" s="9" t="s">
        <v>6</v>
      </c>
      <c r="C64" s="61">
        <v>2040</v>
      </c>
      <c r="D64" s="10">
        <f t="shared" si="1"/>
        <v>9985</v>
      </c>
    </row>
    <row r="65" spans="1:4" x14ac:dyDescent="0.25">
      <c r="A65" s="58">
        <v>45937</v>
      </c>
      <c r="B65" s="9" t="s">
        <v>150</v>
      </c>
      <c r="C65" s="61">
        <v>-625</v>
      </c>
      <c r="D65" s="10">
        <f t="shared" si="1"/>
        <v>9360</v>
      </c>
    </row>
    <row r="66" spans="1:4" x14ac:dyDescent="0.25">
      <c r="A66" s="58">
        <v>45939</v>
      </c>
      <c r="B66" s="9" t="s">
        <v>6</v>
      </c>
      <c r="C66" s="61">
        <v>1620</v>
      </c>
      <c r="D66" s="10">
        <f t="shared" si="1"/>
        <v>10980</v>
      </c>
    </row>
    <row r="67" spans="1:4" x14ac:dyDescent="0.25">
      <c r="A67" s="58">
        <v>45943</v>
      </c>
      <c r="B67" s="9" t="s">
        <v>6</v>
      </c>
      <c r="C67" s="61">
        <v>1770</v>
      </c>
      <c r="D67" s="10">
        <f t="shared" si="1"/>
        <v>12750</v>
      </c>
    </row>
    <row r="68" spans="1:4" x14ac:dyDescent="0.25">
      <c r="A68" s="58">
        <v>45944</v>
      </c>
      <c r="B68" s="9" t="s">
        <v>179</v>
      </c>
      <c r="C68" s="61">
        <v>-2000</v>
      </c>
      <c r="D68" s="10">
        <f t="shared" si="1"/>
        <v>10750</v>
      </c>
    </row>
    <row r="69" spans="1:4" x14ac:dyDescent="0.25">
      <c r="A69" s="58">
        <v>45946</v>
      </c>
      <c r="B69" s="9" t="s">
        <v>6</v>
      </c>
      <c r="C69" s="61">
        <v>2060</v>
      </c>
      <c r="D69" s="10">
        <f t="shared" si="1"/>
        <v>12810</v>
      </c>
    </row>
    <row r="70" spans="1:4" x14ac:dyDescent="0.25">
      <c r="A70" s="58">
        <v>45946</v>
      </c>
      <c r="B70" s="9" t="s">
        <v>179</v>
      </c>
      <c r="C70" s="61">
        <v>-1620</v>
      </c>
      <c r="D70" s="10">
        <f t="shared" si="1"/>
        <v>11190</v>
      </c>
    </row>
    <row r="71" spans="1:4" x14ac:dyDescent="0.25">
      <c r="A71" s="58">
        <v>45947</v>
      </c>
      <c r="B71" s="9" t="s">
        <v>179</v>
      </c>
      <c r="C71" s="61">
        <v>-2260</v>
      </c>
      <c r="D71" s="10">
        <f t="shared" si="1"/>
        <v>8930</v>
      </c>
    </row>
    <row r="72" spans="1:4" x14ac:dyDescent="0.25">
      <c r="A72" s="58">
        <v>45950</v>
      </c>
      <c r="B72" s="9" t="s">
        <v>6</v>
      </c>
      <c r="C72" s="61">
        <v>1470</v>
      </c>
      <c r="D72" s="10">
        <f t="shared" si="1"/>
        <v>10400</v>
      </c>
    </row>
    <row r="73" spans="1:4" x14ac:dyDescent="0.25">
      <c r="A73" s="58">
        <v>45952</v>
      </c>
      <c r="B73" s="9" t="s">
        <v>189</v>
      </c>
      <c r="C73" s="61">
        <v>-1560</v>
      </c>
      <c r="D73" s="10">
        <f t="shared" si="1"/>
        <v>8840</v>
      </c>
    </row>
    <row r="74" spans="1:4" x14ac:dyDescent="0.25">
      <c r="A74" s="58">
        <v>45953</v>
      </c>
      <c r="B74" s="9" t="s">
        <v>6</v>
      </c>
      <c r="C74" s="61">
        <v>2265</v>
      </c>
      <c r="D74" s="10">
        <f t="shared" si="1"/>
        <v>11105</v>
      </c>
    </row>
    <row r="75" spans="1:4" x14ac:dyDescent="0.25">
      <c r="A75" s="58">
        <v>45985</v>
      </c>
      <c r="B75" s="9" t="s">
        <v>140</v>
      </c>
      <c r="C75" s="61">
        <v>-1500</v>
      </c>
      <c r="D75" s="10">
        <f t="shared" ref="D75:D106" si="2">D74+C75</f>
        <v>9605</v>
      </c>
    </row>
    <row r="76" spans="1:4" x14ac:dyDescent="0.25">
      <c r="A76" s="58">
        <v>45986</v>
      </c>
      <c r="B76" s="9" t="s">
        <v>220</v>
      </c>
      <c r="C76" s="61">
        <v>-1770</v>
      </c>
      <c r="D76" s="10">
        <f t="shared" si="2"/>
        <v>7835</v>
      </c>
    </row>
    <row r="77" spans="1:4" x14ac:dyDescent="0.25">
      <c r="A77" s="58">
        <v>45988</v>
      </c>
      <c r="B77" s="9" t="s">
        <v>6</v>
      </c>
      <c r="C77" s="61">
        <v>1680</v>
      </c>
      <c r="D77" s="10">
        <f t="shared" si="2"/>
        <v>9515</v>
      </c>
    </row>
    <row r="78" spans="1:4" x14ac:dyDescent="0.25">
      <c r="A78" s="58">
        <v>45988</v>
      </c>
      <c r="B78" s="9" t="s">
        <v>221</v>
      </c>
      <c r="C78" s="61">
        <v>-2060</v>
      </c>
      <c r="D78" s="10">
        <f t="shared" si="2"/>
        <v>7455</v>
      </c>
    </row>
    <row r="79" spans="1:4" x14ac:dyDescent="0.25">
      <c r="A79" s="58">
        <v>45960</v>
      </c>
      <c r="B79" s="9" t="s">
        <v>6</v>
      </c>
      <c r="C79" s="61">
        <v>2870</v>
      </c>
      <c r="D79" s="10">
        <f t="shared" si="2"/>
        <v>10325</v>
      </c>
    </row>
    <row r="80" spans="1:4" x14ac:dyDescent="0.25">
      <c r="A80" s="58">
        <v>45961</v>
      </c>
      <c r="B80" s="9" t="s">
        <v>127</v>
      </c>
      <c r="C80" s="61">
        <v>-1470</v>
      </c>
      <c r="D80" s="10">
        <f t="shared" si="2"/>
        <v>8855</v>
      </c>
    </row>
    <row r="81" spans="1:4" x14ac:dyDescent="0.25">
      <c r="A81" s="58">
        <v>45964</v>
      </c>
      <c r="B81" s="9" t="s">
        <v>6</v>
      </c>
      <c r="C81" s="61">
        <v>1780</v>
      </c>
      <c r="D81" s="10">
        <f t="shared" si="2"/>
        <v>10635</v>
      </c>
    </row>
    <row r="82" spans="1:4" x14ac:dyDescent="0.25">
      <c r="A82" s="58">
        <v>45964</v>
      </c>
      <c r="B82" s="9" t="s">
        <v>150</v>
      </c>
      <c r="C82" s="61">
        <v>-1680</v>
      </c>
      <c r="D82" s="10">
        <f t="shared" si="2"/>
        <v>8955</v>
      </c>
    </row>
    <row r="83" spans="1:4" x14ac:dyDescent="0.25">
      <c r="A83" s="58">
        <v>45971</v>
      </c>
      <c r="B83" s="9" t="s">
        <v>6</v>
      </c>
      <c r="C83" s="61">
        <v>2610</v>
      </c>
      <c r="D83" s="10">
        <f t="shared" si="2"/>
        <v>11565</v>
      </c>
    </row>
    <row r="84" spans="1:4" x14ac:dyDescent="0.25">
      <c r="A84" s="58">
        <v>45971</v>
      </c>
      <c r="B84" s="9" t="s">
        <v>150</v>
      </c>
      <c r="C84" s="61">
        <v>-1000</v>
      </c>
      <c r="D84" s="10">
        <f t="shared" si="2"/>
        <v>10565</v>
      </c>
    </row>
    <row r="85" spans="1:4" x14ac:dyDescent="0.25">
      <c r="A85" s="58">
        <v>45973</v>
      </c>
      <c r="B85" s="9" t="s">
        <v>150</v>
      </c>
      <c r="C85" s="61">
        <v>-1265</v>
      </c>
      <c r="D85" s="10">
        <f t="shared" si="2"/>
        <v>9300</v>
      </c>
    </row>
    <row r="86" spans="1:4" x14ac:dyDescent="0.25">
      <c r="A86" s="58">
        <v>45974</v>
      </c>
      <c r="B86" s="9" t="s">
        <v>97</v>
      </c>
      <c r="C86" s="61">
        <v>1265</v>
      </c>
      <c r="D86" s="10">
        <f t="shared" si="2"/>
        <v>10565</v>
      </c>
    </row>
    <row r="87" spans="1:4" x14ac:dyDescent="0.25">
      <c r="A87" s="58">
        <v>45975</v>
      </c>
      <c r="B87" s="9" t="s">
        <v>127</v>
      </c>
      <c r="C87" s="61">
        <v>-1040</v>
      </c>
      <c r="D87" s="10">
        <f t="shared" si="2"/>
        <v>9525</v>
      </c>
    </row>
    <row r="88" spans="1:4" x14ac:dyDescent="0.25">
      <c r="A88" s="58">
        <v>45975</v>
      </c>
      <c r="B88" s="9" t="s">
        <v>227</v>
      </c>
      <c r="C88" s="61">
        <v>-2870</v>
      </c>
      <c r="D88" s="10">
        <f t="shared" si="2"/>
        <v>6655</v>
      </c>
    </row>
    <row r="89" spans="1:4" x14ac:dyDescent="0.25">
      <c r="A89" s="58">
        <v>45976</v>
      </c>
      <c r="B89" s="9" t="s">
        <v>230</v>
      </c>
      <c r="C89" s="61">
        <v>-1000</v>
      </c>
      <c r="D89" s="10">
        <f t="shared" si="2"/>
        <v>5655</v>
      </c>
    </row>
    <row r="90" spans="1:4" x14ac:dyDescent="0.25">
      <c r="A90" s="58">
        <v>45976</v>
      </c>
      <c r="B90" s="9" t="s">
        <v>230</v>
      </c>
      <c r="C90" s="61">
        <v>-1780</v>
      </c>
      <c r="D90" s="10">
        <f t="shared" si="2"/>
        <v>3875</v>
      </c>
    </row>
    <row r="91" spans="1:4" x14ac:dyDescent="0.25">
      <c r="A91" s="58">
        <v>45977</v>
      </c>
      <c r="B91" s="9" t="s">
        <v>231</v>
      </c>
      <c r="C91" s="61">
        <v>-1265</v>
      </c>
      <c r="D91" s="10">
        <f t="shared" si="2"/>
        <v>2610</v>
      </c>
    </row>
    <row r="92" spans="1:4" x14ac:dyDescent="0.25">
      <c r="A92" s="58">
        <v>45978</v>
      </c>
      <c r="B92" s="9" t="s">
        <v>228</v>
      </c>
      <c r="C92" s="61">
        <v>3330</v>
      </c>
      <c r="D92" s="10">
        <f t="shared" si="2"/>
        <v>5940</v>
      </c>
    </row>
    <row r="93" spans="1:4" x14ac:dyDescent="0.25">
      <c r="A93" s="58">
        <v>45980</v>
      </c>
      <c r="B93" s="9" t="s">
        <v>138</v>
      </c>
      <c r="C93" s="61">
        <v>-1000</v>
      </c>
      <c r="D93" s="10">
        <f t="shared" si="2"/>
        <v>4940</v>
      </c>
    </row>
    <row r="94" spans="1:4" x14ac:dyDescent="0.25">
      <c r="A94" s="58">
        <v>45982</v>
      </c>
      <c r="B94" s="9" t="s">
        <v>44</v>
      </c>
      <c r="C94" s="61">
        <v>-1610</v>
      </c>
      <c r="D94" s="10">
        <f t="shared" si="2"/>
        <v>3330</v>
      </c>
    </row>
    <row r="95" spans="1:4" x14ac:dyDescent="0.25">
      <c r="A95" s="58">
        <v>45985</v>
      </c>
      <c r="B95" s="9" t="s">
        <v>3</v>
      </c>
      <c r="C95" s="61">
        <v>1760</v>
      </c>
      <c r="D95" s="10">
        <f t="shared" si="2"/>
        <v>5090</v>
      </c>
    </row>
    <row r="96" spans="1:4" x14ac:dyDescent="0.25">
      <c r="A96" s="58">
        <v>45985</v>
      </c>
      <c r="B96" s="9" t="s">
        <v>138</v>
      </c>
      <c r="C96" s="61">
        <v>-1600</v>
      </c>
      <c r="D96" s="10">
        <f t="shared" si="2"/>
        <v>3490</v>
      </c>
    </row>
    <row r="97" spans="1:4" x14ac:dyDescent="0.25">
      <c r="A97" s="58">
        <v>45988</v>
      </c>
      <c r="B97" s="9" t="s">
        <v>3</v>
      </c>
      <c r="C97" s="61">
        <v>1640</v>
      </c>
      <c r="D97" s="10">
        <f t="shared" si="2"/>
        <v>5130</v>
      </c>
    </row>
    <row r="98" spans="1:4" x14ac:dyDescent="0.25">
      <c r="A98" s="58">
        <v>45998</v>
      </c>
      <c r="B98" s="9" t="s">
        <v>7</v>
      </c>
      <c r="C98" s="61">
        <v>-1000</v>
      </c>
      <c r="D98" s="10">
        <f t="shared" si="2"/>
        <v>4130</v>
      </c>
    </row>
    <row r="99" spans="1:4" x14ac:dyDescent="0.25">
      <c r="A99" s="58">
        <v>45999</v>
      </c>
      <c r="B99" s="9" t="s">
        <v>3</v>
      </c>
      <c r="C99" s="61">
        <v>3230</v>
      </c>
      <c r="D99" s="10">
        <f t="shared" si="2"/>
        <v>7360</v>
      </c>
    </row>
    <row r="100" spans="1:4" x14ac:dyDescent="0.25">
      <c r="A100" s="58">
        <v>45999</v>
      </c>
      <c r="B100" s="9" t="s">
        <v>260</v>
      </c>
      <c r="C100" s="61">
        <v>-1760</v>
      </c>
      <c r="D100" s="10">
        <f t="shared" si="2"/>
        <v>5600</v>
      </c>
    </row>
    <row r="101" spans="1:4" x14ac:dyDescent="0.25">
      <c r="A101" s="58">
        <v>46002</v>
      </c>
      <c r="B101" s="9" t="s">
        <v>3</v>
      </c>
      <c r="C101" s="61">
        <v>1550</v>
      </c>
      <c r="D101" s="10">
        <f t="shared" si="2"/>
        <v>7150</v>
      </c>
    </row>
    <row r="102" spans="1:4" x14ac:dyDescent="0.25">
      <c r="A102" s="58">
        <v>46009</v>
      </c>
      <c r="B102" s="9" t="s">
        <v>3</v>
      </c>
      <c r="C102" s="61">
        <v>3680</v>
      </c>
      <c r="D102" s="10">
        <f t="shared" si="2"/>
        <v>10830</v>
      </c>
    </row>
    <row r="103" spans="1:4" x14ac:dyDescent="0.25">
      <c r="A103" s="58">
        <v>46009</v>
      </c>
      <c r="B103" s="9" t="s">
        <v>7</v>
      </c>
      <c r="C103" s="61">
        <v>-2370</v>
      </c>
      <c r="D103" s="10">
        <f t="shared" si="2"/>
        <v>8460</v>
      </c>
    </row>
    <row r="104" spans="1:4" x14ac:dyDescent="0.25">
      <c r="A104" s="58">
        <v>46011</v>
      </c>
      <c r="B104" s="9" t="s">
        <v>187</v>
      </c>
      <c r="C104" s="61">
        <v>-1640</v>
      </c>
      <c r="D104" s="10">
        <f t="shared" si="2"/>
        <v>6820</v>
      </c>
    </row>
    <row r="105" spans="1:4" x14ac:dyDescent="0.25">
      <c r="A105" s="58">
        <v>46013</v>
      </c>
      <c r="B105" s="9" t="s">
        <v>179</v>
      </c>
      <c r="C105" s="61">
        <v>-4780</v>
      </c>
      <c r="D105" s="10">
        <f t="shared" si="2"/>
        <v>2040</v>
      </c>
    </row>
    <row r="106" spans="1:4" x14ac:dyDescent="0.25">
      <c r="A106" s="58">
        <v>46013</v>
      </c>
      <c r="B106" s="9" t="s">
        <v>3</v>
      </c>
      <c r="C106" s="61">
        <v>990</v>
      </c>
      <c r="D106" s="10">
        <f t="shared" si="2"/>
        <v>3030</v>
      </c>
    </row>
    <row r="107" spans="1:4" x14ac:dyDescent="0.25">
      <c r="A107" s="58">
        <v>46014</v>
      </c>
      <c r="B107" s="9" t="s">
        <v>273</v>
      </c>
      <c r="C107" s="61">
        <v>-4670</v>
      </c>
      <c r="D107" s="10">
        <f t="shared" ref="D107:D138" si="3">D106+C107</f>
        <v>-1640</v>
      </c>
    </row>
    <row r="108" spans="1:4" x14ac:dyDescent="0.25">
      <c r="A108" s="58">
        <v>46020</v>
      </c>
      <c r="B108" s="9" t="s">
        <v>3</v>
      </c>
      <c r="C108" s="61">
        <v>570</v>
      </c>
      <c r="D108" s="10">
        <f t="shared" si="3"/>
        <v>-1070</v>
      </c>
    </row>
    <row r="109" spans="1:4" x14ac:dyDescent="0.25">
      <c r="A109" s="58">
        <v>46024</v>
      </c>
      <c r="B109" s="9" t="s">
        <v>274</v>
      </c>
      <c r="C109" s="61">
        <v>3080</v>
      </c>
      <c r="D109" s="10">
        <f t="shared" si="3"/>
        <v>2010</v>
      </c>
    </row>
    <row r="110" spans="1:4" x14ac:dyDescent="0.25">
      <c r="A110" s="58">
        <v>46028</v>
      </c>
      <c r="B110" s="9" t="s">
        <v>187</v>
      </c>
      <c r="C110" s="61">
        <v>-3080</v>
      </c>
      <c r="D110" s="10">
        <f t="shared" si="3"/>
        <v>-1070</v>
      </c>
    </row>
    <row r="111" spans="1:4" x14ac:dyDescent="0.25">
      <c r="A111" s="58">
        <v>46027</v>
      </c>
      <c r="B111" s="9" t="s">
        <v>3</v>
      </c>
      <c r="C111" s="61">
        <v>2740</v>
      </c>
      <c r="D111" s="10">
        <f t="shared" si="3"/>
        <v>1670</v>
      </c>
    </row>
    <row r="112" spans="1:4" x14ac:dyDescent="0.25">
      <c r="A112" s="58">
        <v>46034</v>
      </c>
      <c r="B112" s="9" t="s">
        <v>3</v>
      </c>
      <c r="C112" s="61">
        <v>2430</v>
      </c>
      <c r="D112" s="10">
        <f t="shared" si="3"/>
        <v>4100</v>
      </c>
    </row>
    <row r="113" spans="1:4" x14ac:dyDescent="0.25">
      <c r="A113" s="58">
        <v>46037</v>
      </c>
      <c r="B113" s="9" t="s">
        <v>3</v>
      </c>
      <c r="C113" s="61">
        <v>2610</v>
      </c>
      <c r="D113" s="10">
        <f t="shared" si="3"/>
        <v>6710</v>
      </c>
    </row>
    <row r="114" spans="1:4" x14ac:dyDescent="0.25">
      <c r="A114" s="58">
        <v>46041</v>
      </c>
      <c r="B114" s="9" t="s">
        <v>3</v>
      </c>
      <c r="C114" s="61">
        <v>4320</v>
      </c>
      <c r="D114" s="10">
        <f t="shared" si="3"/>
        <v>11030</v>
      </c>
    </row>
    <row r="115" spans="1:4" x14ac:dyDescent="0.25">
      <c r="A115" s="58">
        <v>46042</v>
      </c>
      <c r="B115" s="9" t="s">
        <v>297</v>
      </c>
      <c r="C115" s="61">
        <v>-2430</v>
      </c>
      <c r="D115" s="10">
        <f t="shared" si="3"/>
        <v>8600</v>
      </c>
    </row>
    <row r="116" spans="1:4" x14ac:dyDescent="0.25">
      <c r="A116" s="58">
        <v>46044</v>
      </c>
      <c r="B116" s="9" t="s">
        <v>3</v>
      </c>
      <c r="C116" s="61">
        <v>3360</v>
      </c>
      <c r="D116" s="10">
        <f t="shared" si="3"/>
        <v>11960</v>
      </c>
    </row>
    <row r="117" spans="1:4" x14ac:dyDescent="0.25">
      <c r="A117" s="58">
        <v>46045</v>
      </c>
      <c r="B117" s="9" t="s">
        <v>187</v>
      </c>
      <c r="C117" s="61">
        <v>-1040</v>
      </c>
      <c r="D117" s="10">
        <f t="shared" si="3"/>
        <v>10920</v>
      </c>
    </row>
    <row r="118" spans="1:4" x14ac:dyDescent="0.25">
      <c r="A118" s="58">
        <v>46048</v>
      </c>
      <c r="B118" s="9" t="s">
        <v>187</v>
      </c>
      <c r="C118" s="61">
        <v>-1700</v>
      </c>
      <c r="D118" s="10">
        <f t="shared" si="3"/>
        <v>9220</v>
      </c>
    </row>
    <row r="119" spans="1:4" x14ac:dyDescent="0.25">
      <c r="A119" s="58">
        <v>46048</v>
      </c>
      <c r="B119" s="9" t="s">
        <v>187</v>
      </c>
      <c r="C119" s="61">
        <v>-1000</v>
      </c>
      <c r="D119" s="10">
        <f t="shared" si="3"/>
        <v>8220</v>
      </c>
    </row>
    <row r="120" spans="1:4" x14ac:dyDescent="0.25">
      <c r="A120" s="58">
        <v>46048</v>
      </c>
      <c r="B120" s="9" t="s">
        <v>3</v>
      </c>
      <c r="C120" s="61">
        <v>2690</v>
      </c>
      <c r="D120" s="10">
        <f t="shared" si="3"/>
        <v>10910</v>
      </c>
    </row>
    <row r="121" spans="1:4" x14ac:dyDescent="0.25">
      <c r="A121" s="58">
        <v>46049</v>
      </c>
      <c r="B121" s="9" t="s">
        <v>198</v>
      </c>
      <c r="C121" s="61">
        <v>-1610</v>
      </c>
      <c r="D121" s="10">
        <f t="shared" si="3"/>
        <v>9300</v>
      </c>
    </row>
    <row r="122" spans="1:4" x14ac:dyDescent="0.25">
      <c r="A122" s="58">
        <v>46050</v>
      </c>
      <c r="B122" s="9" t="s">
        <v>179</v>
      </c>
      <c r="C122" s="61">
        <v>-2000</v>
      </c>
      <c r="D122" s="10">
        <f t="shared" si="3"/>
        <v>7300</v>
      </c>
    </row>
    <row r="123" spans="1:4" x14ac:dyDescent="0.25">
      <c r="A123" s="58">
        <v>46051</v>
      </c>
      <c r="B123" s="9" t="s">
        <v>3</v>
      </c>
      <c r="C123" s="61">
        <v>2290</v>
      </c>
      <c r="D123" s="10">
        <f t="shared" si="3"/>
        <v>9590</v>
      </c>
    </row>
    <row r="124" spans="1:4" x14ac:dyDescent="0.25">
      <c r="A124" s="58">
        <v>46054</v>
      </c>
      <c r="B124" s="9" t="s">
        <v>179</v>
      </c>
      <c r="C124" s="61">
        <v>-2320</v>
      </c>
      <c r="D124" s="10">
        <f t="shared" si="3"/>
        <v>7270</v>
      </c>
    </row>
    <row r="125" spans="1:4" x14ac:dyDescent="0.25">
      <c r="A125" s="58">
        <v>46054</v>
      </c>
      <c r="B125" s="9" t="s">
        <v>187</v>
      </c>
      <c r="C125" s="61">
        <v>-2000</v>
      </c>
      <c r="D125" s="10">
        <f t="shared" si="3"/>
        <v>5270</v>
      </c>
    </row>
    <row r="126" spans="1:4" x14ac:dyDescent="0.25">
      <c r="A126" s="58">
        <v>46054</v>
      </c>
      <c r="B126" s="9" t="s">
        <v>179</v>
      </c>
      <c r="C126" s="61">
        <v>-1360</v>
      </c>
      <c r="D126" s="10">
        <f t="shared" si="3"/>
        <v>3910</v>
      </c>
    </row>
    <row r="127" spans="1:4" x14ac:dyDescent="0.25">
      <c r="A127" s="58">
        <v>46055</v>
      </c>
      <c r="B127" s="9" t="s">
        <v>3</v>
      </c>
      <c r="C127" s="61">
        <v>1080</v>
      </c>
      <c r="D127" s="10">
        <f t="shared" si="3"/>
        <v>4990</v>
      </c>
    </row>
    <row r="128" spans="1:4" x14ac:dyDescent="0.25">
      <c r="A128" s="58">
        <v>46059</v>
      </c>
      <c r="B128" s="9" t="s">
        <v>3</v>
      </c>
      <c r="C128" s="61">
        <v>2350</v>
      </c>
      <c r="D128" s="10">
        <f t="shared" si="3"/>
        <v>7340</v>
      </c>
    </row>
    <row r="129" spans="1:4" x14ac:dyDescent="0.25">
      <c r="A129" s="58">
        <v>46062</v>
      </c>
      <c r="B129" s="9" t="s">
        <v>3</v>
      </c>
      <c r="C129" s="61">
        <v>12090</v>
      </c>
      <c r="D129" s="10">
        <f t="shared" si="3"/>
        <v>19430</v>
      </c>
    </row>
    <row r="130" spans="1:4" x14ac:dyDescent="0.25">
      <c r="A130" s="58">
        <v>46064</v>
      </c>
      <c r="B130" s="9" t="s">
        <v>230</v>
      </c>
      <c r="C130" s="61">
        <v>-2690</v>
      </c>
      <c r="D130" s="10">
        <f t="shared" si="3"/>
        <v>16740</v>
      </c>
    </row>
    <row r="131" spans="1:4" x14ac:dyDescent="0.25">
      <c r="A131" s="8">
        <v>46065</v>
      </c>
      <c r="B131" s="9" t="s">
        <v>3</v>
      </c>
      <c r="C131" s="10">
        <v>31500</v>
      </c>
      <c r="D131" s="10">
        <f t="shared" si="3"/>
        <v>48240</v>
      </c>
    </row>
    <row r="132" spans="1:4" x14ac:dyDescent="0.25">
      <c r="A132" s="8">
        <v>46068</v>
      </c>
      <c r="B132" s="9" t="s">
        <v>127</v>
      </c>
      <c r="C132" s="10">
        <v>-12090</v>
      </c>
      <c r="D132" s="10">
        <f t="shared" si="3"/>
        <v>36150</v>
      </c>
    </row>
    <row r="133" spans="1:4" x14ac:dyDescent="0.25">
      <c r="A133" s="8">
        <v>46070</v>
      </c>
      <c r="B133" s="9" t="s">
        <v>127</v>
      </c>
      <c r="C133" s="10">
        <v>-20000</v>
      </c>
      <c r="D133" s="10">
        <f t="shared" si="3"/>
        <v>16150</v>
      </c>
    </row>
    <row r="134" spans="1:4" x14ac:dyDescent="0.25">
      <c r="A134" s="8">
        <v>46072</v>
      </c>
      <c r="B134" s="9" t="s">
        <v>3</v>
      </c>
      <c r="C134" s="10">
        <v>1050</v>
      </c>
      <c r="D134" s="10">
        <f t="shared" si="3"/>
        <v>17200</v>
      </c>
    </row>
    <row r="135" spans="1:4" x14ac:dyDescent="0.25">
      <c r="A135" s="8">
        <v>46072</v>
      </c>
      <c r="B135" s="9" t="s">
        <v>127</v>
      </c>
      <c r="C135" s="10">
        <v>-10000</v>
      </c>
      <c r="D135" s="10">
        <f t="shared" si="3"/>
        <v>7200</v>
      </c>
    </row>
    <row r="136" spans="1:4" x14ac:dyDescent="0.25">
      <c r="A136" s="8">
        <v>46076</v>
      </c>
      <c r="B136" s="9" t="s">
        <v>3</v>
      </c>
      <c r="C136" s="10">
        <v>2220</v>
      </c>
      <c r="D136" s="10">
        <f t="shared" si="3"/>
        <v>9420</v>
      </c>
    </row>
    <row r="137" spans="1:4" x14ac:dyDescent="0.25">
      <c r="A137" s="8">
        <v>46083</v>
      </c>
      <c r="B137" s="9" t="s">
        <v>3</v>
      </c>
      <c r="C137" s="10">
        <v>730</v>
      </c>
      <c r="D137" s="10">
        <f t="shared" si="3"/>
        <v>10150</v>
      </c>
    </row>
    <row r="138" spans="1:4" x14ac:dyDescent="0.25">
      <c r="A138" s="8">
        <v>46085</v>
      </c>
      <c r="B138" s="9" t="s">
        <v>127</v>
      </c>
      <c r="C138" s="10">
        <v>-1500</v>
      </c>
      <c r="D138" s="10">
        <f t="shared" si="3"/>
        <v>8650</v>
      </c>
    </row>
    <row r="139" spans="1:4" x14ac:dyDescent="0.25">
      <c r="A139" s="8">
        <v>46086</v>
      </c>
      <c r="B139" s="9" t="s">
        <v>3</v>
      </c>
      <c r="C139" s="10">
        <v>890</v>
      </c>
      <c r="D139" s="10">
        <f t="shared" ref="D139:D156" si="4">D138+C139</f>
        <v>9540</v>
      </c>
    </row>
    <row r="140" spans="1:4" x14ac:dyDescent="0.25">
      <c r="A140" s="8">
        <v>46088</v>
      </c>
      <c r="B140" s="9" t="s">
        <v>127</v>
      </c>
      <c r="C140" s="10">
        <v>-1050</v>
      </c>
      <c r="D140" s="10">
        <f t="shared" si="4"/>
        <v>8490</v>
      </c>
    </row>
    <row r="141" spans="1:4" x14ac:dyDescent="0.25">
      <c r="A141" s="8">
        <v>46090</v>
      </c>
      <c r="B141" s="9" t="s">
        <v>3</v>
      </c>
      <c r="C141" s="10">
        <v>1460</v>
      </c>
      <c r="D141" s="10">
        <f t="shared" si="4"/>
        <v>9950</v>
      </c>
    </row>
    <row r="142" spans="1:4" x14ac:dyDescent="0.25">
      <c r="A142" s="8">
        <v>46097</v>
      </c>
      <c r="B142" s="9" t="s">
        <v>3</v>
      </c>
      <c r="C142" s="10">
        <v>1290</v>
      </c>
      <c r="D142" s="10">
        <f t="shared" si="4"/>
        <v>11240</v>
      </c>
    </row>
    <row r="143" spans="1:4" x14ac:dyDescent="0.25">
      <c r="A143" s="8">
        <v>46097</v>
      </c>
      <c r="B143" s="9" t="s">
        <v>127</v>
      </c>
      <c r="C143" s="10">
        <v>-1000</v>
      </c>
      <c r="D143" s="10">
        <f t="shared" si="4"/>
        <v>10240</v>
      </c>
    </row>
    <row r="144" spans="1:4" x14ac:dyDescent="0.25">
      <c r="A144" s="8">
        <v>46098</v>
      </c>
      <c r="B144" s="9" t="s">
        <v>364</v>
      </c>
      <c r="C144" s="10">
        <v>-1220</v>
      </c>
      <c r="D144" s="10">
        <f t="shared" si="4"/>
        <v>9020</v>
      </c>
    </row>
    <row r="145" spans="1:4" x14ac:dyDescent="0.25">
      <c r="A145" s="8">
        <v>46100</v>
      </c>
      <c r="B145" s="9" t="s">
        <v>3</v>
      </c>
      <c r="C145" s="10">
        <v>2140</v>
      </c>
      <c r="D145" s="10">
        <f t="shared" si="4"/>
        <v>11160</v>
      </c>
    </row>
    <row r="146" spans="1:4" x14ac:dyDescent="0.25">
      <c r="A146" s="8">
        <v>46101</v>
      </c>
      <c r="B146" s="9" t="s">
        <v>127</v>
      </c>
      <c r="C146" s="10">
        <v>-730</v>
      </c>
      <c r="D146" s="10">
        <f t="shared" si="4"/>
        <v>10430</v>
      </c>
    </row>
    <row r="147" spans="1:4" x14ac:dyDescent="0.25">
      <c r="A147" s="8">
        <v>46104</v>
      </c>
      <c r="B147" s="9" t="s">
        <v>3</v>
      </c>
      <c r="C147" s="10">
        <v>1010</v>
      </c>
      <c r="D147" s="10">
        <f t="shared" si="4"/>
        <v>11440</v>
      </c>
    </row>
    <row r="148" spans="1:4" x14ac:dyDescent="0.25">
      <c r="A148" s="8">
        <v>46109</v>
      </c>
      <c r="B148" s="9" t="s">
        <v>127</v>
      </c>
      <c r="C148" s="10">
        <v>-890</v>
      </c>
      <c r="D148" s="10">
        <f t="shared" si="4"/>
        <v>10550</v>
      </c>
    </row>
    <row r="149" spans="1:4" x14ac:dyDescent="0.25">
      <c r="A149" s="8">
        <v>46114</v>
      </c>
      <c r="B149" s="9" t="s">
        <v>127</v>
      </c>
      <c r="C149" s="10">
        <v>-1000</v>
      </c>
      <c r="D149" s="10">
        <f t="shared" si="4"/>
        <v>9550</v>
      </c>
    </row>
    <row r="150" spans="1:4" x14ac:dyDescent="0.25">
      <c r="A150" s="8">
        <v>46118</v>
      </c>
      <c r="B150" s="9" t="s">
        <v>3</v>
      </c>
      <c r="C150" s="10">
        <v>1920</v>
      </c>
      <c r="D150" s="10">
        <f t="shared" si="4"/>
        <v>11470</v>
      </c>
    </row>
    <row r="151" spans="1:4" x14ac:dyDescent="0.25">
      <c r="A151" s="8">
        <v>46118</v>
      </c>
      <c r="B151" s="9" t="s">
        <v>227</v>
      </c>
      <c r="C151" s="10">
        <v>-1290</v>
      </c>
      <c r="D151" s="10">
        <f t="shared" si="4"/>
        <v>10180</v>
      </c>
    </row>
    <row r="152" spans="1:4" x14ac:dyDescent="0.25">
      <c r="A152" s="8">
        <v>46120</v>
      </c>
      <c r="B152" s="9" t="s">
        <v>127</v>
      </c>
      <c r="C152" s="10">
        <v>-1080</v>
      </c>
      <c r="D152" s="10">
        <f t="shared" si="4"/>
        <v>9100</v>
      </c>
    </row>
    <row r="153" spans="1:4" x14ac:dyDescent="0.25">
      <c r="A153" s="8">
        <v>46121</v>
      </c>
      <c r="B153" s="9" t="s">
        <v>3</v>
      </c>
      <c r="C153" s="10">
        <v>580</v>
      </c>
      <c r="D153" s="10">
        <f t="shared" si="4"/>
        <v>9680</v>
      </c>
    </row>
    <row r="154" spans="1:4" x14ac:dyDescent="0.25">
      <c r="A154" s="8">
        <v>46124</v>
      </c>
      <c r="B154" s="9" t="s">
        <v>127</v>
      </c>
      <c r="C154" s="10">
        <v>-2350</v>
      </c>
      <c r="D154" s="10">
        <f t="shared" si="4"/>
        <v>7330</v>
      </c>
    </row>
    <row r="155" spans="1:4" x14ac:dyDescent="0.25">
      <c r="A155" s="8">
        <v>46125</v>
      </c>
      <c r="B155" s="9" t="s">
        <v>3</v>
      </c>
      <c r="C155" s="10">
        <v>3480</v>
      </c>
      <c r="D155" s="10">
        <f t="shared" si="4"/>
        <v>10810</v>
      </c>
    </row>
    <row r="156" spans="1:4" x14ac:dyDescent="0.25">
      <c r="A156" s="8">
        <v>46129</v>
      </c>
      <c r="B156" s="9" t="s">
        <v>127</v>
      </c>
      <c r="C156" s="10">
        <v>-1460</v>
      </c>
      <c r="D156" s="10">
        <f t="shared" si="4"/>
        <v>9350</v>
      </c>
    </row>
    <row r="157" spans="1:4" x14ac:dyDescent="0.25">
      <c r="A157" s="8">
        <v>46132</v>
      </c>
      <c r="B157" s="9" t="s">
        <v>3</v>
      </c>
      <c r="C157" s="10">
        <v>1050</v>
      </c>
      <c r="D157" s="10">
        <f t="shared" ref="D157:D220" si="5">D156+C157</f>
        <v>10400</v>
      </c>
    </row>
    <row r="158" spans="1:4" x14ac:dyDescent="0.25">
      <c r="A158" s="8">
        <v>46133</v>
      </c>
      <c r="B158" s="9" t="s">
        <v>408</v>
      </c>
      <c r="C158" s="10">
        <v>-1500</v>
      </c>
      <c r="D158" s="10">
        <f t="shared" si="5"/>
        <v>8900</v>
      </c>
    </row>
    <row r="159" spans="1:4" x14ac:dyDescent="0.25">
      <c r="A159" s="8">
        <v>46135</v>
      </c>
      <c r="B159" s="9" t="s">
        <v>3</v>
      </c>
      <c r="C159" s="10">
        <v>1270</v>
      </c>
      <c r="D159" s="10">
        <f t="shared" si="5"/>
        <v>10170</v>
      </c>
    </row>
    <row r="160" spans="1:4" x14ac:dyDescent="0.25">
      <c r="A160" s="8">
        <v>46139</v>
      </c>
      <c r="B160" s="9" t="s">
        <v>3</v>
      </c>
      <c r="C160" s="10">
        <v>1970</v>
      </c>
      <c r="D160" s="10">
        <f t="shared" si="5"/>
        <v>12140</v>
      </c>
    </row>
    <row r="161" spans="1:4" x14ac:dyDescent="0.25">
      <c r="A161" s="8">
        <v>46140</v>
      </c>
      <c r="B161" s="9" t="s">
        <v>3</v>
      </c>
      <c r="C161" s="10">
        <v>-1500</v>
      </c>
      <c r="D161" s="10">
        <f t="shared" si="5"/>
        <v>10640</v>
      </c>
    </row>
    <row r="162" spans="1:4" x14ac:dyDescent="0.25">
      <c r="A162" s="8">
        <v>46172</v>
      </c>
      <c r="B162" s="9" t="s">
        <v>3</v>
      </c>
      <c r="C162" s="10">
        <v>2280</v>
      </c>
      <c r="D162" s="10">
        <f t="shared" si="5"/>
        <v>12920</v>
      </c>
    </row>
    <row r="163" spans="1:4" x14ac:dyDescent="0.25">
      <c r="A163" s="8">
        <v>46142</v>
      </c>
      <c r="B163" s="9" t="s">
        <v>127</v>
      </c>
      <c r="C163" s="10">
        <v>-700</v>
      </c>
      <c r="D163" s="10">
        <f t="shared" si="5"/>
        <v>12220</v>
      </c>
    </row>
    <row r="164" spans="1:4" x14ac:dyDescent="0.25">
      <c r="A164" s="8">
        <v>46143</v>
      </c>
      <c r="B164" s="9" t="s">
        <v>230</v>
      </c>
      <c r="C164" s="10">
        <v>-1010</v>
      </c>
      <c r="D164" s="10">
        <f t="shared" si="5"/>
        <v>11210</v>
      </c>
    </row>
    <row r="165" spans="1:4" x14ac:dyDescent="0.25">
      <c r="A165" s="8">
        <v>46143</v>
      </c>
      <c r="B165" s="9" t="s">
        <v>127</v>
      </c>
      <c r="C165" s="10">
        <v>-80</v>
      </c>
      <c r="D165" s="10">
        <f t="shared" si="5"/>
        <v>11130</v>
      </c>
    </row>
    <row r="166" spans="1:4" x14ac:dyDescent="0.25">
      <c r="A166" s="8">
        <v>46149</v>
      </c>
      <c r="B166" s="9" t="s">
        <v>417</v>
      </c>
      <c r="C166" s="10">
        <v>22050</v>
      </c>
      <c r="D166" s="10">
        <f t="shared" si="5"/>
        <v>33180</v>
      </c>
    </row>
    <row r="167" spans="1:4" x14ac:dyDescent="0.25">
      <c r="A167" s="8">
        <v>46153</v>
      </c>
      <c r="B167" s="9" t="s">
        <v>127</v>
      </c>
      <c r="C167" s="10">
        <v>-21430</v>
      </c>
      <c r="D167" s="10">
        <f t="shared" si="5"/>
        <v>11750</v>
      </c>
    </row>
    <row r="168" spans="1:4" x14ac:dyDescent="0.25">
      <c r="A168" s="8">
        <v>46155</v>
      </c>
      <c r="B168" s="9" t="s">
        <v>227</v>
      </c>
      <c r="C168" s="10">
        <v>-620</v>
      </c>
      <c r="D168" s="10">
        <f t="shared" si="5"/>
        <v>11130</v>
      </c>
    </row>
    <row r="169" spans="1:4" x14ac:dyDescent="0.25">
      <c r="A169" s="8">
        <v>46155</v>
      </c>
      <c r="B169" s="9" t="s">
        <v>227</v>
      </c>
      <c r="C169" s="10">
        <v>-1920</v>
      </c>
      <c r="D169" s="10">
        <f t="shared" si="5"/>
        <v>9210</v>
      </c>
    </row>
    <row r="170" spans="1:4" x14ac:dyDescent="0.25">
      <c r="A170" s="8">
        <v>46153</v>
      </c>
      <c r="B170" s="9" t="s">
        <v>3</v>
      </c>
      <c r="C170" s="10">
        <v>2310</v>
      </c>
      <c r="D170" s="10">
        <f t="shared" si="5"/>
        <v>11520</v>
      </c>
    </row>
    <row r="171" spans="1:4" x14ac:dyDescent="0.25">
      <c r="A171" s="8">
        <v>46156</v>
      </c>
      <c r="B171" s="9" t="s">
        <v>3</v>
      </c>
      <c r="C171" s="10">
        <v>1430</v>
      </c>
      <c r="D171" s="10">
        <f t="shared" si="5"/>
        <v>12950</v>
      </c>
    </row>
    <row r="172" spans="1:4" x14ac:dyDescent="0.25">
      <c r="A172" s="8">
        <v>46157</v>
      </c>
      <c r="B172" s="9" t="s">
        <v>127</v>
      </c>
      <c r="C172" s="10">
        <v>-1630</v>
      </c>
      <c r="D172" s="10">
        <f t="shared" si="5"/>
        <v>11320</v>
      </c>
    </row>
    <row r="173" spans="1:4" x14ac:dyDescent="0.25">
      <c r="A173" s="8">
        <v>46158</v>
      </c>
      <c r="B173" s="9" t="s">
        <v>127</v>
      </c>
      <c r="C173" s="10">
        <v>-1480</v>
      </c>
      <c r="D173" s="10">
        <f t="shared" si="5"/>
        <v>9840</v>
      </c>
    </row>
    <row r="174" spans="1:4" x14ac:dyDescent="0.25">
      <c r="A174" s="8">
        <v>46160</v>
      </c>
      <c r="B174" s="9" t="s">
        <v>3</v>
      </c>
      <c r="C174" s="10">
        <v>1500</v>
      </c>
      <c r="D174" s="10">
        <f t="shared" si="5"/>
        <v>11340</v>
      </c>
    </row>
    <row r="175" spans="1:4" x14ac:dyDescent="0.25">
      <c r="A175" s="8">
        <v>46162</v>
      </c>
      <c r="B175" s="9" t="s">
        <v>436</v>
      </c>
      <c r="C175" s="10">
        <v>-2000</v>
      </c>
      <c r="D175" s="10">
        <f t="shared" si="5"/>
        <v>9340</v>
      </c>
    </row>
    <row r="176" spans="1:4" x14ac:dyDescent="0.25">
      <c r="A176" s="8">
        <v>46163</v>
      </c>
      <c r="B176" s="9" t="s">
        <v>3</v>
      </c>
      <c r="C176" s="10">
        <v>1560</v>
      </c>
      <c r="D176" s="10">
        <f t="shared" si="5"/>
        <v>10900</v>
      </c>
    </row>
    <row r="177" spans="1:4" x14ac:dyDescent="0.25">
      <c r="A177" s="8">
        <v>46164</v>
      </c>
      <c r="B177" s="9" t="s">
        <v>127</v>
      </c>
      <c r="C177" s="10">
        <v>-770</v>
      </c>
      <c r="D177" s="10">
        <f t="shared" si="5"/>
        <v>10130</v>
      </c>
    </row>
    <row r="178" spans="1:4" x14ac:dyDescent="0.25">
      <c r="A178" s="8">
        <v>46167</v>
      </c>
      <c r="B178" s="9" t="s">
        <v>3</v>
      </c>
      <c r="C178" s="10">
        <v>800</v>
      </c>
      <c r="D178" s="10">
        <f t="shared" si="5"/>
        <v>10930</v>
      </c>
    </row>
    <row r="179" spans="1:4" x14ac:dyDescent="0.25">
      <c r="A179" s="8">
        <v>46167</v>
      </c>
      <c r="B179" s="9" t="s">
        <v>3</v>
      </c>
      <c r="C179" s="10">
        <v>640</v>
      </c>
      <c r="D179" s="10">
        <f t="shared" si="5"/>
        <v>11570</v>
      </c>
    </row>
    <row r="180" spans="1:4" x14ac:dyDescent="0.25">
      <c r="A180" s="8">
        <v>46170</v>
      </c>
      <c r="B180" s="9" t="s">
        <v>127</v>
      </c>
      <c r="C180" s="10">
        <v>-500</v>
      </c>
      <c r="D180" s="10">
        <f t="shared" si="5"/>
        <v>11070</v>
      </c>
    </row>
    <row r="181" spans="1:4" x14ac:dyDescent="0.25">
      <c r="A181" s="8">
        <v>46174</v>
      </c>
      <c r="B181" s="9" t="s">
        <v>127</v>
      </c>
      <c r="C181" s="10">
        <v>-800</v>
      </c>
      <c r="D181" s="10">
        <f t="shared" si="5"/>
        <v>10270</v>
      </c>
    </row>
    <row r="182" spans="1:4" x14ac:dyDescent="0.25">
      <c r="A182" s="8">
        <v>46175</v>
      </c>
      <c r="B182" s="9" t="s">
        <v>127</v>
      </c>
      <c r="C182" s="10">
        <v>-1170</v>
      </c>
      <c r="D182" s="10">
        <f t="shared" si="5"/>
        <v>9100</v>
      </c>
    </row>
    <row r="183" spans="1:4" x14ac:dyDescent="0.25">
      <c r="A183" s="8">
        <v>46176</v>
      </c>
      <c r="B183" s="9" t="s">
        <v>127</v>
      </c>
      <c r="C183" s="10">
        <v>-2280</v>
      </c>
      <c r="D183" s="10">
        <f t="shared" si="5"/>
        <v>6820</v>
      </c>
    </row>
    <row r="184" spans="1:4" x14ac:dyDescent="0.25">
      <c r="A184" s="8">
        <v>46176</v>
      </c>
      <c r="B184" s="9" t="s">
        <v>127</v>
      </c>
      <c r="C184" s="10">
        <v>-2310</v>
      </c>
      <c r="D184" s="10">
        <f t="shared" si="5"/>
        <v>4510</v>
      </c>
    </row>
    <row r="185" spans="1:4" x14ac:dyDescent="0.25">
      <c r="A185" s="8">
        <v>46174</v>
      </c>
      <c r="B185" s="9" t="s">
        <v>3</v>
      </c>
      <c r="C185" s="10">
        <v>1730</v>
      </c>
      <c r="D185" s="10">
        <f t="shared" si="5"/>
        <v>6240</v>
      </c>
    </row>
    <row r="186" spans="1:4" x14ac:dyDescent="0.25">
      <c r="A186" s="8">
        <v>46177</v>
      </c>
      <c r="B186" s="9" t="s">
        <v>3</v>
      </c>
      <c r="C186" s="10">
        <v>3905</v>
      </c>
      <c r="D186" s="10">
        <f>D185+C186</f>
        <v>10145</v>
      </c>
    </row>
    <row r="187" spans="1:4" x14ac:dyDescent="0.25">
      <c r="A187" s="8">
        <v>46178</v>
      </c>
      <c r="B187" s="9" t="s">
        <v>127</v>
      </c>
      <c r="C187" s="10">
        <v>-1500</v>
      </c>
      <c r="D187" s="10">
        <f t="shared" si="5"/>
        <v>8645</v>
      </c>
    </row>
    <row r="188" spans="1:4" x14ac:dyDescent="0.25">
      <c r="A188" s="8">
        <v>46181</v>
      </c>
      <c r="B188" s="9" t="s">
        <v>3</v>
      </c>
      <c r="C188" s="10">
        <v>1480</v>
      </c>
      <c r="D188" s="10">
        <f t="shared" si="5"/>
        <v>10125</v>
      </c>
    </row>
    <row r="189" spans="1:4" x14ac:dyDescent="0.25">
      <c r="A189" s="8">
        <v>46184</v>
      </c>
      <c r="B189" s="9" t="s">
        <v>3</v>
      </c>
      <c r="C189" s="10">
        <v>1020</v>
      </c>
      <c r="D189" s="10">
        <f t="shared" si="5"/>
        <v>11145</v>
      </c>
    </row>
    <row r="190" spans="1:4" x14ac:dyDescent="0.25">
      <c r="A190" s="8">
        <v>46188</v>
      </c>
      <c r="B190" s="9" t="s">
        <v>3</v>
      </c>
      <c r="C190" s="10">
        <v>1830</v>
      </c>
      <c r="D190" s="10">
        <f t="shared" si="5"/>
        <v>12975</v>
      </c>
    </row>
    <row r="191" spans="1:4" x14ac:dyDescent="0.25">
      <c r="A191" s="8">
        <v>46189</v>
      </c>
      <c r="B191" s="9" t="s">
        <v>127</v>
      </c>
      <c r="C191" s="10">
        <v>-1000</v>
      </c>
      <c r="D191" s="10">
        <f t="shared" si="5"/>
        <v>11975</v>
      </c>
    </row>
    <row r="192" spans="1:4" x14ac:dyDescent="0.25">
      <c r="A192" s="8">
        <v>46191</v>
      </c>
      <c r="B192" s="9" t="s">
        <v>3</v>
      </c>
      <c r="C192" s="10">
        <v>490</v>
      </c>
      <c r="D192" s="10">
        <f t="shared" si="5"/>
        <v>12465</v>
      </c>
    </row>
    <row r="193" spans="1:5" x14ac:dyDescent="0.25">
      <c r="A193" s="8">
        <v>46192</v>
      </c>
      <c r="B193" s="9" t="s">
        <v>127</v>
      </c>
      <c r="C193" s="10">
        <v>-905</v>
      </c>
      <c r="D193" s="10">
        <f t="shared" si="5"/>
        <v>11560</v>
      </c>
    </row>
    <row r="194" spans="1:5" x14ac:dyDescent="0.25">
      <c r="A194" s="8">
        <v>46192</v>
      </c>
      <c r="B194" s="9" t="s">
        <v>127</v>
      </c>
      <c r="C194" s="10">
        <v>-560</v>
      </c>
      <c r="D194" s="10">
        <f t="shared" si="5"/>
        <v>11000</v>
      </c>
    </row>
    <row r="195" spans="1:5" x14ac:dyDescent="0.25">
      <c r="A195" s="8">
        <v>46192</v>
      </c>
      <c r="B195" s="9" t="s">
        <v>127</v>
      </c>
      <c r="C195" s="10">
        <v>-640</v>
      </c>
      <c r="D195" s="10">
        <f t="shared" si="5"/>
        <v>10360</v>
      </c>
    </row>
    <row r="196" spans="1:5" x14ac:dyDescent="0.25">
      <c r="A196" s="8">
        <v>46192</v>
      </c>
      <c r="B196" s="9" t="s">
        <v>127</v>
      </c>
      <c r="C196" s="10">
        <v>-1730</v>
      </c>
      <c r="D196" s="10">
        <f t="shared" si="5"/>
        <v>8630</v>
      </c>
    </row>
    <row r="197" spans="1:5" x14ac:dyDescent="0.25">
      <c r="A197" s="8">
        <v>46192</v>
      </c>
      <c r="B197" s="9" t="s">
        <v>127</v>
      </c>
      <c r="C197" s="10">
        <v>-800</v>
      </c>
      <c r="D197" s="10">
        <f t="shared" si="5"/>
        <v>7830</v>
      </c>
    </row>
    <row r="198" spans="1:5" x14ac:dyDescent="0.25">
      <c r="A198" s="8">
        <v>46195</v>
      </c>
      <c r="B198" s="9" t="s">
        <v>3</v>
      </c>
      <c r="C198" s="10">
        <v>1610</v>
      </c>
      <c r="D198" s="10">
        <f t="shared" si="5"/>
        <v>9440</v>
      </c>
    </row>
    <row r="199" spans="1:5" x14ac:dyDescent="0.25">
      <c r="A199" s="8">
        <v>46197</v>
      </c>
      <c r="B199" s="9" t="s">
        <v>472</v>
      </c>
      <c r="C199" s="10">
        <v>-2000</v>
      </c>
      <c r="D199" s="10">
        <f t="shared" si="5"/>
        <v>7440</v>
      </c>
      <c r="E199" t="s">
        <v>473</v>
      </c>
    </row>
    <row r="200" spans="1:5" x14ac:dyDescent="0.25">
      <c r="A200" s="8">
        <v>46198</v>
      </c>
      <c r="B200" s="9" t="s">
        <v>3</v>
      </c>
      <c r="C200" s="10">
        <v>1500</v>
      </c>
      <c r="D200" s="10">
        <f t="shared" si="5"/>
        <v>8940</v>
      </c>
    </row>
    <row r="201" spans="1:5" x14ac:dyDescent="0.25">
      <c r="A201" s="8">
        <v>46202</v>
      </c>
      <c r="B201" s="9" t="s">
        <v>3</v>
      </c>
      <c r="C201" s="10">
        <f>700+700+140+80+100</f>
        <v>1720</v>
      </c>
      <c r="D201" s="10">
        <f t="shared" si="5"/>
        <v>10660</v>
      </c>
      <c r="E201" s="6"/>
    </row>
    <row r="202" spans="1:5" x14ac:dyDescent="0.25">
      <c r="A202" s="8">
        <v>46204</v>
      </c>
      <c r="B202" s="9" t="s">
        <v>489</v>
      </c>
      <c r="C202" s="10">
        <v>-1000</v>
      </c>
      <c r="D202" s="10">
        <f t="shared" si="5"/>
        <v>9660</v>
      </c>
    </row>
    <row r="203" spans="1:5" x14ac:dyDescent="0.25">
      <c r="A203" s="8">
        <v>46204</v>
      </c>
      <c r="B203" s="9" t="s">
        <v>476</v>
      </c>
      <c r="C203" s="10">
        <v>-1480</v>
      </c>
      <c r="D203" s="10">
        <f t="shared" si="5"/>
        <v>8180</v>
      </c>
    </row>
    <row r="204" spans="1:5" x14ac:dyDescent="0.25">
      <c r="A204" s="8">
        <v>46205</v>
      </c>
      <c r="B204" s="9" t="s">
        <v>97</v>
      </c>
      <c r="C204" s="10">
        <v>1810</v>
      </c>
      <c r="D204" s="10">
        <f t="shared" si="5"/>
        <v>9990</v>
      </c>
    </row>
    <row r="205" spans="1:5" x14ac:dyDescent="0.25">
      <c r="A205" s="8">
        <v>46206</v>
      </c>
      <c r="B205" s="9" t="s">
        <v>482</v>
      </c>
      <c r="C205" s="10">
        <v>-1430</v>
      </c>
      <c r="D205" s="10">
        <f t="shared" si="5"/>
        <v>8560</v>
      </c>
    </row>
    <row r="206" spans="1:5" x14ac:dyDescent="0.25">
      <c r="A206" s="8">
        <v>46206</v>
      </c>
      <c r="B206" s="9" t="s">
        <v>494</v>
      </c>
      <c r="C206" s="10">
        <v>-450</v>
      </c>
      <c r="D206" s="10">
        <f t="shared" si="5"/>
        <v>8110</v>
      </c>
    </row>
    <row r="207" spans="1:5" x14ac:dyDescent="0.25">
      <c r="A207" s="8">
        <v>46209</v>
      </c>
      <c r="B207" s="9" t="s">
        <v>3</v>
      </c>
      <c r="C207" s="10">
        <f>700+600+180+80+260</f>
        <v>1820</v>
      </c>
      <c r="D207" s="10">
        <f t="shared" si="5"/>
        <v>9930</v>
      </c>
    </row>
    <row r="208" spans="1:5" x14ac:dyDescent="0.25">
      <c r="A208" s="8">
        <v>46216</v>
      </c>
      <c r="B208" s="9" t="s">
        <v>3</v>
      </c>
      <c r="C208" s="10">
        <v>2100</v>
      </c>
      <c r="D208" s="10">
        <f t="shared" si="5"/>
        <v>12030</v>
      </c>
    </row>
    <row r="209" spans="1:4" x14ac:dyDescent="0.25">
      <c r="A209" s="8">
        <v>46216</v>
      </c>
      <c r="B209" s="9" t="s">
        <v>127</v>
      </c>
      <c r="C209" s="10">
        <v>-1610</v>
      </c>
      <c r="D209" s="10">
        <f t="shared" si="5"/>
        <v>10420</v>
      </c>
    </row>
    <row r="210" spans="1:4" x14ac:dyDescent="0.25">
      <c r="A210" s="8">
        <v>46219</v>
      </c>
      <c r="B210" s="9" t="s">
        <v>227</v>
      </c>
      <c r="C210" s="10">
        <v>-1500</v>
      </c>
      <c r="D210" s="10">
        <f t="shared" si="5"/>
        <v>8920</v>
      </c>
    </row>
    <row r="211" spans="1:4" x14ac:dyDescent="0.25">
      <c r="A211" s="8">
        <v>46219</v>
      </c>
      <c r="B211" s="9" t="s">
        <v>3</v>
      </c>
      <c r="C211" s="10">
        <v>1270</v>
      </c>
      <c r="D211" s="10">
        <f t="shared" si="5"/>
        <v>10190</v>
      </c>
    </row>
    <row r="212" spans="1:4" x14ac:dyDescent="0.25">
      <c r="A212" s="8">
        <v>46223</v>
      </c>
      <c r="B212" s="9" t="s">
        <v>227</v>
      </c>
      <c r="C212" s="10">
        <v>-800</v>
      </c>
      <c r="D212" s="10">
        <f t="shared" si="5"/>
        <v>9390</v>
      </c>
    </row>
    <row r="213" spans="1:4" x14ac:dyDescent="0.25">
      <c r="A213" s="8">
        <v>46226</v>
      </c>
      <c r="B213" s="9" t="s">
        <v>3</v>
      </c>
      <c r="C213" s="10">
        <v>1500</v>
      </c>
      <c r="D213" s="10">
        <f t="shared" si="5"/>
        <v>10890</v>
      </c>
    </row>
    <row r="214" spans="1:4" x14ac:dyDescent="0.25">
      <c r="A214" s="8">
        <v>46233</v>
      </c>
      <c r="B214" s="9" t="s">
        <v>3</v>
      </c>
      <c r="C214" s="10">
        <v>2040</v>
      </c>
      <c r="D214" s="10">
        <f t="shared" si="5"/>
        <v>12930</v>
      </c>
    </row>
    <row r="215" spans="1:4" x14ac:dyDescent="0.25">
      <c r="A215" s="8">
        <v>46236</v>
      </c>
      <c r="B215" s="9" t="s">
        <v>538</v>
      </c>
      <c r="C215" s="10">
        <v>-710</v>
      </c>
      <c r="D215" s="10">
        <f t="shared" si="5"/>
        <v>12220</v>
      </c>
    </row>
    <row r="216" spans="1:4" x14ac:dyDescent="0.25">
      <c r="A216" s="8">
        <v>46236</v>
      </c>
      <c r="B216" s="9" t="s">
        <v>539</v>
      </c>
      <c r="C216" s="10">
        <v>-1100</v>
      </c>
      <c r="D216" s="10">
        <f t="shared" si="5"/>
        <v>11120</v>
      </c>
    </row>
    <row r="217" spans="1:4" x14ac:dyDescent="0.25">
      <c r="A217" s="8">
        <v>46237</v>
      </c>
      <c r="B217" s="9" t="s">
        <v>3</v>
      </c>
      <c r="C217" s="10">
        <v>-1540</v>
      </c>
      <c r="D217" s="10">
        <f t="shared" si="5"/>
        <v>9580</v>
      </c>
    </row>
    <row r="218" spans="1:4" x14ac:dyDescent="0.25">
      <c r="A218" s="8">
        <v>46237</v>
      </c>
      <c r="B218" s="9" t="s">
        <v>127</v>
      </c>
      <c r="C218" s="10">
        <v>-920</v>
      </c>
      <c r="D218" s="10">
        <f t="shared" si="5"/>
        <v>8660</v>
      </c>
    </row>
    <row r="219" spans="1:4" x14ac:dyDescent="0.25">
      <c r="A219" s="8">
        <v>46238</v>
      </c>
      <c r="B219" s="9" t="s">
        <v>542</v>
      </c>
      <c r="C219" s="10">
        <v>-1600</v>
      </c>
      <c r="D219" s="10">
        <f t="shared" si="5"/>
        <v>7060</v>
      </c>
    </row>
    <row r="220" spans="1:4" x14ac:dyDescent="0.25">
      <c r="A220" s="8">
        <v>46239</v>
      </c>
      <c r="B220" s="9" t="s">
        <v>127</v>
      </c>
      <c r="C220" s="10">
        <v>-1000</v>
      </c>
      <c r="D220" s="10">
        <f t="shared" si="5"/>
        <v>6060</v>
      </c>
    </row>
    <row r="221" spans="1:4" x14ac:dyDescent="0.25">
      <c r="A221" s="8">
        <v>46240</v>
      </c>
      <c r="B221" s="9" t="s">
        <v>3</v>
      </c>
      <c r="C221" s="10">
        <v>1790</v>
      </c>
      <c r="D221" s="10">
        <f t="shared" ref="D221:D224" si="6">D220+C221</f>
        <v>7850</v>
      </c>
    </row>
    <row r="222" spans="1:4" x14ac:dyDescent="0.25">
      <c r="A222" s="8">
        <v>46244</v>
      </c>
      <c r="B222" s="9" t="s">
        <v>3</v>
      </c>
      <c r="C222" s="10">
        <v>1240</v>
      </c>
      <c r="D222" s="10">
        <f t="shared" si="6"/>
        <v>9090</v>
      </c>
    </row>
    <row r="223" spans="1:4" x14ac:dyDescent="0.25">
      <c r="A223" s="8">
        <v>46243</v>
      </c>
      <c r="B223" s="9" t="s">
        <v>127</v>
      </c>
      <c r="C223" s="10">
        <v>-1000</v>
      </c>
      <c r="D223" s="10">
        <f t="shared" si="6"/>
        <v>8090</v>
      </c>
    </row>
    <row r="224" spans="1:4" x14ac:dyDescent="0.25">
      <c r="A224" s="8">
        <v>46241</v>
      </c>
      <c r="B224" s="9" t="s">
        <v>548</v>
      </c>
      <c r="C224" s="10">
        <v>-220</v>
      </c>
      <c r="D224" s="10">
        <f t="shared" si="6"/>
        <v>7870</v>
      </c>
    </row>
    <row r="225" spans="1:4" x14ac:dyDescent="0.25">
      <c r="A225" s="8">
        <v>46251</v>
      </c>
      <c r="B225" s="9" t="s">
        <v>3</v>
      </c>
      <c r="C225" s="10">
        <v>2140</v>
      </c>
      <c r="D225" s="10">
        <f t="shared" ref="D225:D239" si="7">D224+C225</f>
        <v>10010</v>
      </c>
    </row>
    <row r="226" spans="1:4" x14ac:dyDescent="0.25">
      <c r="A226" s="8">
        <v>46251</v>
      </c>
      <c r="B226" s="9" t="s">
        <v>261</v>
      </c>
      <c r="C226" s="10">
        <v>-1270</v>
      </c>
      <c r="D226" s="10">
        <f t="shared" si="7"/>
        <v>8740</v>
      </c>
    </row>
    <row r="227" spans="1:4" x14ac:dyDescent="0.25">
      <c r="A227" s="8">
        <v>46254</v>
      </c>
      <c r="B227" s="9" t="s">
        <v>3</v>
      </c>
      <c r="C227" s="10">
        <v>1500</v>
      </c>
      <c r="D227" s="10">
        <f t="shared" si="7"/>
        <v>10240</v>
      </c>
    </row>
    <row r="228" spans="1:4" x14ac:dyDescent="0.25">
      <c r="A228" s="8">
        <v>46258</v>
      </c>
      <c r="B228" s="9" t="s">
        <v>3</v>
      </c>
      <c r="C228" s="10">
        <v>860</v>
      </c>
      <c r="D228" s="10">
        <f t="shared" si="7"/>
        <v>11100</v>
      </c>
    </row>
    <row r="229" spans="1:4" x14ac:dyDescent="0.25">
      <c r="A229" s="8">
        <v>46260</v>
      </c>
      <c r="B229" s="9" t="s">
        <v>178</v>
      </c>
      <c r="C229" s="10">
        <v>-1500</v>
      </c>
      <c r="D229" s="10">
        <f t="shared" si="7"/>
        <v>9600</v>
      </c>
    </row>
    <row r="230" spans="1:4" x14ac:dyDescent="0.25">
      <c r="A230" s="8">
        <v>46261</v>
      </c>
      <c r="B230" s="9" t="s">
        <v>3</v>
      </c>
      <c r="C230" s="10">
        <v>1050</v>
      </c>
      <c r="D230" s="10">
        <f t="shared" si="7"/>
        <v>10650</v>
      </c>
    </row>
    <row r="231" spans="1:4" x14ac:dyDescent="0.25">
      <c r="A231" s="8">
        <v>46265</v>
      </c>
      <c r="B231" s="9" t="s">
        <v>3</v>
      </c>
      <c r="C231" s="10">
        <v>1320</v>
      </c>
      <c r="D231" s="10">
        <f t="shared" si="7"/>
        <v>11970</v>
      </c>
    </row>
    <row r="232" spans="1:4" x14ac:dyDescent="0.25">
      <c r="A232" s="8">
        <v>46265</v>
      </c>
      <c r="B232" s="9" t="s">
        <v>539</v>
      </c>
      <c r="C232" s="10">
        <v>-1540</v>
      </c>
      <c r="D232" s="10">
        <f t="shared" si="7"/>
        <v>10430</v>
      </c>
    </row>
    <row r="233" spans="1:4" x14ac:dyDescent="0.25">
      <c r="A233" s="8">
        <v>46267</v>
      </c>
      <c r="B233" s="9" t="s">
        <v>127</v>
      </c>
      <c r="C233" s="10">
        <v>-1040</v>
      </c>
      <c r="D233" s="10">
        <f t="shared" si="7"/>
        <v>9390</v>
      </c>
    </row>
    <row r="234" spans="1:4" x14ac:dyDescent="0.25">
      <c r="A234" s="8">
        <v>46267</v>
      </c>
      <c r="B234" s="9" t="s">
        <v>127</v>
      </c>
      <c r="C234" s="10">
        <v>-1000</v>
      </c>
      <c r="D234" s="10">
        <f t="shared" si="7"/>
        <v>8390</v>
      </c>
    </row>
    <row r="235" spans="1:4" x14ac:dyDescent="0.25">
      <c r="A235" s="8">
        <v>46268</v>
      </c>
      <c r="B235" s="9" t="s">
        <v>3</v>
      </c>
      <c r="C235" s="10">
        <v>1020</v>
      </c>
      <c r="D235" s="10">
        <f t="shared" si="7"/>
        <v>9410</v>
      </c>
    </row>
    <row r="236" spans="1:4" x14ac:dyDescent="0.25">
      <c r="A236" s="8">
        <v>46272</v>
      </c>
      <c r="B236" s="9" t="s">
        <v>3</v>
      </c>
      <c r="C236" s="10">
        <v>1280</v>
      </c>
      <c r="D236" s="10">
        <f t="shared" si="7"/>
        <v>10690</v>
      </c>
    </row>
    <row r="237" spans="1:4" x14ac:dyDescent="0.25">
      <c r="A237" s="8">
        <v>46276</v>
      </c>
      <c r="B237" s="9" t="s">
        <v>587</v>
      </c>
      <c r="C237" s="10">
        <v>-1240</v>
      </c>
      <c r="D237" s="10">
        <f t="shared" si="7"/>
        <v>9450</v>
      </c>
    </row>
    <row r="238" spans="1:4" x14ac:dyDescent="0.25">
      <c r="A238" s="8">
        <v>46276</v>
      </c>
      <c r="B238" s="9" t="s">
        <v>586</v>
      </c>
      <c r="C238" s="10">
        <v>-1790</v>
      </c>
      <c r="D238" s="10">
        <f t="shared" si="7"/>
        <v>7660</v>
      </c>
    </row>
    <row r="239" spans="1:4" x14ac:dyDescent="0.25">
      <c r="A239" s="8">
        <v>46279</v>
      </c>
      <c r="B239" s="9" t="s">
        <v>3</v>
      </c>
      <c r="C239" s="10">
        <v>2135</v>
      </c>
      <c r="D239" s="10">
        <f t="shared" si="7"/>
        <v>9795</v>
      </c>
    </row>
    <row r="240" spans="1:4" x14ac:dyDescent="0.25">
      <c r="A240" s="8">
        <v>46282</v>
      </c>
      <c r="B240" s="9" t="s">
        <v>3</v>
      </c>
      <c r="C240" s="10">
        <v>4640</v>
      </c>
      <c r="D240" s="10">
        <f t="shared" ref="D240:D258" si="8">D239+C240</f>
        <v>14435</v>
      </c>
    </row>
    <row r="241" spans="1:4" x14ac:dyDescent="0.25">
      <c r="A241" s="8">
        <v>46282</v>
      </c>
      <c r="B241" s="9" t="s">
        <v>189</v>
      </c>
      <c r="C241" s="10">
        <v>-1500</v>
      </c>
      <c r="D241" s="10">
        <f t="shared" si="8"/>
        <v>12935</v>
      </c>
    </row>
    <row r="242" spans="1:4" x14ac:dyDescent="0.25">
      <c r="A242" s="8">
        <v>46286</v>
      </c>
      <c r="B242" s="9" t="s">
        <v>3</v>
      </c>
      <c r="C242" s="10">
        <v>3130</v>
      </c>
      <c r="D242" s="10">
        <f t="shared" si="8"/>
        <v>16065</v>
      </c>
    </row>
    <row r="243" spans="1:4" x14ac:dyDescent="0.25">
      <c r="A243" s="8">
        <v>46286</v>
      </c>
      <c r="B243" s="9" t="s">
        <v>127</v>
      </c>
      <c r="C243" s="10">
        <v>-4640</v>
      </c>
      <c r="D243" s="10">
        <f t="shared" si="8"/>
        <v>11425</v>
      </c>
    </row>
    <row r="244" spans="1:4" x14ac:dyDescent="0.25">
      <c r="A244" s="8">
        <v>46287</v>
      </c>
      <c r="B244" s="9" t="s">
        <v>595</v>
      </c>
      <c r="C244" s="10">
        <v>-640</v>
      </c>
      <c r="D244" s="10">
        <f t="shared" si="8"/>
        <v>10785</v>
      </c>
    </row>
    <row r="245" spans="1:4" x14ac:dyDescent="0.25">
      <c r="A245" s="8">
        <v>46287</v>
      </c>
      <c r="B245" s="9" t="s">
        <v>227</v>
      </c>
      <c r="C245" s="10">
        <v>-1500</v>
      </c>
      <c r="D245" s="10">
        <f t="shared" si="8"/>
        <v>9285</v>
      </c>
    </row>
    <row r="246" spans="1:4" x14ac:dyDescent="0.25">
      <c r="A246" s="8">
        <v>46287</v>
      </c>
      <c r="B246" s="9" t="s">
        <v>227</v>
      </c>
      <c r="C246" s="10">
        <v>-860</v>
      </c>
      <c r="D246" s="10">
        <f t="shared" si="8"/>
        <v>8425</v>
      </c>
    </row>
    <row r="247" spans="1:4" x14ac:dyDescent="0.25">
      <c r="A247" s="8">
        <v>46287</v>
      </c>
      <c r="B247" s="9" t="s">
        <v>227</v>
      </c>
      <c r="C247" s="10">
        <v>-1050</v>
      </c>
      <c r="D247" s="10">
        <f t="shared" si="8"/>
        <v>7375</v>
      </c>
    </row>
    <row r="248" spans="1:4" x14ac:dyDescent="0.25">
      <c r="A248" s="8">
        <v>46288</v>
      </c>
      <c r="B248" s="9" t="s">
        <v>127</v>
      </c>
      <c r="C248" s="10">
        <v>-1320</v>
      </c>
      <c r="D248" s="10">
        <f t="shared" si="8"/>
        <v>6055</v>
      </c>
    </row>
    <row r="249" spans="1:4" x14ac:dyDescent="0.25">
      <c r="A249" s="8">
        <v>46288</v>
      </c>
      <c r="B249" s="9" t="s">
        <v>227</v>
      </c>
      <c r="C249" s="10">
        <v>-1020</v>
      </c>
      <c r="D249" s="10">
        <f t="shared" si="8"/>
        <v>5035</v>
      </c>
    </row>
    <row r="250" spans="1:4" x14ac:dyDescent="0.25">
      <c r="A250" s="8">
        <v>46288</v>
      </c>
      <c r="B250" s="9" t="s">
        <v>227</v>
      </c>
      <c r="C250" s="10">
        <v>-1280</v>
      </c>
      <c r="D250" s="10">
        <f t="shared" si="8"/>
        <v>3755</v>
      </c>
    </row>
    <row r="251" spans="1:4" x14ac:dyDescent="0.25">
      <c r="A251" s="8">
        <v>46289</v>
      </c>
      <c r="B251" s="9" t="s">
        <v>3</v>
      </c>
      <c r="C251" s="10">
        <v>1930</v>
      </c>
      <c r="D251" s="10">
        <f t="shared" si="8"/>
        <v>5685</v>
      </c>
    </row>
    <row r="252" spans="1:4" x14ac:dyDescent="0.25">
      <c r="A252" s="8">
        <v>46293</v>
      </c>
      <c r="B252" s="9" t="s">
        <v>3</v>
      </c>
      <c r="C252" s="10">
        <v>2470</v>
      </c>
      <c r="D252" s="10">
        <f t="shared" si="8"/>
        <v>8155</v>
      </c>
    </row>
    <row r="253" spans="1:4" x14ac:dyDescent="0.25">
      <c r="A253" s="8">
        <v>46295</v>
      </c>
      <c r="B253" s="9" t="s">
        <v>227</v>
      </c>
      <c r="C253" s="10">
        <v>-3735</v>
      </c>
      <c r="D253" s="10">
        <f t="shared" si="8"/>
        <v>4420</v>
      </c>
    </row>
    <row r="254" spans="1:4" x14ac:dyDescent="0.25">
      <c r="A254" s="8">
        <v>46295</v>
      </c>
      <c r="B254" s="9" t="s">
        <v>230</v>
      </c>
      <c r="C254" s="10">
        <v>-530</v>
      </c>
      <c r="D254" s="10">
        <f t="shared" si="8"/>
        <v>3890</v>
      </c>
    </row>
    <row r="255" spans="1:4" x14ac:dyDescent="0.25">
      <c r="A255" s="8">
        <v>46296</v>
      </c>
      <c r="B255" s="9" t="s">
        <v>3</v>
      </c>
      <c r="C255" s="10">
        <v>2160</v>
      </c>
      <c r="D255" s="10">
        <f t="shared" si="8"/>
        <v>6050</v>
      </c>
    </row>
    <row r="256" spans="1:4" x14ac:dyDescent="0.25">
      <c r="A256" s="8">
        <v>46300</v>
      </c>
      <c r="B256" s="9" t="s">
        <v>589</v>
      </c>
      <c r="C256" s="10">
        <v>840</v>
      </c>
      <c r="D256" s="10">
        <f t="shared" si="8"/>
        <v>6890</v>
      </c>
    </row>
    <row r="257" spans="1:4" x14ac:dyDescent="0.25">
      <c r="A257" s="8"/>
      <c r="B257" s="9"/>
      <c r="C257" s="10"/>
      <c r="D257" s="10">
        <f t="shared" si="8"/>
        <v>6890</v>
      </c>
    </row>
    <row r="258" spans="1:4" x14ac:dyDescent="0.25">
      <c r="A258" s="9"/>
      <c r="B258" s="9"/>
      <c r="C258" s="10"/>
      <c r="D258" s="10">
        <f t="shared" si="8"/>
        <v>6890</v>
      </c>
    </row>
  </sheetData>
  <mergeCells count="2">
    <mergeCell ref="A4:D4"/>
    <mergeCell ref="B6:D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EDD85-5D05-4EBC-92B8-95046276C70A}">
  <sheetPr>
    <tabColor rgb="FFC00000"/>
  </sheetPr>
  <dimension ref="A4:E305"/>
  <sheetViews>
    <sheetView topLeftCell="A260" workbookViewId="0">
      <selection activeCell="G286" sqref="G286"/>
    </sheetView>
  </sheetViews>
  <sheetFormatPr baseColWidth="10" defaultRowHeight="15" x14ac:dyDescent="0.25"/>
  <cols>
    <col min="1" max="1" width="28.28515625" customWidth="1"/>
    <col min="2" max="2" width="27.140625" customWidth="1"/>
    <col min="3" max="3" width="33.85546875" style="6" customWidth="1"/>
    <col min="4" max="4" width="38.28515625" style="6" customWidth="1"/>
  </cols>
  <sheetData>
    <row r="4" spans="1:4" ht="18" x14ac:dyDescent="0.25">
      <c r="A4" s="98" t="s">
        <v>0</v>
      </c>
      <c r="B4" s="98"/>
      <c r="C4" s="98"/>
      <c r="D4" s="98"/>
    </row>
    <row r="6" spans="1:4" x14ac:dyDescent="0.25">
      <c r="A6" s="2" t="s">
        <v>1</v>
      </c>
      <c r="B6" s="96" t="s">
        <v>24</v>
      </c>
      <c r="C6" s="97"/>
      <c r="D6" s="97"/>
    </row>
    <row r="7" spans="1:4" x14ac:dyDescent="0.25">
      <c r="A7" s="3" t="s">
        <v>11</v>
      </c>
      <c r="B7" s="4" t="s">
        <v>18</v>
      </c>
      <c r="C7" s="4"/>
      <c r="D7" s="4"/>
    </row>
    <row r="8" spans="1:4" x14ac:dyDescent="0.25">
      <c r="B8" s="5"/>
    </row>
    <row r="9" spans="1:4" x14ac:dyDescent="0.25">
      <c r="A9" s="2" t="s">
        <v>2</v>
      </c>
      <c r="B9" s="2" t="s">
        <v>3</v>
      </c>
      <c r="C9" s="7" t="s">
        <v>4</v>
      </c>
      <c r="D9" s="7" t="s">
        <v>5</v>
      </c>
    </row>
    <row r="10" spans="1:4" x14ac:dyDescent="0.25">
      <c r="A10" s="8">
        <v>45834</v>
      </c>
      <c r="B10" s="9" t="s">
        <v>6</v>
      </c>
      <c r="C10" s="10">
        <v>4540</v>
      </c>
      <c r="D10" s="10">
        <f>C10</f>
        <v>4540</v>
      </c>
    </row>
    <row r="11" spans="1:4" x14ac:dyDescent="0.25">
      <c r="A11" s="8">
        <v>45838</v>
      </c>
      <c r="B11" s="9" t="s">
        <v>6</v>
      </c>
      <c r="C11" s="10">
        <v>2380</v>
      </c>
      <c r="D11" s="10">
        <f>D10+C11</f>
        <v>6920</v>
      </c>
    </row>
    <row r="12" spans="1:4" x14ac:dyDescent="0.25">
      <c r="A12" s="8">
        <v>45838</v>
      </c>
      <c r="B12" s="9" t="s">
        <v>7</v>
      </c>
      <c r="C12" s="10">
        <v>-3000</v>
      </c>
      <c r="D12" s="10">
        <f t="shared" ref="D12:D31" si="0">D11+C12</f>
        <v>3920</v>
      </c>
    </row>
    <row r="13" spans="1:4" x14ac:dyDescent="0.25">
      <c r="A13" s="8">
        <v>45841</v>
      </c>
      <c r="B13" s="9" t="s">
        <v>6</v>
      </c>
      <c r="C13" s="10">
        <v>2600</v>
      </c>
      <c r="D13" s="10">
        <f t="shared" si="0"/>
        <v>6520</v>
      </c>
    </row>
    <row r="14" spans="1:4" x14ac:dyDescent="0.25">
      <c r="A14" s="8">
        <v>45841</v>
      </c>
      <c r="B14" s="9" t="s">
        <v>46</v>
      </c>
      <c r="C14" s="10">
        <v>-2500</v>
      </c>
      <c r="D14" s="10">
        <f t="shared" si="0"/>
        <v>4020</v>
      </c>
    </row>
    <row r="15" spans="1:4" x14ac:dyDescent="0.25">
      <c r="A15" s="8">
        <v>45842</v>
      </c>
      <c r="B15" s="9" t="s">
        <v>6</v>
      </c>
      <c r="C15" s="10">
        <v>2720</v>
      </c>
      <c r="D15" s="11">
        <f t="shared" si="0"/>
        <v>6740</v>
      </c>
    </row>
    <row r="16" spans="1:4" x14ac:dyDescent="0.25">
      <c r="A16" s="8">
        <v>45845</v>
      </c>
      <c r="B16" s="9" t="s">
        <v>7</v>
      </c>
      <c r="C16" s="10">
        <v>-3000</v>
      </c>
      <c r="D16" s="10">
        <f t="shared" si="0"/>
        <v>3740</v>
      </c>
    </row>
    <row r="17" spans="1:4" x14ac:dyDescent="0.25">
      <c r="A17" s="8">
        <v>45845</v>
      </c>
      <c r="B17" s="9" t="s">
        <v>6</v>
      </c>
      <c r="C17" s="10">
        <v>2490</v>
      </c>
      <c r="D17" s="10">
        <f t="shared" si="0"/>
        <v>6230</v>
      </c>
    </row>
    <row r="18" spans="1:4" x14ac:dyDescent="0.25">
      <c r="A18" s="8">
        <v>45852</v>
      </c>
      <c r="B18" s="9" t="s">
        <v>46</v>
      </c>
      <c r="C18" s="10">
        <v>-2000</v>
      </c>
      <c r="D18" s="10">
        <f t="shared" si="0"/>
        <v>4230</v>
      </c>
    </row>
    <row r="19" spans="1:4" x14ac:dyDescent="0.25">
      <c r="A19" s="8">
        <v>45852</v>
      </c>
      <c r="B19" s="9" t="s">
        <v>6</v>
      </c>
      <c r="C19" s="10">
        <v>2480</v>
      </c>
      <c r="D19" s="10">
        <f t="shared" si="0"/>
        <v>6710</v>
      </c>
    </row>
    <row r="20" spans="1:4" x14ac:dyDescent="0.25">
      <c r="A20" s="8">
        <v>45855</v>
      </c>
      <c r="B20" s="9" t="s">
        <v>46</v>
      </c>
      <c r="C20" s="10">
        <v>-2000</v>
      </c>
      <c r="D20" s="10">
        <f t="shared" si="0"/>
        <v>4710</v>
      </c>
    </row>
    <row r="21" spans="1:4" x14ac:dyDescent="0.25">
      <c r="A21" s="8">
        <v>45855</v>
      </c>
      <c r="B21" s="9" t="s">
        <v>6</v>
      </c>
      <c r="C21" s="10">
        <v>2980</v>
      </c>
      <c r="D21" s="10">
        <f t="shared" si="0"/>
        <v>7690</v>
      </c>
    </row>
    <row r="22" spans="1:4" x14ac:dyDescent="0.25">
      <c r="A22" s="8">
        <v>45859</v>
      </c>
      <c r="B22" s="9" t="s">
        <v>6</v>
      </c>
      <c r="C22" s="10">
        <v>2920</v>
      </c>
      <c r="D22" s="10">
        <f t="shared" si="0"/>
        <v>10610</v>
      </c>
    </row>
    <row r="23" spans="1:4" x14ac:dyDescent="0.25">
      <c r="A23" s="8">
        <v>45859</v>
      </c>
      <c r="B23" s="9" t="s">
        <v>7</v>
      </c>
      <c r="C23" s="10">
        <v>-5000</v>
      </c>
      <c r="D23" s="10">
        <f t="shared" si="0"/>
        <v>5610</v>
      </c>
    </row>
    <row r="24" spans="1:4" x14ac:dyDescent="0.25">
      <c r="A24" s="8">
        <v>45862</v>
      </c>
      <c r="B24" s="9" t="s">
        <v>6</v>
      </c>
      <c r="C24" s="10">
        <v>2450</v>
      </c>
      <c r="D24" s="10">
        <f t="shared" si="0"/>
        <v>8060</v>
      </c>
    </row>
    <row r="25" spans="1:4" x14ac:dyDescent="0.25">
      <c r="A25" s="8">
        <v>45866</v>
      </c>
      <c r="B25" s="9" t="s">
        <v>6</v>
      </c>
      <c r="C25" s="10">
        <v>1270</v>
      </c>
      <c r="D25" s="10">
        <f>D24+C25</f>
        <v>9330</v>
      </c>
    </row>
    <row r="26" spans="1:4" x14ac:dyDescent="0.25">
      <c r="A26" s="8">
        <v>45866</v>
      </c>
      <c r="B26" s="9" t="s">
        <v>46</v>
      </c>
      <c r="C26" s="10">
        <v>-3500</v>
      </c>
      <c r="D26" s="10">
        <f t="shared" si="0"/>
        <v>5830</v>
      </c>
    </row>
    <row r="27" spans="1:4" x14ac:dyDescent="0.25">
      <c r="A27" s="8">
        <v>45869</v>
      </c>
      <c r="B27" s="9" t="s">
        <v>6</v>
      </c>
      <c r="C27" s="10">
        <v>4010</v>
      </c>
      <c r="D27" s="10">
        <f t="shared" si="0"/>
        <v>9840</v>
      </c>
    </row>
    <row r="28" spans="1:4" x14ac:dyDescent="0.25">
      <c r="A28" s="8">
        <v>45869</v>
      </c>
      <c r="B28" s="9" t="s">
        <v>46</v>
      </c>
      <c r="C28" s="10">
        <v>-3000</v>
      </c>
      <c r="D28" s="10">
        <f t="shared" si="0"/>
        <v>6840</v>
      </c>
    </row>
    <row r="29" spans="1:4" x14ac:dyDescent="0.25">
      <c r="A29" s="8">
        <v>45871</v>
      </c>
      <c r="B29" s="9" t="s">
        <v>6</v>
      </c>
      <c r="C29" s="10">
        <v>2390</v>
      </c>
      <c r="D29" s="10">
        <f t="shared" si="0"/>
        <v>9230</v>
      </c>
    </row>
    <row r="30" spans="1:4" x14ac:dyDescent="0.25">
      <c r="A30" s="8">
        <v>45871</v>
      </c>
      <c r="B30" s="9" t="s">
        <v>44</v>
      </c>
      <c r="C30" s="10">
        <v>-2390</v>
      </c>
      <c r="D30" s="10">
        <f t="shared" si="0"/>
        <v>6840</v>
      </c>
    </row>
    <row r="31" spans="1:4" x14ac:dyDescent="0.25">
      <c r="A31" s="8">
        <v>45873</v>
      </c>
      <c r="B31" s="9" t="s">
        <v>6</v>
      </c>
      <c r="C31" s="10">
        <v>2100</v>
      </c>
      <c r="D31" s="10">
        <f t="shared" si="0"/>
        <v>8940</v>
      </c>
    </row>
    <row r="32" spans="1:4" x14ac:dyDescent="0.25">
      <c r="A32" s="8">
        <v>45873</v>
      </c>
      <c r="B32" s="9" t="s">
        <v>46</v>
      </c>
      <c r="C32" s="10">
        <v>-3000</v>
      </c>
      <c r="D32" s="10">
        <f>D31+C32</f>
        <v>5940</v>
      </c>
    </row>
    <row r="33" spans="1:5" x14ac:dyDescent="0.25">
      <c r="A33" s="8">
        <v>45876</v>
      </c>
      <c r="B33" s="9" t="s">
        <v>6</v>
      </c>
      <c r="C33" s="10">
        <v>2350</v>
      </c>
      <c r="D33" s="10">
        <f t="shared" ref="D33:D97" si="1">D32+C33</f>
        <v>8290</v>
      </c>
    </row>
    <row r="34" spans="1:5" x14ac:dyDescent="0.25">
      <c r="A34" s="8">
        <v>45880</v>
      </c>
      <c r="B34" s="9" t="s">
        <v>6</v>
      </c>
      <c r="C34" s="10">
        <v>1560</v>
      </c>
      <c r="D34" s="10">
        <f t="shared" si="1"/>
        <v>9850</v>
      </c>
    </row>
    <row r="35" spans="1:5" x14ac:dyDescent="0.25">
      <c r="A35" s="8">
        <v>45883</v>
      </c>
      <c r="B35" s="9" t="s">
        <v>6</v>
      </c>
      <c r="C35" s="10">
        <v>2970</v>
      </c>
      <c r="D35" s="10">
        <f t="shared" si="1"/>
        <v>12820</v>
      </c>
    </row>
    <row r="36" spans="1:5" x14ac:dyDescent="0.25">
      <c r="A36" s="8">
        <v>45883</v>
      </c>
      <c r="B36" s="9" t="s">
        <v>46</v>
      </c>
      <c r="C36" s="10">
        <v>-5000</v>
      </c>
      <c r="D36" s="10">
        <f t="shared" si="1"/>
        <v>7820</v>
      </c>
    </row>
    <row r="37" spans="1:5" x14ac:dyDescent="0.25">
      <c r="A37" s="8">
        <v>45885</v>
      </c>
      <c r="B37" s="9" t="s">
        <v>6</v>
      </c>
      <c r="C37" s="10">
        <v>960</v>
      </c>
      <c r="D37" s="10">
        <f t="shared" si="1"/>
        <v>8780</v>
      </c>
    </row>
    <row r="38" spans="1:5" x14ac:dyDescent="0.25">
      <c r="A38" s="8">
        <v>45887</v>
      </c>
      <c r="B38" s="9" t="s">
        <v>46</v>
      </c>
      <c r="C38" s="10">
        <v>-4000</v>
      </c>
      <c r="D38" s="10">
        <f t="shared" si="1"/>
        <v>4780</v>
      </c>
    </row>
    <row r="39" spans="1:5" x14ac:dyDescent="0.25">
      <c r="A39" s="8">
        <v>45887</v>
      </c>
      <c r="B39" s="9" t="s">
        <v>6</v>
      </c>
      <c r="C39" s="10">
        <v>2360</v>
      </c>
      <c r="D39" s="10">
        <f t="shared" si="1"/>
        <v>7140</v>
      </c>
    </row>
    <row r="40" spans="1:5" x14ac:dyDescent="0.25">
      <c r="A40" s="8">
        <v>45890</v>
      </c>
      <c r="B40" s="9" t="s">
        <v>7</v>
      </c>
      <c r="C40" s="10">
        <v>-3000</v>
      </c>
      <c r="D40" s="10">
        <f t="shared" si="1"/>
        <v>4140</v>
      </c>
    </row>
    <row r="41" spans="1:5" x14ac:dyDescent="0.25">
      <c r="A41" s="8">
        <v>45890</v>
      </c>
      <c r="B41" s="9" t="s">
        <v>6</v>
      </c>
      <c r="C41" s="10">
        <v>2350</v>
      </c>
      <c r="D41" s="10">
        <f t="shared" si="1"/>
        <v>6490</v>
      </c>
    </row>
    <row r="42" spans="1:5" x14ac:dyDescent="0.25">
      <c r="A42" s="8">
        <v>45894</v>
      </c>
      <c r="B42" s="9" t="s">
        <v>6</v>
      </c>
      <c r="C42" s="10">
        <v>2650</v>
      </c>
      <c r="D42" s="10">
        <f t="shared" si="1"/>
        <v>9140</v>
      </c>
      <c r="E42" s="18"/>
    </row>
    <row r="43" spans="1:5" x14ac:dyDescent="0.25">
      <c r="A43" s="8">
        <v>45897</v>
      </c>
      <c r="B43" s="9" t="s">
        <v>6</v>
      </c>
      <c r="C43" s="10">
        <v>2910</v>
      </c>
      <c r="D43" s="10">
        <f t="shared" si="1"/>
        <v>12050</v>
      </c>
    </row>
    <row r="44" spans="1:5" x14ac:dyDescent="0.25">
      <c r="A44" s="8">
        <v>45897</v>
      </c>
      <c r="B44" s="9" t="s">
        <v>46</v>
      </c>
      <c r="C44" s="10">
        <v>-4000</v>
      </c>
      <c r="D44" s="10">
        <f t="shared" si="1"/>
        <v>8050</v>
      </c>
    </row>
    <row r="45" spans="1:5" x14ac:dyDescent="0.25">
      <c r="A45" s="8">
        <v>45901</v>
      </c>
      <c r="B45" s="9" t="s">
        <v>6</v>
      </c>
      <c r="C45" s="10">
        <v>2730</v>
      </c>
      <c r="D45" s="10">
        <f t="shared" si="1"/>
        <v>10780</v>
      </c>
    </row>
    <row r="46" spans="1:5" x14ac:dyDescent="0.25">
      <c r="A46" s="8">
        <v>45901</v>
      </c>
      <c r="B46" s="9" t="s">
        <v>55</v>
      </c>
      <c r="C46" s="10">
        <v>-3000</v>
      </c>
      <c r="D46" s="10">
        <f t="shared" si="1"/>
        <v>7780</v>
      </c>
    </row>
    <row r="47" spans="1:5" x14ac:dyDescent="0.25">
      <c r="A47" s="8">
        <v>45908</v>
      </c>
      <c r="B47" s="9" t="s">
        <v>75</v>
      </c>
      <c r="C47" s="10">
        <v>-3000</v>
      </c>
      <c r="D47" s="10">
        <f t="shared" si="1"/>
        <v>4780</v>
      </c>
    </row>
    <row r="48" spans="1:5" x14ac:dyDescent="0.25">
      <c r="A48" s="8">
        <v>45908</v>
      </c>
      <c r="B48" s="9" t="s">
        <v>6</v>
      </c>
      <c r="C48" s="10">
        <v>1600</v>
      </c>
      <c r="D48" s="10">
        <f t="shared" si="1"/>
        <v>6380</v>
      </c>
    </row>
    <row r="49" spans="1:4" x14ac:dyDescent="0.25">
      <c r="A49" s="8">
        <v>45911</v>
      </c>
      <c r="B49" s="9" t="s">
        <v>6</v>
      </c>
      <c r="C49" s="10">
        <v>3400</v>
      </c>
      <c r="D49" s="10">
        <f t="shared" si="1"/>
        <v>9780</v>
      </c>
    </row>
    <row r="50" spans="1:4" x14ac:dyDescent="0.25">
      <c r="A50" s="8">
        <v>45911</v>
      </c>
      <c r="B50" s="9" t="s">
        <v>74</v>
      </c>
      <c r="C50" s="10">
        <v>-3000</v>
      </c>
      <c r="D50" s="10">
        <f t="shared" si="1"/>
        <v>6780</v>
      </c>
    </row>
    <row r="51" spans="1:4" x14ac:dyDescent="0.25">
      <c r="A51" s="8">
        <v>45915</v>
      </c>
      <c r="B51" s="9" t="s">
        <v>6</v>
      </c>
      <c r="C51" s="10">
        <v>2220</v>
      </c>
      <c r="D51" s="10">
        <f t="shared" si="1"/>
        <v>9000</v>
      </c>
    </row>
    <row r="52" spans="1:4" x14ac:dyDescent="0.25">
      <c r="A52" s="8">
        <v>45915</v>
      </c>
      <c r="B52" s="9" t="s">
        <v>55</v>
      </c>
      <c r="C52" s="10">
        <v>-2360</v>
      </c>
      <c r="D52" s="10">
        <f t="shared" si="1"/>
        <v>6640</v>
      </c>
    </row>
    <row r="53" spans="1:4" x14ac:dyDescent="0.25">
      <c r="A53" s="8">
        <v>45918</v>
      </c>
      <c r="B53" s="9" t="s">
        <v>6</v>
      </c>
      <c r="C53" s="10">
        <v>3560</v>
      </c>
      <c r="D53" s="10">
        <f t="shared" si="1"/>
        <v>10200</v>
      </c>
    </row>
    <row r="54" spans="1:4" x14ac:dyDescent="0.25">
      <c r="A54" s="8">
        <v>45922</v>
      </c>
      <c r="B54" s="9" t="s">
        <v>6</v>
      </c>
      <c r="C54" s="10">
        <v>3070</v>
      </c>
      <c r="D54" s="10">
        <f t="shared" si="1"/>
        <v>13270</v>
      </c>
    </row>
    <row r="55" spans="1:4" x14ac:dyDescent="0.25">
      <c r="A55" s="8">
        <v>45922</v>
      </c>
      <c r="B55" s="9" t="s">
        <v>92</v>
      </c>
      <c r="C55" s="10">
        <v>-5600</v>
      </c>
      <c r="D55" s="10">
        <f t="shared" si="1"/>
        <v>7670</v>
      </c>
    </row>
    <row r="56" spans="1:4" x14ac:dyDescent="0.25">
      <c r="A56" s="8">
        <v>45925</v>
      </c>
      <c r="B56" s="9" t="s">
        <v>6</v>
      </c>
      <c r="C56" s="10">
        <v>1980</v>
      </c>
      <c r="D56" s="10">
        <f t="shared" si="1"/>
        <v>9650</v>
      </c>
    </row>
    <row r="57" spans="1:4" x14ac:dyDescent="0.25">
      <c r="A57" s="8">
        <v>45925</v>
      </c>
      <c r="B57" s="9" t="s">
        <v>92</v>
      </c>
      <c r="C57" s="10">
        <v>-3000</v>
      </c>
      <c r="D57" s="10">
        <f t="shared" si="1"/>
        <v>6650</v>
      </c>
    </row>
    <row r="58" spans="1:4" x14ac:dyDescent="0.25">
      <c r="A58" s="8">
        <v>45929</v>
      </c>
      <c r="B58" s="9" t="s">
        <v>6</v>
      </c>
      <c r="C58" s="10">
        <v>2350</v>
      </c>
      <c r="D58" s="10">
        <f t="shared" si="1"/>
        <v>9000</v>
      </c>
    </row>
    <row r="59" spans="1:4" x14ac:dyDescent="0.25">
      <c r="A59" s="8">
        <v>45929</v>
      </c>
      <c r="B59" s="9" t="s">
        <v>92</v>
      </c>
      <c r="C59" s="10">
        <v>-3500</v>
      </c>
      <c r="D59" s="10">
        <f t="shared" si="1"/>
        <v>5500</v>
      </c>
    </row>
    <row r="60" spans="1:4" x14ac:dyDescent="0.25">
      <c r="A60" s="8">
        <v>45932</v>
      </c>
      <c r="B60" s="9" t="s">
        <v>6</v>
      </c>
      <c r="C60" s="10">
        <v>3960</v>
      </c>
      <c r="D60" s="10">
        <f t="shared" si="1"/>
        <v>9460</v>
      </c>
    </row>
    <row r="61" spans="1:4" x14ac:dyDescent="0.25">
      <c r="A61" s="8">
        <v>45932</v>
      </c>
      <c r="B61" s="9" t="s">
        <v>92</v>
      </c>
      <c r="C61" s="10">
        <v>-3000</v>
      </c>
      <c r="D61" s="10">
        <f t="shared" si="1"/>
        <v>6460</v>
      </c>
    </row>
    <row r="62" spans="1:4" x14ac:dyDescent="0.25">
      <c r="A62" s="13">
        <v>45936</v>
      </c>
      <c r="B62" s="9" t="s">
        <v>6</v>
      </c>
      <c r="C62" s="10">
        <v>2200</v>
      </c>
      <c r="D62" s="10">
        <f t="shared" si="1"/>
        <v>8660</v>
      </c>
    </row>
    <row r="63" spans="1:4" x14ac:dyDescent="0.25">
      <c r="A63" s="8">
        <v>45936</v>
      </c>
      <c r="B63" s="9" t="s">
        <v>92</v>
      </c>
      <c r="C63" s="10">
        <v>-3000</v>
      </c>
      <c r="D63" s="10">
        <f t="shared" si="1"/>
        <v>5660</v>
      </c>
    </row>
    <row r="64" spans="1:4" x14ac:dyDescent="0.25">
      <c r="A64" s="8">
        <v>45939</v>
      </c>
      <c r="B64" s="9" t="s">
        <v>6</v>
      </c>
      <c r="C64" s="10">
        <v>3170</v>
      </c>
      <c r="D64" s="10">
        <f t="shared" si="1"/>
        <v>8830</v>
      </c>
    </row>
    <row r="65" spans="1:4" x14ac:dyDescent="0.25">
      <c r="A65" s="8">
        <v>45939</v>
      </c>
      <c r="B65" s="9" t="s">
        <v>92</v>
      </c>
      <c r="C65" s="10">
        <v>-3000</v>
      </c>
      <c r="D65" s="10">
        <f t="shared" si="1"/>
        <v>5830</v>
      </c>
    </row>
    <row r="66" spans="1:4" x14ac:dyDescent="0.25">
      <c r="A66" s="8">
        <v>45943</v>
      </c>
      <c r="B66" s="9" t="s">
        <v>6</v>
      </c>
      <c r="C66" s="10">
        <v>2230</v>
      </c>
      <c r="D66" s="10">
        <f t="shared" si="1"/>
        <v>8060</v>
      </c>
    </row>
    <row r="67" spans="1:4" x14ac:dyDescent="0.25">
      <c r="A67" s="8">
        <v>45943</v>
      </c>
      <c r="B67" s="9" t="s">
        <v>92</v>
      </c>
      <c r="C67" s="10">
        <v>-2500</v>
      </c>
      <c r="D67" s="10">
        <f t="shared" si="1"/>
        <v>5560</v>
      </c>
    </row>
    <row r="68" spans="1:4" x14ac:dyDescent="0.25">
      <c r="A68" s="8">
        <v>45946</v>
      </c>
      <c r="B68" s="9" t="s">
        <v>6</v>
      </c>
      <c r="C68" s="10">
        <v>2365</v>
      </c>
      <c r="D68" s="10">
        <f t="shared" si="1"/>
        <v>7925</v>
      </c>
    </row>
    <row r="69" spans="1:4" x14ac:dyDescent="0.25">
      <c r="A69" s="8">
        <v>45946</v>
      </c>
      <c r="B69" s="9" t="s">
        <v>92</v>
      </c>
      <c r="C69" s="10">
        <v>-3000</v>
      </c>
      <c r="D69" s="10">
        <f t="shared" si="1"/>
        <v>4925</v>
      </c>
    </row>
    <row r="70" spans="1:4" x14ac:dyDescent="0.25">
      <c r="A70" s="8">
        <v>45950</v>
      </c>
      <c r="B70" s="9" t="s">
        <v>6</v>
      </c>
      <c r="C70" s="10">
        <v>1850</v>
      </c>
      <c r="D70" s="10">
        <f t="shared" si="1"/>
        <v>6775</v>
      </c>
    </row>
    <row r="71" spans="1:4" x14ac:dyDescent="0.25">
      <c r="A71" s="8">
        <v>45950</v>
      </c>
      <c r="B71" s="9" t="s">
        <v>92</v>
      </c>
      <c r="C71" s="10">
        <v>-3000</v>
      </c>
      <c r="D71" s="10">
        <f t="shared" si="1"/>
        <v>3775</v>
      </c>
    </row>
    <row r="72" spans="1:4" x14ac:dyDescent="0.25">
      <c r="A72" s="8">
        <v>45953</v>
      </c>
      <c r="B72" s="9" t="s">
        <v>6</v>
      </c>
      <c r="C72" s="10">
        <v>1640</v>
      </c>
      <c r="D72" s="10">
        <f t="shared" si="1"/>
        <v>5415</v>
      </c>
    </row>
    <row r="73" spans="1:4" x14ac:dyDescent="0.25">
      <c r="A73" s="8">
        <v>45953</v>
      </c>
      <c r="B73" s="9" t="s">
        <v>178</v>
      </c>
      <c r="C73" s="10">
        <v>-3000</v>
      </c>
      <c r="D73" s="10">
        <f t="shared" si="1"/>
        <v>2415</v>
      </c>
    </row>
    <row r="74" spans="1:4" x14ac:dyDescent="0.25">
      <c r="A74" s="8">
        <v>45957</v>
      </c>
      <c r="B74" s="9" t="s">
        <v>6</v>
      </c>
      <c r="C74" s="10">
        <v>2690</v>
      </c>
      <c r="D74" s="10">
        <f t="shared" si="1"/>
        <v>5105</v>
      </c>
    </row>
    <row r="75" spans="1:4" x14ac:dyDescent="0.25">
      <c r="A75" s="8">
        <v>45957</v>
      </c>
      <c r="B75" s="9" t="s">
        <v>178</v>
      </c>
      <c r="C75" s="10">
        <v>-2000</v>
      </c>
      <c r="D75" s="10">
        <f t="shared" si="1"/>
        <v>3105</v>
      </c>
    </row>
    <row r="76" spans="1:4" x14ac:dyDescent="0.25">
      <c r="A76" s="8">
        <v>45960</v>
      </c>
      <c r="B76" s="9" t="s">
        <v>3</v>
      </c>
      <c r="C76" s="10">
        <v>3910</v>
      </c>
      <c r="D76" s="10">
        <f t="shared" si="1"/>
        <v>7015</v>
      </c>
    </row>
    <row r="77" spans="1:4" x14ac:dyDescent="0.25">
      <c r="A77" s="8">
        <v>45960</v>
      </c>
      <c r="B77" s="9" t="s">
        <v>178</v>
      </c>
      <c r="C77" s="10">
        <v>-2500</v>
      </c>
      <c r="D77" s="10">
        <f t="shared" si="1"/>
        <v>4515</v>
      </c>
    </row>
    <row r="78" spans="1:4" x14ac:dyDescent="0.25">
      <c r="A78" s="8">
        <v>45964</v>
      </c>
      <c r="B78" s="9" t="s">
        <v>3</v>
      </c>
      <c r="C78" s="10">
        <v>2090</v>
      </c>
      <c r="D78" s="10">
        <f t="shared" si="1"/>
        <v>6605</v>
      </c>
    </row>
    <row r="79" spans="1:4" x14ac:dyDescent="0.25">
      <c r="A79" s="8">
        <v>45964</v>
      </c>
      <c r="B79" s="9" t="s">
        <v>92</v>
      </c>
      <c r="C79" s="10">
        <v>-3000</v>
      </c>
      <c r="D79" s="10">
        <f t="shared" si="1"/>
        <v>3605</v>
      </c>
    </row>
    <row r="80" spans="1:4" x14ac:dyDescent="0.25">
      <c r="A80" s="8">
        <v>45967</v>
      </c>
      <c r="B80" s="9" t="s">
        <v>3</v>
      </c>
      <c r="C80" s="10">
        <v>2630</v>
      </c>
      <c r="D80" s="10">
        <f t="shared" si="1"/>
        <v>6235</v>
      </c>
    </row>
    <row r="81" spans="1:4" x14ac:dyDescent="0.25">
      <c r="A81" s="8">
        <v>45971</v>
      </c>
      <c r="B81" s="9" t="s">
        <v>3</v>
      </c>
      <c r="C81" s="10">
        <v>2210</v>
      </c>
      <c r="D81" s="10">
        <f t="shared" si="1"/>
        <v>8445</v>
      </c>
    </row>
    <row r="82" spans="1:4" x14ac:dyDescent="0.25">
      <c r="A82" s="8">
        <v>45971</v>
      </c>
      <c r="B82" s="9" t="s">
        <v>92</v>
      </c>
      <c r="C82" s="10">
        <v>-4000</v>
      </c>
      <c r="D82" s="10">
        <f t="shared" si="1"/>
        <v>4445</v>
      </c>
    </row>
    <row r="83" spans="1:4" x14ac:dyDescent="0.25">
      <c r="A83" s="8">
        <v>45974</v>
      </c>
      <c r="B83" s="9" t="s">
        <v>3</v>
      </c>
      <c r="C83" s="10">
        <v>2600</v>
      </c>
      <c r="D83" s="10">
        <f t="shared" si="1"/>
        <v>7045</v>
      </c>
    </row>
    <row r="84" spans="1:4" x14ac:dyDescent="0.25">
      <c r="A84" s="8">
        <v>45974</v>
      </c>
      <c r="B84" s="9" t="s">
        <v>92</v>
      </c>
      <c r="C84" s="10">
        <v>-3000</v>
      </c>
      <c r="D84" s="10">
        <f t="shared" si="1"/>
        <v>4045</v>
      </c>
    </row>
    <row r="85" spans="1:4" x14ac:dyDescent="0.25">
      <c r="A85" s="8">
        <v>45978</v>
      </c>
      <c r="B85" s="9" t="s">
        <v>3</v>
      </c>
      <c r="C85" s="10">
        <v>3070</v>
      </c>
      <c r="D85" s="10">
        <f t="shared" si="1"/>
        <v>7115</v>
      </c>
    </row>
    <row r="86" spans="1:4" x14ac:dyDescent="0.25">
      <c r="A86" s="8">
        <v>45978</v>
      </c>
      <c r="B86" s="9" t="s">
        <v>92</v>
      </c>
      <c r="C86" s="10">
        <v>-3000</v>
      </c>
      <c r="D86" s="10">
        <f t="shared" si="1"/>
        <v>4115</v>
      </c>
    </row>
    <row r="87" spans="1:4" x14ac:dyDescent="0.25">
      <c r="A87" s="8">
        <v>45981</v>
      </c>
      <c r="B87" s="9" t="s">
        <v>3</v>
      </c>
      <c r="C87" s="10">
        <v>2620</v>
      </c>
      <c r="D87" s="10">
        <f t="shared" si="1"/>
        <v>6735</v>
      </c>
    </row>
    <row r="88" spans="1:4" x14ac:dyDescent="0.25">
      <c r="A88" s="8">
        <v>45981</v>
      </c>
      <c r="B88" s="9" t="s">
        <v>7</v>
      </c>
      <c r="C88" s="10">
        <v>-3500</v>
      </c>
      <c r="D88" s="10">
        <f t="shared" si="1"/>
        <v>3235</v>
      </c>
    </row>
    <row r="89" spans="1:4" x14ac:dyDescent="0.25">
      <c r="A89" s="8">
        <v>45988</v>
      </c>
      <c r="B89" s="9" t="s">
        <v>3</v>
      </c>
      <c r="C89" s="10">
        <v>630</v>
      </c>
      <c r="D89" s="10">
        <f t="shared" si="1"/>
        <v>3865</v>
      </c>
    </row>
    <row r="90" spans="1:4" x14ac:dyDescent="0.25">
      <c r="A90" s="8">
        <v>45988</v>
      </c>
      <c r="B90" s="9" t="s">
        <v>92</v>
      </c>
      <c r="C90" s="10">
        <v>-3865</v>
      </c>
      <c r="D90" s="10">
        <f t="shared" si="1"/>
        <v>0</v>
      </c>
    </row>
    <row r="91" spans="1:4" x14ac:dyDescent="0.25">
      <c r="A91" s="8">
        <v>45992</v>
      </c>
      <c r="B91" s="9" t="s">
        <v>3</v>
      </c>
      <c r="C91" s="10">
        <v>4300</v>
      </c>
      <c r="D91" s="10">
        <f t="shared" si="1"/>
        <v>4300</v>
      </c>
    </row>
    <row r="92" spans="1:4" x14ac:dyDescent="0.25">
      <c r="A92" s="8">
        <v>45995</v>
      </c>
      <c r="B92" s="9" t="s">
        <v>3</v>
      </c>
      <c r="C92" s="10">
        <v>5380</v>
      </c>
      <c r="D92" s="10">
        <f t="shared" si="1"/>
        <v>9680</v>
      </c>
    </row>
    <row r="93" spans="1:4" x14ac:dyDescent="0.25">
      <c r="A93" s="8">
        <v>45995</v>
      </c>
      <c r="B93" s="9" t="s">
        <v>92</v>
      </c>
      <c r="C93" s="10">
        <v>-4000</v>
      </c>
      <c r="D93" s="10">
        <f t="shared" si="1"/>
        <v>5680</v>
      </c>
    </row>
    <row r="94" spans="1:4" x14ac:dyDescent="0.25">
      <c r="A94" s="8">
        <v>45999</v>
      </c>
      <c r="B94" s="9" t="s">
        <v>3</v>
      </c>
      <c r="C94" s="10">
        <v>1930</v>
      </c>
      <c r="D94" s="10">
        <f t="shared" si="1"/>
        <v>7610</v>
      </c>
    </row>
    <row r="95" spans="1:4" x14ac:dyDescent="0.25">
      <c r="A95" s="8">
        <v>45999</v>
      </c>
      <c r="B95" s="9" t="s">
        <v>92</v>
      </c>
      <c r="C95" s="10">
        <v>-3000</v>
      </c>
      <c r="D95" s="10">
        <f t="shared" si="1"/>
        <v>4610</v>
      </c>
    </row>
    <row r="96" spans="1:4" x14ac:dyDescent="0.25">
      <c r="A96" s="8">
        <v>46002</v>
      </c>
      <c r="B96" s="9" t="s">
        <v>3</v>
      </c>
      <c r="C96" s="10">
        <v>3600</v>
      </c>
      <c r="D96" s="10">
        <f t="shared" si="1"/>
        <v>8210</v>
      </c>
    </row>
    <row r="97" spans="1:4" x14ac:dyDescent="0.25">
      <c r="A97" s="8">
        <v>46002</v>
      </c>
      <c r="B97" s="9" t="s">
        <v>3</v>
      </c>
      <c r="C97" s="10">
        <v>-5000</v>
      </c>
      <c r="D97" s="10">
        <f t="shared" si="1"/>
        <v>3210</v>
      </c>
    </row>
    <row r="98" spans="1:4" x14ac:dyDescent="0.25">
      <c r="A98" s="8">
        <v>46009</v>
      </c>
      <c r="B98" s="9" t="s">
        <v>3</v>
      </c>
      <c r="C98" s="10">
        <v>3290</v>
      </c>
      <c r="D98" s="10">
        <f t="shared" ref="D98:D161" si="2">D97+C98</f>
        <v>6500</v>
      </c>
    </row>
    <row r="99" spans="1:4" x14ac:dyDescent="0.25">
      <c r="A99" s="8">
        <v>46009</v>
      </c>
      <c r="B99" s="9" t="s">
        <v>92</v>
      </c>
      <c r="C99" s="10">
        <v>-3000</v>
      </c>
      <c r="D99" s="10">
        <f t="shared" si="2"/>
        <v>3500</v>
      </c>
    </row>
    <row r="100" spans="1:4" x14ac:dyDescent="0.25">
      <c r="A100" s="8">
        <v>46011</v>
      </c>
      <c r="B100" s="9" t="s">
        <v>3</v>
      </c>
      <c r="C100" s="10">
        <v>3070</v>
      </c>
      <c r="D100" s="10">
        <f t="shared" si="2"/>
        <v>6570</v>
      </c>
    </row>
    <row r="101" spans="1:4" x14ac:dyDescent="0.25">
      <c r="A101" s="8">
        <v>46013</v>
      </c>
      <c r="B101" s="9" t="s">
        <v>3</v>
      </c>
      <c r="C101" s="10">
        <v>5010</v>
      </c>
      <c r="D101" s="10">
        <f t="shared" si="2"/>
        <v>11580</v>
      </c>
    </row>
    <row r="102" spans="1:4" x14ac:dyDescent="0.25">
      <c r="A102" s="8">
        <v>46013</v>
      </c>
      <c r="B102" s="9" t="s">
        <v>178</v>
      </c>
      <c r="C102" s="10">
        <v>-6000</v>
      </c>
      <c r="D102" s="10">
        <f t="shared" si="2"/>
        <v>5580</v>
      </c>
    </row>
    <row r="103" spans="1:4" x14ac:dyDescent="0.25">
      <c r="A103" s="8">
        <v>46014</v>
      </c>
      <c r="B103" s="9" t="s">
        <v>3</v>
      </c>
      <c r="C103" s="10">
        <v>2240</v>
      </c>
      <c r="D103" s="10">
        <f t="shared" si="2"/>
        <v>7820</v>
      </c>
    </row>
    <row r="104" spans="1:4" x14ac:dyDescent="0.25">
      <c r="A104" s="8">
        <v>46017</v>
      </c>
      <c r="B104" s="9" t="s">
        <v>3</v>
      </c>
      <c r="C104" s="10">
        <v>4250</v>
      </c>
      <c r="D104" s="10">
        <f t="shared" si="2"/>
        <v>12070</v>
      </c>
    </row>
    <row r="105" spans="1:4" x14ac:dyDescent="0.25">
      <c r="A105" s="8">
        <v>46017</v>
      </c>
      <c r="B105" s="9" t="s">
        <v>92</v>
      </c>
      <c r="C105" s="10">
        <v>-7000</v>
      </c>
      <c r="D105" s="10">
        <f t="shared" si="2"/>
        <v>5070</v>
      </c>
    </row>
    <row r="106" spans="1:4" x14ac:dyDescent="0.25">
      <c r="A106" s="8">
        <v>46020</v>
      </c>
      <c r="B106" s="9" t="s">
        <v>3</v>
      </c>
      <c r="C106" s="10">
        <v>3200</v>
      </c>
      <c r="D106" s="10">
        <f t="shared" si="2"/>
        <v>8270</v>
      </c>
    </row>
    <row r="107" spans="1:4" x14ac:dyDescent="0.25">
      <c r="A107" s="8">
        <v>46020</v>
      </c>
      <c r="B107" s="9" t="s">
        <v>92</v>
      </c>
      <c r="C107" s="10">
        <v>-3000</v>
      </c>
      <c r="D107" s="10">
        <f t="shared" si="2"/>
        <v>5270</v>
      </c>
    </row>
    <row r="108" spans="1:4" x14ac:dyDescent="0.25">
      <c r="A108" s="8">
        <v>46024</v>
      </c>
      <c r="B108" s="9" t="s">
        <v>3</v>
      </c>
      <c r="C108" s="10">
        <v>4990</v>
      </c>
      <c r="D108" s="10">
        <f t="shared" si="2"/>
        <v>10260</v>
      </c>
    </row>
    <row r="109" spans="1:4" x14ac:dyDescent="0.25">
      <c r="A109" s="8">
        <v>46024</v>
      </c>
      <c r="B109" s="9" t="s">
        <v>178</v>
      </c>
      <c r="C109" s="10">
        <v>-3000</v>
      </c>
      <c r="D109" s="10">
        <f t="shared" si="2"/>
        <v>7260</v>
      </c>
    </row>
    <row r="110" spans="1:4" x14ac:dyDescent="0.25">
      <c r="A110" s="8">
        <v>46027</v>
      </c>
      <c r="B110" s="9" t="s">
        <v>3</v>
      </c>
      <c r="C110" s="10">
        <v>1780</v>
      </c>
      <c r="D110" s="10">
        <f t="shared" si="2"/>
        <v>9040</v>
      </c>
    </row>
    <row r="111" spans="1:4" x14ac:dyDescent="0.25">
      <c r="A111" s="8">
        <v>46027</v>
      </c>
      <c r="B111" s="9" t="s">
        <v>92</v>
      </c>
      <c r="C111" s="10">
        <v>-4000</v>
      </c>
      <c r="D111" s="10">
        <f t="shared" si="2"/>
        <v>5040</v>
      </c>
    </row>
    <row r="112" spans="1:4" x14ac:dyDescent="0.25">
      <c r="A112" s="8">
        <v>46030</v>
      </c>
      <c r="B112" s="9" t="s">
        <v>3</v>
      </c>
      <c r="C112" s="10">
        <v>5170</v>
      </c>
      <c r="D112" s="10">
        <f t="shared" si="2"/>
        <v>10210</v>
      </c>
    </row>
    <row r="113" spans="1:4" x14ac:dyDescent="0.25">
      <c r="A113" s="8">
        <v>46030</v>
      </c>
      <c r="B113" s="9" t="s">
        <v>178</v>
      </c>
      <c r="C113" s="10">
        <v>-3000</v>
      </c>
      <c r="D113" s="10">
        <f t="shared" si="2"/>
        <v>7210</v>
      </c>
    </row>
    <row r="114" spans="1:4" x14ac:dyDescent="0.25">
      <c r="A114" s="8">
        <v>46034</v>
      </c>
      <c r="B114" s="9" t="s">
        <v>3</v>
      </c>
      <c r="C114" s="10">
        <v>2130</v>
      </c>
      <c r="D114" s="10">
        <f t="shared" si="2"/>
        <v>9340</v>
      </c>
    </row>
    <row r="115" spans="1:4" x14ac:dyDescent="0.25">
      <c r="A115" s="8">
        <v>46034</v>
      </c>
      <c r="B115" s="9" t="s">
        <v>178</v>
      </c>
      <c r="C115" s="10">
        <v>-3000</v>
      </c>
      <c r="D115" s="10">
        <f t="shared" si="2"/>
        <v>6340</v>
      </c>
    </row>
    <row r="116" spans="1:4" x14ac:dyDescent="0.25">
      <c r="A116" s="8">
        <v>46037</v>
      </c>
      <c r="B116" s="9" t="s">
        <v>3</v>
      </c>
      <c r="C116" s="10">
        <v>2520</v>
      </c>
      <c r="D116" s="10">
        <f t="shared" si="2"/>
        <v>8860</v>
      </c>
    </row>
    <row r="117" spans="1:4" x14ac:dyDescent="0.25">
      <c r="A117" s="8">
        <v>46037</v>
      </c>
      <c r="B117" s="9" t="s">
        <v>178</v>
      </c>
      <c r="C117" s="10">
        <v>-3000</v>
      </c>
      <c r="D117" s="10">
        <f t="shared" si="2"/>
        <v>5860</v>
      </c>
    </row>
    <row r="118" spans="1:4" x14ac:dyDescent="0.25">
      <c r="A118" s="8">
        <v>46041</v>
      </c>
      <c r="B118" s="9" t="s">
        <v>3</v>
      </c>
      <c r="C118" s="10">
        <v>4530</v>
      </c>
      <c r="D118" s="10">
        <f t="shared" si="2"/>
        <v>10390</v>
      </c>
    </row>
    <row r="119" spans="1:4" x14ac:dyDescent="0.25">
      <c r="A119" s="8">
        <v>46041</v>
      </c>
      <c r="B119" s="9" t="s">
        <v>178</v>
      </c>
      <c r="C119" s="10">
        <v>-3000</v>
      </c>
      <c r="D119" s="10">
        <f t="shared" si="2"/>
        <v>7390</v>
      </c>
    </row>
    <row r="120" spans="1:4" x14ac:dyDescent="0.25">
      <c r="A120" s="8">
        <v>46044</v>
      </c>
      <c r="B120" s="9" t="s">
        <v>3</v>
      </c>
      <c r="C120" s="10">
        <v>3070</v>
      </c>
      <c r="D120" s="10">
        <f t="shared" si="2"/>
        <v>10460</v>
      </c>
    </row>
    <row r="121" spans="1:4" x14ac:dyDescent="0.25">
      <c r="A121" s="8">
        <v>46044</v>
      </c>
      <c r="B121" s="9" t="s">
        <v>178</v>
      </c>
      <c r="C121" s="10">
        <v>-3070</v>
      </c>
      <c r="D121" s="10">
        <f t="shared" si="2"/>
        <v>7390</v>
      </c>
    </row>
    <row r="122" spans="1:4" x14ac:dyDescent="0.25">
      <c r="A122" s="8">
        <v>46045</v>
      </c>
      <c r="B122" s="9" t="s">
        <v>3</v>
      </c>
      <c r="C122" s="10">
        <v>4310</v>
      </c>
      <c r="D122" s="10">
        <f t="shared" si="2"/>
        <v>11700</v>
      </c>
    </row>
    <row r="123" spans="1:4" x14ac:dyDescent="0.25">
      <c r="A123" s="8">
        <v>46048</v>
      </c>
      <c r="B123" s="9" t="s">
        <v>3</v>
      </c>
      <c r="C123" s="10">
        <v>3730</v>
      </c>
      <c r="D123" s="10">
        <f t="shared" si="2"/>
        <v>15430</v>
      </c>
    </row>
    <row r="124" spans="1:4" x14ac:dyDescent="0.25">
      <c r="A124" s="8">
        <v>46048</v>
      </c>
      <c r="B124" s="9" t="s">
        <v>178</v>
      </c>
      <c r="C124" s="10">
        <v>-5000</v>
      </c>
      <c r="D124" s="10">
        <f t="shared" si="2"/>
        <v>10430</v>
      </c>
    </row>
    <row r="125" spans="1:4" x14ac:dyDescent="0.25">
      <c r="A125" s="8">
        <v>46051</v>
      </c>
      <c r="B125" s="9" t="s">
        <v>3</v>
      </c>
      <c r="C125" s="10">
        <v>4400</v>
      </c>
      <c r="D125" s="10">
        <f t="shared" si="2"/>
        <v>14830</v>
      </c>
    </row>
    <row r="126" spans="1:4" x14ac:dyDescent="0.25">
      <c r="A126" s="8">
        <v>46051</v>
      </c>
      <c r="B126" s="9" t="s">
        <v>178</v>
      </c>
      <c r="C126" s="10">
        <v>-4500</v>
      </c>
      <c r="D126" s="10">
        <f t="shared" si="2"/>
        <v>10330</v>
      </c>
    </row>
    <row r="127" spans="1:4" x14ac:dyDescent="0.25">
      <c r="A127" s="8">
        <v>46055</v>
      </c>
      <c r="B127" s="9" t="s">
        <v>3</v>
      </c>
      <c r="C127" s="10">
        <v>2920</v>
      </c>
      <c r="D127" s="10">
        <f t="shared" si="2"/>
        <v>13250</v>
      </c>
    </row>
    <row r="128" spans="1:4" x14ac:dyDescent="0.25">
      <c r="A128" s="8">
        <v>46055</v>
      </c>
      <c r="B128" s="9" t="s">
        <v>178</v>
      </c>
      <c r="C128" s="10">
        <v>-3000</v>
      </c>
      <c r="D128" s="10">
        <f t="shared" si="2"/>
        <v>10250</v>
      </c>
    </row>
    <row r="129" spans="1:4" x14ac:dyDescent="0.25">
      <c r="A129" s="8">
        <v>46059</v>
      </c>
      <c r="B129" s="9" t="s">
        <v>3</v>
      </c>
      <c r="C129" s="10">
        <v>4230</v>
      </c>
      <c r="D129" s="10">
        <f t="shared" si="2"/>
        <v>14480</v>
      </c>
    </row>
    <row r="130" spans="1:4" x14ac:dyDescent="0.25">
      <c r="A130" s="8">
        <v>46062</v>
      </c>
      <c r="B130" s="9" t="s">
        <v>3</v>
      </c>
      <c r="C130" s="10">
        <v>3950</v>
      </c>
      <c r="D130" s="10">
        <f t="shared" si="2"/>
        <v>18430</v>
      </c>
    </row>
    <row r="131" spans="1:4" x14ac:dyDescent="0.25">
      <c r="A131" s="8">
        <v>46062</v>
      </c>
      <c r="B131" s="9" t="s">
        <v>178</v>
      </c>
      <c r="C131" s="10">
        <v>-3000</v>
      </c>
      <c r="D131" s="10">
        <f t="shared" si="2"/>
        <v>15430</v>
      </c>
    </row>
    <row r="132" spans="1:4" x14ac:dyDescent="0.25">
      <c r="A132" s="8">
        <v>46069</v>
      </c>
      <c r="B132" s="9" t="s">
        <v>3</v>
      </c>
      <c r="C132" s="10">
        <v>3730</v>
      </c>
      <c r="D132" s="10">
        <f t="shared" si="2"/>
        <v>19160</v>
      </c>
    </row>
    <row r="133" spans="1:4" x14ac:dyDescent="0.25">
      <c r="A133" s="8">
        <v>46069</v>
      </c>
      <c r="B133" s="9" t="s">
        <v>178</v>
      </c>
      <c r="C133" s="10">
        <v>-4500</v>
      </c>
      <c r="D133" s="10">
        <f t="shared" si="2"/>
        <v>14660</v>
      </c>
    </row>
    <row r="134" spans="1:4" x14ac:dyDescent="0.25">
      <c r="A134" s="8">
        <v>46072</v>
      </c>
      <c r="B134" s="9" t="s">
        <v>3</v>
      </c>
      <c r="C134" s="10">
        <v>2750</v>
      </c>
      <c r="D134" s="10">
        <f t="shared" si="2"/>
        <v>17410</v>
      </c>
    </row>
    <row r="135" spans="1:4" x14ac:dyDescent="0.25">
      <c r="A135" s="8">
        <v>46072</v>
      </c>
      <c r="B135" s="9" t="s">
        <v>178</v>
      </c>
      <c r="C135" s="10">
        <v>-3500</v>
      </c>
      <c r="D135" s="10">
        <f t="shared" si="2"/>
        <v>13910</v>
      </c>
    </row>
    <row r="136" spans="1:4" x14ac:dyDescent="0.25">
      <c r="A136" s="8">
        <v>46076</v>
      </c>
      <c r="B136" s="9" t="s">
        <v>3</v>
      </c>
      <c r="C136" s="10">
        <v>2530</v>
      </c>
      <c r="D136" s="10">
        <f t="shared" si="2"/>
        <v>16440</v>
      </c>
    </row>
    <row r="137" spans="1:4" x14ac:dyDescent="0.25">
      <c r="A137" s="8">
        <v>46076</v>
      </c>
      <c r="B137" s="9" t="s">
        <v>178</v>
      </c>
      <c r="C137" s="10">
        <v>-3000</v>
      </c>
      <c r="D137" s="10">
        <f t="shared" si="2"/>
        <v>13440</v>
      </c>
    </row>
    <row r="138" spans="1:4" x14ac:dyDescent="0.25">
      <c r="A138" s="8">
        <v>46079</v>
      </c>
      <c r="B138" s="9" t="s">
        <v>3</v>
      </c>
      <c r="C138" s="10">
        <v>1640</v>
      </c>
      <c r="D138" s="10">
        <f t="shared" si="2"/>
        <v>15080</v>
      </c>
    </row>
    <row r="139" spans="1:4" x14ac:dyDescent="0.25">
      <c r="A139" s="8">
        <v>46079</v>
      </c>
      <c r="B139" s="9" t="s">
        <v>178</v>
      </c>
      <c r="C139" s="10">
        <v>-3000</v>
      </c>
      <c r="D139" s="10">
        <f t="shared" si="2"/>
        <v>12080</v>
      </c>
    </row>
    <row r="140" spans="1:4" x14ac:dyDescent="0.25">
      <c r="A140" s="8">
        <v>46083</v>
      </c>
      <c r="B140" s="9" t="s">
        <v>3</v>
      </c>
      <c r="C140" s="10">
        <v>2430</v>
      </c>
      <c r="D140" s="10">
        <f t="shared" si="2"/>
        <v>14510</v>
      </c>
    </row>
    <row r="141" spans="1:4" x14ac:dyDescent="0.25">
      <c r="A141" s="8">
        <v>46083</v>
      </c>
      <c r="B141" s="9" t="s">
        <v>178</v>
      </c>
      <c r="C141" s="10">
        <v>-3000</v>
      </c>
      <c r="D141" s="10">
        <f t="shared" si="2"/>
        <v>11510</v>
      </c>
    </row>
    <row r="142" spans="1:4" x14ac:dyDescent="0.25">
      <c r="A142" s="8">
        <v>46086</v>
      </c>
      <c r="B142" s="9" t="s">
        <v>3</v>
      </c>
      <c r="C142" s="10">
        <v>3700</v>
      </c>
      <c r="D142" s="10">
        <f t="shared" si="2"/>
        <v>15210</v>
      </c>
    </row>
    <row r="143" spans="1:4" x14ac:dyDescent="0.25">
      <c r="A143" s="8">
        <v>46086</v>
      </c>
      <c r="B143" s="9" t="s">
        <v>178</v>
      </c>
      <c r="C143" s="10">
        <v>-4000</v>
      </c>
      <c r="D143" s="10">
        <f t="shared" si="2"/>
        <v>11210</v>
      </c>
    </row>
    <row r="144" spans="1:4" x14ac:dyDescent="0.25">
      <c r="A144" s="8">
        <v>46090</v>
      </c>
      <c r="B144" s="9" t="s">
        <v>3</v>
      </c>
      <c r="C144" s="10">
        <v>1370</v>
      </c>
      <c r="D144" s="10">
        <f t="shared" si="2"/>
        <v>12580</v>
      </c>
    </row>
    <row r="145" spans="1:4" x14ac:dyDescent="0.25">
      <c r="A145" s="8">
        <v>46090</v>
      </c>
      <c r="B145" s="9" t="s">
        <v>178</v>
      </c>
      <c r="C145" s="10">
        <v>-3000</v>
      </c>
      <c r="D145" s="10">
        <f t="shared" si="2"/>
        <v>9580</v>
      </c>
    </row>
    <row r="146" spans="1:4" x14ac:dyDescent="0.25">
      <c r="A146" s="8">
        <v>46093</v>
      </c>
      <c r="B146" s="9" t="s">
        <v>3</v>
      </c>
      <c r="C146" s="10">
        <v>4160</v>
      </c>
      <c r="D146" s="10">
        <f t="shared" si="2"/>
        <v>13740</v>
      </c>
    </row>
    <row r="147" spans="1:4" x14ac:dyDescent="0.25">
      <c r="A147" s="8">
        <v>46093</v>
      </c>
      <c r="B147" s="9" t="s">
        <v>178</v>
      </c>
      <c r="C147" s="10">
        <v>-3500</v>
      </c>
      <c r="D147" s="10">
        <f t="shared" si="2"/>
        <v>10240</v>
      </c>
    </row>
    <row r="148" spans="1:4" x14ac:dyDescent="0.25">
      <c r="A148" s="8">
        <v>46097</v>
      </c>
      <c r="B148" s="9" t="s">
        <v>3</v>
      </c>
      <c r="C148" s="10">
        <v>2270</v>
      </c>
      <c r="D148" s="10">
        <f t="shared" si="2"/>
        <v>12510</v>
      </c>
    </row>
    <row r="149" spans="1:4" x14ac:dyDescent="0.25">
      <c r="A149" s="8">
        <v>46097</v>
      </c>
      <c r="B149" s="9" t="s">
        <v>178</v>
      </c>
      <c r="C149" s="10">
        <v>-3500</v>
      </c>
      <c r="D149" s="10">
        <f t="shared" si="2"/>
        <v>9010</v>
      </c>
    </row>
    <row r="150" spans="1:4" x14ac:dyDescent="0.25">
      <c r="A150" s="8">
        <v>46100</v>
      </c>
      <c r="B150" s="9" t="s">
        <v>144</v>
      </c>
      <c r="C150" s="10">
        <v>7940</v>
      </c>
      <c r="D150" s="10">
        <f t="shared" si="2"/>
        <v>16950</v>
      </c>
    </row>
    <row r="151" spans="1:4" x14ac:dyDescent="0.25">
      <c r="A151" s="8">
        <v>46100</v>
      </c>
      <c r="B151" s="9" t="s">
        <v>178</v>
      </c>
      <c r="C151" s="10">
        <v>-4500</v>
      </c>
      <c r="D151" s="10">
        <f t="shared" si="2"/>
        <v>12450</v>
      </c>
    </row>
    <row r="152" spans="1:4" x14ac:dyDescent="0.25">
      <c r="A152" s="8">
        <v>46104</v>
      </c>
      <c r="B152" s="9" t="s">
        <v>368</v>
      </c>
      <c r="C152" s="10">
        <v>3020</v>
      </c>
      <c r="D152" s="10">
        <f t="shared" si="2"/>
        <v>15470</v>
      </c>
    </row>
    <row r="153" spans="1:4" x14ac:dyDescent="0.25">
      <c r="A153" s="8">
        <v>46104</v>
      </c>
      <c r="B153" s="9" t="s">
        <v>178</v>
      </c>
      <c r="C153" s="10">
        <v>-7940</v>
      </c>
      <c r="D153" s="10">
        <f t="shared" si="2"/>
        <v>7530</v>
      </c>
    </row>
    <row r="154" spans="1:4" x14ac:dyDescent="0.25">
      <c r="A154" s="8">
        <v>46107</v>
      </c>
      <c r="B154" s="9" t="s">
        <v>3</v>
      </c>
      <c r="C154" s="10">
        <v>8050</v>
      </c>
      <c r="D154" s="10">
        <f t="shared" si="2"/>
        <v>15580</v>
      </c>
    </row>
    <row r="155" spans="1:4" x14ac:dyDescent="0.25">
      <c r="A155" s="8">
        <v>45011</v>
      </c>
      <c r="B155" s="9" t="s">
        <v>178</v>
      </c>
      <c r="C155" s="10">
        <v>-4620</v>
      </c>
      <c r="D155" s="10">
        <f t="shared" si="2"/>
        <v>10960</v>
      </c>
    </row>
    <row r="156" spans="1:4" x14ac:dyDescent="0.25">
      <c r="A156" s="8">
        <v>46111</v>
      </c>
      <c r="B156" s="9" t="s">
        <v>3</v>
      </c>
      <c r="C156" s="10">
        <v>3150</v>
      </c>
      <c r="D156" s="10">
        <f t="shared" si="2"/>
        <v>14110</v>
      </c>
    </row>
    <row r="157" spans="1:4" x14ac:dyDescent="0.25">
      <c r="A157" s="8">
        <v>46111</v>
      </c>
      <c r="B157" s="9" t="s">
        <v>178</v>
      </c>
      <c r="C157" s="10">
        <v>-5000</v>
      </c>
      <c r="D157" s="10">
        <f t="shared" si="2"/>
        <v>9110</v>
      </c>
    </row>
    <row r="158" spans="1:4" x14ac:dyDescent="0.25">
      <c r="A158" s="8">
        <v>46118</v>
      </c>
      <c r="B158" s="9" t="s">
        <v>3</v>
      </c>
      <c r="C158" s="10">
        <v>3380</v>
      </c>
      <c r="D158" s="10">
        <f t="shared" si="2"/>
        <v>12490</v>
      </c>
    </row>
    <row r="159" spans="1:4" x14ac:dyDescent="0.25">
      <c r="A159" s="8">
        <v>46118</v>
      </c>
      <c r="B159" s="9" t="s">
        <v>178</v>
      </c>
      <c r="C159" s="10">
        <v>-3500</v>
      </c>
      <c r="D159" s="10">
        <f t="shared" si="2"/>
        <v>8990</v>
      </c>
    </row>
    <row r="160" spans="1:4" x14ac:dyDescent="0.25">
      <c r="A160" s="8">
        <v>46121</v>
      </c>
      <c r="B160" s="9" t="s">
        <v>3</v>
      </c>
      <c r="C160" s="10">
        <v>4830</v>
      </c>
      <c r="D160" s="10">
        <f t="shared" si="2"/>
        <v>13820</v>
      </c>
    </row>
    <row r="161" spans="1:4" x14ac:dyDescent="0.25">
      <c r="A161" s="8">
        <v>46121</v>
      </c>
      <c r="B161" s="9" t="s">
        <v>178</v>
      </c>
      <c r="C161" s="10">
        <v>-5000</v>
      </c>
      <c r="D161" s="10">
        <f t="shared" si="2"/>
        <v>8820</v>
      </c>
    </row>
    <row r="162" spans="1:4" x14ac:dyDescent="0.25">
      <c r="A162" s="8">
        <v>46125</v>
      </c>
      <c r="B162" s="9" t="s">
        <v>3</v>
      </c>
      <c r="C162" s="10">
        <v>4250</v>
      </c>
      <c r="D162" s="10">
        <f t="shared" ref="D162:D282" si="3">D161+C162</f>
        <v>13070</v>
      </c>
    </row>
    <row r="163" spans="1:4" x14ac:dyDescent="0.25">
      <c r="A163" s="8">
        <v>46128</v>
      </c>
      <c r="B163" s="9" t="s">
        <v>3</v>
      </c>
      <c r="C163" s="10">
        <v>4880</v>
      </c>
      <c r="D163" s="10">
        <f t="shared" si="3"/>
        <v>17950</v>
      </c>
    </row>
    <row r="164" spans="1:4" x14ac:dyDescent="0.25">
      <c r="A164" s="8">
        <v>46128</v>
      </c>
      <c r="B164" s="9" t="s">
        <v>178</v>
      </c>
      <c r="C164" s="10">
        <v>-5000</v>
      </c>
      <c r="D164" s="10">
        <f t="shared" si="3"/>
        <v>12950</v>
      </c>
    </row>
    <row r="165" spans="1:4" x14ac:dyDescent="0.25">
      <c r="A165" s="8">
        <v>46132</v>
      </c>
      <c r="B165" s="9" t="s">
        <v>3</v>
      </c>
      <c r="C165" s="10">
        <v>6320</v>
      </c>
      <c r="D165" s="10">
        <f t="shared" si="3"/>
        <v>19270</v>
      </c>
    </row>
    <row r="166" spans="1:4" x14ac:dyDescent="0.25">
      <c r="A166" s="8">
        <v>46132</v>
      </c>
      <c r="B166" s="9" t="s">
        <v>178</v>
      </c>
      <c r="C166" s="10">
        <v>-6000</v>
      </c>
      <c r="D166" s="10">
        <f t="shared" si="3"/>
        <v>13270</v>
      </c>
    </row>
    <row r="167" spans="1:4" x14ac:dyDescent="0.25">
      <c r="A167" s="8">
        <v>46135</v>
      </c>
      <c r="B167" s="9" t="s">
        <v>3</v>
      </c>
      <c r="C167" s="10">
        <v>5170</v>
      </c>
      <c r="D167" s="10">
        <f t="shared" si="3"/>
        <v>18440</v>
      </c>
    </row>
    <row r="168" spans="1:4" x14ac:dyDescent="0.25">
      <c r="A168" s="8">
        <v>46135</v>
      </c>
      <c r="B168" s="9" t="s">
        <v>178</v>
      </c>
      <c r="C168" s="10">
        <v>-5000</v>
      </c>
      <c r="D168" s="10">
        <f t="shared" si="3"/>
        <v>13440</v>
      </c>
    </row>
    <row r="169" spans="1:4" x14ac:dyDescent="0.25">
      <c r="A169" s="8">
        <v>46139</v>
      </c>
      <c r="B169" s="9" t="s">
        <v>3</v>
      </c>
      <c r="C169" s="10">
        <v>3460</v>
      </c>
      <c r="D169" s="10">
        <f t="shared" si="3"/>
        <v>16900</v>
      </c>
    </row>
    <row r="170" spans="1:4" x14ac:dyDescent="0.25">
      <c r="A170" s="8">
        <v>46139</v>
      </c>
      <c r="B170" s="9" t="s">
        <v>178</v>
      </c>
      <c r="C170" s="10">
        <v>-5000</v>
      </c>
      <c r="D170" s="10">
        <f t="shared" si="3"/>
        <v>11900</v>
      </c>
    </row>
    <row r="171" spans="1:4" x14ac:dyDescent="0.25">
      <c r="A171" s="8">
        <v>46172</v>
      </c>
      <c r="B171" s="9" t="s">
        <v>3</v>
      </c>
      <c r="C171" s="10">
        <v>3200</v>
      </c>
      <c r="D171" s="10">
        <f t="shared" si="3"/>
        <v>15100</v>
      </c>
    </row>
    <row r="172" spans="1:4" x14ac:dyDescent="0.25">
      <c r="A172" s="8">
        <v>46146</v>
      </c>
      <c r="B172" s="9" t="s">
        <v>3</v>
      </c>
      <c r="C172" s="10">
        <v>2900</v>
      </c>
      <c r="D172" s="10">
        <f t="shared" si="3"/>
        <v>18000</v>
      </c>
    </row>
    <row r="173" spans="1:4" x14ac:dyDescent="0.25">
      <c r="A173" s="8">
        <v>46146</v>
      </c>
      <c r="B173" s="9" t="s">
        <v>178</v>
      </c>
      <c r="C173" s="10">
        <v>-4000</v>
      </c>
      <c r="D173" s="10">
        <f t="shared" si="3"/>
        <v>14000</v>
      </c>
    </row>
    <row r="174" spans="1:4" x14ac:dyDescent="0.25">
      <c r="A174" s="8">
        <v>46147</v>
      </c>
      <c r="B174" s="9" t="s">
        <v>148</v>
      </c>
      <c r="C174" s="10">
        <v>7400</v>
      </c>
      <c r="D174" s="10">
        <f t="shared" si="3"/>
        <v>21400</v>
      </c>
    </row>
    <row r="175" spans="1:4" x14ac:dyDescent="0.25">
      <c r="A175" s="8">
        <v>46149</v>
      </c>
      <c r="B175" s="9" t="s">
        <v>416</v>
      </c>
      <c r="C175" s="10">
        <v>7540</v>
      </c>
      <c r="D175" s="10">
        <f t="shared" si="3"/>
        <v>28940</v>
      </c>
    </row>
    <row r="176" spans="1:4" x14ac:dyDescent="0.25">
      <c r="A176" s="8">
        <v>46149</v>
      </c>
      <c r="B176" s="9" t="s">
        <v>178</v>
      </c>
      <c r="C176" s="10">
        <v>-5000</v>
      </c>
      <c r="D176" s="10">
        <f t="shared" si="3"/>
        <v>23940</v>
      </c>
    </row>
    <row r="177" spans="1:4" x14ac:dyDescent="0.25">
      <c r="A177" s="8">
        <v>46152</v>
      </c>
      <c r="B177" s="9" t="s">
        <v>3</v>
      </c>
      <c r="C177" s="10">
        <v>6890</v>
      </c>
      <c r="D177" s="10">
        <f t="shared" si="3"/>
        <v>30830</v>
      </c>
    </row>
    <row r="178" spans="1:4" x14ac:dyDescent="0.25">
      <c r="A178" s="8">
        <v>46153</v>
      </c>
      <c r="B178" s="9" t="s">
        <v>3</v>
      </c>
      <c r="C178" s="10">
        <v>2470</v>
      </c>
      <c r="D178" s="10">
        <f t="shared" si="3"/>
        <v>33300</v>
      </c>
    </row>
    <row r="179" spans="1:4" x14ac:dyDescent="0.25">
      <c r="A179" s="8">
        <v>46153</v>
      </c>
      <c r="B179" s="9" t="s">
        <v>178</v>
      </c>
      <c r="C179" s="10">
        <v>-5000</v>
      </c>
      <c r="D179" s="10">
        <f t="shared" si="3"/>
        <v>28300</v>
      </c>
    </row>
    <row r="180" spans="1:4" x14ac:dyDescent="0.25">
      <c r="A180" s="8">
        <v>46156</v>
      </c>
      <c r="B180" s="9" t="s">
        <v>3</v>
      </c>
      <c r="C180" s="10">
        <v>5770</v>
      </c>
      <c r="D180" s="10">
        <f t="shared" si="3"/>
        <v>34070</v>
      </c>
    </row>
    <row r="181" spans="1:4" x14ac:dyDescent="0.25">
      <c r="A181" s="8">
        <v>46156</v>
      </c>
      <c r="B181" s="9" t="s">
        <v>178</v>
      </c>
      <c r="C181" s="10">
        <v>-15000</v>
      </c>
      <c r="D181" s="10">
        <f t="shared" si="3"/>
        <v>19070</v>
      </c>
    </row>
    <row r="182" spans="1:4" x14ac:dyDescent="0.25">
      <c r="A182" s="8">
        <v>46160</v>
      </c>
      <c r="B182" s="9" t="s">
        <v>3</v>
      </c>
      <c r="C182" s="10">
        <v>2000</v>
      </c>
      <c r="D182" s="10">
        <f t="shared" si="3"/>
        <v>21070</v>
      </c>
    </row>
    <row r="183" spans="1:4" x14ac:dyDescent="0.25">
      <c r="A183" s="8">
        <v>46160</v>
      </c>
      <c r="B183" s="9" t="s">
        <v>178</v>
      </c>
      <c r="C183" s="10">
        <v>-5000</v>
      </c>
      <c r="D183" s="10">
        <f t="shared" si="3"/>
        <v>16070</v>
      </c>
    </row>
    <row r="184" spans="1:4" x14ac:dyDescent="0.25">
      <c r="A184" s="8">
        <v>46163</v>
      </c>
      <c r="B184" s="9" t="s">
        <v>3</v>
      </c>
      <c r="C184" s="10">
        <v>4490</v>
      </c>
      <c r="D184" s="10">
        <f t="shared" si="3"/>
        <v>20560</v>
      </c>
    </row>
    <row r="185" spans="1:4" x14ac:dyDescent="0.25">
      <c r="A185" s="8">
        <v>46162</v>
      </c>
      <c r="B185" s="9" t="s">
        <v>129</v>
      </c>
      <c r="C185" s="10">
        <v>1660</v>
      </c>
      <c r="D185" s="10">
        <f t="shared" si="3"/>
        <v>22220</v>
      </c>
    </row>
    <row r="186" spans="1:4" x14ac:dyDescent="0.25">
      <c r="A186" s="8">
        <v>46163</v>
      </c>
      <c r="B186" s="9" t="s">
        <v>127</v>
      </c>
      <c r="C186" s="10">
        <v>-1660</v>
      </c>
      <c r="D186" s="10">
        <f t="shared" si="3"/>
        <v>20560</v>
      </c>
    </row>
    <row r="187" spans="1:4" x14ac:dyDescent="0.25">
      <c r="A187" s="8">
        <v>46163</v>
      </c>
      <c r="B187" s="9" t="s">
        <v>178</v>
      </c>
      <c r="C187" s="10">
        <v>-6000</v>
      </c>
      <c r="D187" s="10">
        <f t="shared" si="3"/>
        <v>14560</v>
      </c>
    </row>
    <row r="188" spans="1:4" x14ac:dyDescent="0.25">
      <c r="A188" s="8">
        <v>46167</v>
      </c>
      <c r="B188" s="9" t="s">
        <v>3</v>
      </c>
      <c r="C188" s="10">
        <v>3180</v>
      </c>
      <c r="D188" s="10">
        <f t="shared" si="3"/>
        <v>17740</v>
      </c>
    </row>
    <row r="189" spans="1:4" x14ac:dyDescent="0.25">
      <c r="A189" s="8">
        <v>46167</v>
      </c>
      <c r="B189" s="9" t="s">
        <v>178</v>
      </c>
      <c r="C189" s="10">
        <v>-6000</v>
      </c>
      <c r="D189" s="10">
        <f t="shared" si="3"/>
        <v>11740</v>
      </c>
    </row>
    <row r="190" spans="1:4" x14ac:dyDescent="0.25">
      <c r="A190" s="8">
        <v>46170</v>
      </c>
      <c r="B190" s="9" t="s">
        <v>3</v>
      </c>
      <c r="C190" s="10">
        <v>5280</v>
      </c>
      <c r="D190" s="10">
        <f t="shared" si="3"/>
        <v>17020</v>
      </c>
    </row>
    <row r="191" spans="1:4" x14ac:dyDescent="0.25">
      <c r="A191" s="8">
        <v>46170</v>
      </c>
      <c r="B191" s="9" t="s">
        <v>178</v>
      </c>
      <c r="C191" s="10">
        <v>-4000</v>
      </c>
      <c r="D191" s="10">
        <f t="shared" si="3"/>
        <v>13020</v>
      </c>
    </row>
    <row r="192" spans="1:4" x14ac:dyDescent="0.25">
      <c r="A192" s="8">
        <v>46174</v>
      </c>
      <c r="B192" s="9" t="s">
        <v>178</v>
      </c>
      <c r="C192" s="10">
        <v>-4000</v>
      </c>
      <c r="D192" s="10">
        <f t="shared" si="3"/>
        <v>9020</v>
      </c>
    </row>
    <row r="193" spans="1:4" x14ac:dyDescent="0.25">
      <c r="A193" s="8">
        <v>46174</v>
      </c>
      <c r="B193" s="9" t="s">
        <v>3</v>
      </c>
      <c r="C193" s="10">
        <v>4870</v>
      </c>
      <c r="D193" s="10">
        <f t="shared" si="3"/>
        <v>13890</v>
      </c>
    </row>
    <row r="194" spans="1:4" x14ac:dyDescent="0.25">
      <c r="A194" s="8">
        <v>46177</v>
      </c>
      <c r="B194" s="9" t="s">
        <v>178</v>
      </c>
      <c r="C194" s="10">
        <v>-5000</v>
      </c>
      <c r="D194" s="10">
        <f t="shared" si="3"/>
        <v>8890</v>
      </c>
    </row>
    <row r="195" spans="1:4" x14ac:dyDescent="0.25">
      <c r="A195" s="8">
        <v>46177</v>
      </c>
      <c r="B195" s="9" t="s">
        <v>3</v>
      </c>
      <c r="C195" s="10">
        <v>6280</v>
      </c>
      <c r="D195" s="10">
        <f t="shared" si="3"/>
        <v>15170</v>
      </c>
    </row>
    <row r="196" spans="1:4" x14ac:dyDescent="0.25">
      <c r="A196" s="8">
        <v>46181</v>
      </c>
      <c r="B196" s="9" t="s">
        <v>3</v>
      </c>
      <c r="C196" s="10">
        <v>3230</v>
      </c>
      <c r="D196" s="10">
        <f t="shared" si="3"/>
        <v>18400</v>
      </c>
    </row>
    <row r="197" spans="1:4" x14ac:dyDescent="0.25">
      <c r="A197" s="8">
        <v>46181</v>
      </c>
      <c r="B197" s="9" t="s">
        <v>178</v>
      </c>
      <c r="C197" s="10">
        <v>-5000</v>
      </c>
      <c r="D197" s="10">
        <f t="shared" si="3"/>
        <v>13400</v>
      </c>
    </row>
    <row r="198" spans="1:4" x14ac:dyDescent="0.25">
      <c r="A198" s="8">
        <v>46184</v>
      </c>
      <c r="B198" s="9" t="s">
        <v>3</v>
      </c>
      <c r="C198" s="10">
        <v>4230</v>
      </c>
      <c r="D198" s="10">
        <f t="shared" si="3"/>
        <v>17630</v>
      </c>
    </row>
    <row r="199" spans="1:4" x14ac:dyDescent="0.25">
      <c r="A199" s="8">
        <v>46184</v>
      </c>
      <c r="B199" s="9" t="s">
        <v>178</v>
      </c>
      <c r="C199" s="10">
        <v>-5000</v>
      </c>
      <c r="D199" s="10">
        <f t="shared" si="3"/>
        <v>12630</v>
      </c>
    </row>
    <row r="200" spans="1:4" x14ac:dyDescent="0.25">
      <c r="A200" s="8">
        <v>46188</v>
      </c>
      <c r="B200" s="9" t="s">
        <v>3</v>
      </c>
      <c r="C200" s="10">
        <v>1870</v>
      </c>
      <c r="D200" s="10">
        <f t="shared" si="3"/>
        <v>14500</v>
      </c>
    </row>
    <row r="201" spans="1:4" x14ac:dyDescent="0.25">
      <c r="A201" s="8">
        <v>46188</v>
      </c>
      <c r="B201" s="9" t="s">
        <v>178</v>
      </c>
      <c r="C201" s="10">
        <v>-5000</v>
      </c>
      <c r="D201" s="10">
        <f t="shared" si="3"/>
        <v>9500</v>
      </c>
    </row>
    <row r="202" spans="1:4" x14ac:dyDescent="0.25">
      <c r="A202" s="8">
        <v>46191</v>
      </c>
      <c r="B202" s="9" t="s">
        <v>3</v>
      </c>
      <c r="C202" s="10">
        <v>3670</v>
      </c>
      <c r="D202" s="10">
        <f t="shared" si="3"/>
        <v>13170</v>
      </c>
    </row>
    <row r="203" spans="1:4" x14ac:dyDescent="0.25">
      <c r="A203" s="8">
        <v>46191</v>
      </c>
      <c r="B203" s="9" t="s">
        <v>178</v>
      </c>
      <c r="C203" s="10">
        <v>-4000</v>
      </c>
      <c r="D203" s="10">
        <f t="shared" si="3"/>
        <v>9170</v>
      </c>
    </row>
    <row r="204" spans="1:4" x14ac:dyDescent="0.25">
      <c r="A204" s="8">
        <v>46195</v>
      </c>
      <c r="B204" s="9" t="s">
        <v>3</v>
      </c>
      <c r="C204" s="10">
        <v>3270</v>
      </c>
      <c r="D204" s="10">
        <f t="shared" si="3"/>
        <v>12440</v>
      </c>
    </row>
    <row r="205" spans="1:4" x14ac:dyDescent="0.25">
      <c r="A205" s="8">
        <v>46195</v>
      </c>
      <c r="B205" s="9" t="s">
        <v>178</v>
      </c>
      <c r="C205" s="10">
        <v>-4000</v>
      </c>
      <c r="D205" s="10">
        <f t="shared" si="3"/>
        <v>8440</v>
      </c>
    </row>
    <row r="206" spans="1:4" x14ac:dyDescent="0.25">
      <c r="A206" s="8">
        <v>46198</v>
      </c>
      <c r="B206" s="9" t="s">
        <v>97</v>
      </c>
      <c r="C206" s="10">
        <v>5230</v>
      </c>
      <c r="D206" s="10">
        <f t="shared" si="3"/>
        <v>13670</v>
      </c>
    </row>
    <row r="207" spans="1:4" x14ac:dyDescent="0.25">
      <c r="A207" s="8">
        <v>46198</v>
      </c>
      <c r="B207" s="9" t="s">
        <v>178</v>
      </c>
      <c r="C207" s="10">
        <v>-4000</v>
      </c>
      <c r="D207" s="10">
        <f t="shared" si="3"/>
        <v>9670</v>
      </c>
    </row>
    <row r="208" spans="1:4" x14ac:dyDescent="0.25">
      <c r="A208" s="8">
        <v>46202</v>
      </c>
      <c r="B208" s="9" t="s">
        <v>3</v>
      </c>
      <c r="C208" s="10">
        <f>350+700+300+250+300+200+300+250+250+250+250+250+700+120+170+100</f>
        <v>4740</v>
      </c>
      <c r="D208" s="10">
        <f t="shared" si="3"/>
        <v>14410</v>
      </c>
    </row>
    <row r="209" spans="1:4" x14ac:dyDescent="0.25">
      <c r="A209" s="8">
        <v>46202</v>
      </c>
      <c r="B209" s="9" t="s">
        <v>356</v>
      </c>
      <c r="C209" s="10">
        <v>-6000</v>
      </c>
      <c r="D209" s="10">
        <f t="shared" si="3"/>
        <v>8410</v>
      </c>
    </row>
    <row r="210" spans="1:4" x14ac:dyDescent="0.25">
      <c r="A210" s="8">
        <v>46205</v>
      </c>
      <c r="B210" s="9" t="s">
        <v>364</v>
      </c>
      <c r="C210" s="10">
        <v>-5500</v>
      </c>
      <c r="D210" s="10">
        <f t="shared" si="3"/>
        <v>2910</v>
      </c>
    </row>
    <row r="211" spans="1:4" x14ac:dyDescent="0.25">
      <c r="A211" s="8">
        <v>46205</v>
      </c>
      <c r="B211" s="9" t="s">
        <v>3</v>
      </c>
      <c r="C211" s="10">
        <f>600+1500+350+300+350+250+250+150+350+350+280+250+100</f>
        <v>5080</v>
      </c>
      <c r="D211" s="10">
        <f t="shared" si="3"/>
        <v>7990</v>
      </c>
    </row>
    <row r="212" spans="1:4" ht="14.25" customHeight="1" x14ac:dyDescent="0.25">
      <c r="A212" s="8">
        <v>46206</v>
      </c>
      <c r="B212" s="9" t="s">
        <v>3</v>
      </c>
      <c r="C212" s="10">
        <f>1400+140+700+280+350+250+350+160</f>
        <v>3630</v>
      </c>
      <c r="D212" s="10">
        <f t="shared" si="3"/>
        <v>11620</v>
      </c>
    </row>
    <row r="213" spans="1:4" ht="14.25" customHeight="1" x14ac:dyDescent="0.25">
      <c r="A213" s="8">
        <v>46209</v>
      </c>
      <c r="B213" s="9" t="s">
        <v>3</v>
      </c>
      <c r="C213" s="10">
        <f>2400+120+350+200+500+350+900+750+100</f>
        <v>5670</v>
      </c>
      <c r="D213" s="10">
        <f t="shared" si="3"/>
        <v>17290</v>
      </c>
    </row>
    <row r="214" spans="1:4" ht="14.25" customHeight="1" x14ac:dyDescent="0.25">
      <c r="A214" s="8">
        <v>46209</v>
      </c>
      <c r="B214" s="9" t="s">
        <v>178</v>
      </c>
      <c r="C214" s="10">
        <v>-6500</v>
      </c>
      <c r="D214" s="10">
        <f t="shared" si="3"/>
        <v>10790</v>
      </c>
    </row>
    <row r="215" spans="1:4" ht="14.25" customHeight="1" x14ac:dyDescent="0.25">
      <c r="A215" s="8">
        <v>46212</v>
      </c>
      <c r="B215" s="9" t="s">
        <v>3</v>
      </c>
      <c r="C215" s="10">
        <f>6130-350</f>
        <v>5780</v>
      </c>
      <c r="D215" s="10">
        <f t="shared" si="3"/>
        <v>16570</v>
      </c>
    </row>
    <row r="216" spans="1:4" ht="14.25" customHeight="1" x14ac:dyDescent="0.25">
      <c r="A216" s="8">
        <v>46212</v>
      </c>
      <c r="B216" s="9" t="s">
        <v>178</v>
      </c>
      <c r="C216" s="10">
        <v>-4000</v>
      </c>
      <c r="D216" s="10">
        <f t="shared" si="3"/>
        <v>12570</v>
      </c>
    </row>
    <row r="217" spans="1:4" ht="14.25" customHeight="1" x14ac:dyDescent="0.25">
      <c r="A217" s="8">
        <v>46216</v>
      </c>
      <c r="B217" s="9" t="s">
        <v>3</v>
      </c>
      <c r="C217" s="10">
        <v>4530</v>
      </c>
      <c r="D217" s="10">
        <f t="shared" si="3"/>
        <v>17100</v>
      </c>
    </row>
    <row r="218" spans="1:4" ht="14.25" customHeight="1" x14ac:dyDescent="0.25">
      <c r="A218" s="8">
        <v>46216</v>
      </c>
      <c r="B218" s="9" t="s">
        <v>178</v>
      </c>
      <c r="C218" s="10">
        <v>-6000</v>
      </c>
      <c r="D218" s="10">
        <f t="shared" si="3"/>
        <v>11100</v>
      </c>
    </row>
    <row r="219" spans="1:4" ht="14.25" customHeight="1" x14ac:dyDescent="0.25">
      <c r="A219" s="8">
        <v>46217</v>
      </c>
      <c r="B219" s="9" t="s">
        <v>298</v>
      </c>
      <c r="C219" s="10">
        <v>2800</v>
      </c>
      <c r="D219" s="10">
        <f t="shared" si="3"/>
        <v>13900</v>
      </c>
    </row>
    <row r="220" spans="1:4" ht="14.25" customHeight="1" x14ac:dyDescent="0.25">
      <c r="A220" s="8">
        <v>46219</v>
      </c>
      <c r="B220" s="9" t="s">
        <v>3</v>
      </c>
      <c r="C220" s="10">
        <v>2670</v>
      </c>
      <c r="D220" s="10">
        <f t="shared" si="3"/>
        <v>16570</v>
      </c>
    </row>
    <row r="221" spans="1:4" ht="14.25" customHeight="1" x14ac:dyDescent="0.25">
      <c r="A221" s="8">
        <v>46219</v>
      </c>
      <c r="B221" s="9" t="s">
        <v>178</v>
      </c>
      <c r="C221" s="10">
        <v>-6000</v>
      </c>
      <c r="D221" s="10">
        <f t="shared" si="3"/>
        <v>10570</v>
      </c>
    </row>
    <row r="222" spans="1:4" ht="14.25" customHeight="1" x14ac:dyDescent="0.25">
      <c r="A222" s="8">
        <v>46223</v>
      </c>
      <c r="B222" s="9" t="s">
        <v>3</v>
      </c>
      <c r="C222" s="10">
        <v>3790</v>
      </c>
      <c r="D222" s="10">
        <f t="shared" si="3"/>
        <v>14360</v>
      </c>
    </row>
    <row r="223" spans="1:4" ht="14.25" customHeight="1" x14ac:dyDescent="0.25">
      <c r="A223" s="8">
        <v>46223</v>
      </c>
      <c r="B223" s="9" t="s">
        <v>178</v>
      </c>
      <c r="C223" s="10">
        <v>-3200</v>
      </c>
      <c r="D223" s="10">
        <f t="shared" si="3"/>
        <v>11160</v>
      </c>
    </row>
    <row r="224" spans="1:4" ht="14.25" customHeight="1" x14ac:dyDescent="0.25">
      <c r="A224" s="8">
        <v>46226</v>
      </c>
      <c r="B224" s="9" t="s">
        <v>3</v>
      </c>
      <c r="C224" s="10">
        <v>4600</v>
      </c>
      <c r="D224" s="10">
        <f t="shared" si="3"/>
        <v>15760</v>
      </c>
    </row>
    <row r="225" spans="1:4" ht="14.25" customHeight="1" x14ac:dyDescent="0.25">
      <c r="A225" s="8">
        <v>46226</v>
      </c>
      <c r="B225" s="9" t="s">
        <v>178</v>
      </c>
      <c r="C225" s="10">
        <v>-3000</v>
      </c>
      <c r="D225" s="10">
        <f t="shared" si="3"/>
        <v>12760</v>
      </c>
    </row>
    <row r="226" spans="1:4" ht="14.25" customHeight="1" x14ac:dyDescent="0.25">
      <c r="A226" s="8">
        <v>46227</v>
      </c>
      <c r="B226" s="9" t="s">
        <v>129</v>
      </c>
      <c r="C226" s="10">
        <v>2160</v>
      </c>
      <c r="D226" s="10">
        <f t="shared" si="3"/>
        <v>14920</v>
      </c>
    </row>
    <row r="227" spans="1:4" ht="14.25" customHeight="1" x14ac:dyDescent="0.25">
      <c r="A227" s="8">
        <v>46228</v>
      </c>
      <c r="B227" s="9" t="s">
        <v>482</v>
      </c>
      <c r="C227" s="10">
        <v>-2500</v>
      </c>
      <c r="D227" s="10">
        <f t="shared" si="3"/>
        <v>12420</v>
      </c>
    </row>
    <row r="228" spans="1:4" ht="14.25" customHeight="1" x14ac:dyDescent="0.25">
      <c r="A228" s="8">
        <v>46230</v>
      </c>
      <c r="B228" s="9" t="s">
        <v>3</v>
      </c>
      <c r="C228" s="10">
        <v>6020</v>
      </c>
      <c r="D228" s="10">
        <f t="shared" si="3"/>
        <v>18440</v>
      </c>
    </row>
    <row r="229" spans="1:4" ht="14.25" customHeight="1" x14ac:dyDescent="0.25">
      <c r="A229" s="8">
        <v>46230</v>
      </c>
      <c r="B229" s="9" t="s">
        <v>178</v>
      </c>
      <c r="C229" s="10">
        <v>-5000</v>
      </c>
      <c r="D229" s="10">
        <f t="shared" si="3"/>
        <v>13440</v>
      </c>
    </row>
    <row r="230" spans="1:4" ht="14.25" customHeight="1" x14ac:dyDescent="0.25">
      <c r="A230" s="8">
        <v>46231</v>
      </c>
      <c r="B230" s="9" t="s">
        <v>148</v>
      </c>
      <c r="C230" s="10">
        <v>1450</v>
      </c>
      <c r="D230" s="10">
        <f t="shared" si="3"/>
        <v>14890</v>
      </c>
    </row>
    <row r="231" spans="1:4" ht="14.25" customHeight="1" x14ac:dyDescent="0.25">
      <c r="A231" s="8">
        <v>46231</v>
      </c>
      <c r="B231" s="9" t="s">
        <v>127</v>
      </c>
      <c r="C231" s="10">
        <v>-1480</v>
      </c>
      <c r="D231" s="10">
        <f t="shared" si="3"/>
        <v>13410</v>
      </c>
    </row>
    <row r="232" spans="1:4" ht="14.25" customHeight="1" x14ac:dyDescent="0.25">
      <c r="A232" s="8">
        <v>46233</v>
      </c>
      <c r="B232" s="9" t="s">
        <v>531</v>
      </c>
      <c r="C232" s="10">
        <v>7090</v>
      </c>
      <c r="D232" s="10">
        <f t="shared" si="3"/>
        <v>20500</v>
      </c>
    </row>
    <row r="233" spans="1:4" ht="14.25" customHeight="1" x14ac:dyDescent="0.25">
      <c r="A233" s="8">
        <v>46233</v>
      </c>
      <c r="B233" s="9" t="s">
        <v>178</v>
      </c>
      <c r="C233" s="10">
        <v>-5000</v>
      </c>
      <c r="D233" s="10">
        <f t="shared" si="3"/>
        <v>15500</v>
      </c>
    </row>
    <row r="234" spans="1:4" ht="14.25" customHeight="1" x14ac:dyDescent="0.25">
      <c r="A234" s="8">
        <v>46234</v>
      </c>
      <c r="B234" s="9" t="s">
        <v>148</v>
      </c>
      <c r="C234" s="10">
        <v>3200</v>
      </c>
      <c r="D234" s="10">
        <f t="shared" si="3"/>
        <v>18700</v>
      </c>
    </row>
    <row r="235" spans="1:4" ht="14.25" customHeight="1" x14ac:dyDescent="0.25">
      <c r="A235" s="8">
        <v>46237</v>
      </c>
      <c r="B235" s="9" t="s">
        <v>178</v>
      </c>
      <c r="C235" s="10">
        <v>-8700</v>
      </c>
      <c r="D235" s="10">
        <f t="shared" si="3"/>
        <v>10000</v>
      </c>
    </row>
    <row r="236" spans="1:4" ht="14.25" customHeight="1" x14ac:dyDescent="0.25">
      <c r="A236" s="8">
        <v>46237</v>
      </c>
      <c r="B236" s="9" t="s">
        <v>3</v>
      </c>
      <c r="C236" s="10">
        <v>4890</v>
      </c>
      <c r="D236" s="10">
        <f t="shared" si="3"/>
        <v>14890</v>
      </c>
    </row>
    <row r="237" spans="1:4" ht="14.25" customHeight="1" x14ac:dyDescent="0.25">
      <c r="A237" s="8">
        <v>46240</v>
      </c>
      <c r="B237" s="9" t="s">
        <v>3</v>
      </c>
      <c r="C237" s="10">
        <v>5680</v>
      </c>
      <c r="D237" s="10">
        <f t="shared" si="3"/>
        <v>20570</v>
      </c>
    </row>
    <row r="238" spans="1:4" ht="14.25" customHeight="1" x14ac:dyDescent="0.25">
      <c r="A238" s="8">
        <v>46240</v>
      </c>
      <c r="B238" s="9" t="s">
        <v>178</v>
      </c>
      <c r="C238" s="10">
        <v>-4000</v>
      </c>
      <c r="D238" s="10">
        <f t="shared" si="3"/>
        <v>16570</v>
      </c>
    </row>
    <row r="239" spans="1:4" ht="14.25" customHeight="1" x14ac:dyDescent="0.25">
      <c r="A239" s="8">
        <v>46244</v>
      </c>
      <c r="B239" s="9" t="s">
        <v>3</v>
      </c>
      <c r="C239" s="10">
        <v>4020</v>
      </c>
      <c r="D239" s="10">
        <f t="shared" si="3"/>
        <v>20590</v>
      </c>
    </row>
    <row r="240" spans="1:4" ht="14.25" customHeight="1" x14ac:dyDescent="0.25">
      <c r="A240" s="8">
        <v>46244</v>
      </c>
      <c r="B240" s="9" t="s">
        <v>178</v>
      </c>
      <c r="C240" s="10">
        <v>-5000</v>
      </c>
      <c r="D240" s="10">
        <f t="shared" si="3"/>
        <v>15590</v>
      </c>
    </row>
    <row r="241" spans="1:4" ht="14.25" customHeight="1" x14ac:dyDescent="0.25">
      <c r="A241" s="8">
        <v>46247</v>
      </c>
      <c r="B241" s="9" t="s">
        <v>3</v>
      </c>
      <c r="C241" s="10">
        <v>9060</v>
      </c>
      <c r="D241" s="10">
        <f t="shared" si="3"/>
        <v>24650</v>
      </c>
    </row>
    <row r="242" spans="1:4" ht="14.25" customHeight="1" x14ac:dyDescent="0.25">
      <c r="A242" s="8">
        <v>46247</v>
      </c>
      <c r="B242" s="9" t="s">
        <v>92</v>
      </c>
      <c r="C242" s="10">
        <v>-4000</v>
      </c>
      <c r="D242" s="10">
        <f t="shared" si="3"/>
        <v>20650</v>
      </c>
    </row>
    <row r="243" spans="1:4" ht="14.25" customHeight="1" x14ac:dyDescent="0.25">
      <c r="A243" s="8">
        <v>46251</v>
      </c>
      <c r="B243" s="9" t="s">
        <v>3</v>
      </c>
      <c r="C243" s="10">
        <v>4240</v>
      </c>
      <c r="D243" s="10">
        <f t="shared" si="3"/>
        <v>24890</v>
      </c>
    </row>
    <row r="244" spans="1:4" ht="14.25" customHeight="1" x14ac:dyDescent="0.25">
      <c r="A244" s="8">
        <v>46251</v>
      </c>
      <c r="B244" s="9" t="s">
        <v>178</v>
      </c>
      <c r="C244" s="10">
        <v>-16000</v>
      </c>
      <c r="D244" s="10">
        <f t="shared" si="3"/>
        <v>8890</v>
      </c>
    </row>
    <row r="245" spans="1:4" ht="14.25" customHeight="1" x14ac:dyDescent="0.25">
      <c r="A245" s="8">
        <v>46253</v>
      </c>
      <c r="B245" s="9" t="s">
        <v>3</v>
      </c>
      <c r="C245" s="10">
        <v>3960</v>
      </c>
      <c r="D245" s="10">
        <f t="shared" si="3"/>
        <v>12850</v>
      </c>
    </row>
    <row r="246" spans="1:4" ht="14.25" customHeight="1" x14ac:dyDescent="0.25">
      <c r="A246" s="8">
        <v>46254</v>
      </c>
      <c r="B246" s="9" t="s">
        <v>3</v>
      </c>
      <c r="C246" s="10">
        <v>5470</v>
      </c>
      <c r="D246" s="10">
        <f t="shared" si="3"/>
        <v>18320</v>
      </c>
    </row>
    <row r="247" spans="1:4" ht="14.25" customHeight="1" x14ac:dyDescent="0.25">
      <c r="A247" s="8">
        <v>46254</v>
      </c>
      <c r="B247" s="9" t="s">
        <v>178</v>
      </c>
      <c r="C247" s="10">
        <v>-7000</v>
      </c>
      <c r="D247" s="10">
        <f t="shared" si="3"/>
        <v>11320</v>
      </c>
    </row>
    <row r="248" spans="1:4" ht="14.25" customHeight="1" x14ac:dyDescent="0.25">
      <c r="A248" s="8">
        <v>46258</v>
      </c>
      <c r="B248" s="9" t="s">
        <v>3</v>
      </c>
      <c r="C248" s="10">
        <v>5100</v>
      </c>
      <c r="D248" s="10">
        <f t="shared" si="3"/>
        <v>16420</v>
      </c>
    </row>
    <row r="249" spans="1:4" ht="14.25" customHeight="1" x14ac:dyDescent="0.25">
      <c r="A249" s="8">
        <v>46258</v>
      </c>
      <c r="B249" s="9" t="s">
        <v>178</v>
      </c>
      <c r="C249" s="10">
        <v>-7000</v>
      </c>
      <c r="D249" s="10">
        <f t="shared" si="3"/>
        <v>9420</v>
      </c>
    </row>
    <row r="250" spans="1:4" ht="14.25" customHeight="1" x14ac:dyDescent="0.25">
      <c r="A250" s="8">
        <v>46261</v>
      </c>
      <c r="B250" s="9" t="s">
        <v>3</v>
      </c>
      <c r="C250" s="10">
        <v>6700</v>
      </c>
      <c r="D250" s="10">
        <f t="shared" si="3"/>
        <v>16120</v>
      </c>
    </row>
    <row r="251" spans="1:4" ht="14.25" customHeight="1" x14ac:dyDescent="0.25">
      <c r="A251" s="8">
        <v>46261</v>
      </c>
      <c r="B251" s="9" t="s">
        <v>178</v>
      </c>
      <c r="C251" s="10">
        <v>-5000</v>
      </c>
      <c r="D251" s="10">
        <f t="shared" si="3"/>
        <v>11120</v>
      </c>
    </row>
    <row r="252" spans="1:4" ht="14.25" customHeight="1" x14ac:dyDescent="0.25">
      <c r="A252" s="8">
        <v>46265</v>
      </c>
      <c r="B252" s="9" t="s">
        <v>3</v>
      </c>
      <c r="C252" s="10">
        <v>3160</v>
      </c>
      <c r="D252" s="10">
        <f t="shared" si="3"/>
        <v>14280</v>
      </c>
    </row>
    <row r="253" spans="1:4" ht="14.25" customHeight="1" x14ac:dyDescent="0.25">
      <c r="A253" s="8">
        <v>46265</v>
      </c>
      <c r="B253" s="9" t="s">
        <v>178</v>
      </c>
      <c r="C253" s="10">
        <v>-7000</v>
      </c>
      <c r="D253" s="10">
        <f t="shared" si="3"/>
        <v>7280</v>
      </c>
    </row>
    <row r="254" spans="1:4" ht="14.25" customHeight="1" x14ac:dyDescent="0.25">
      <c r="A254" s="8">
        <v>46268</v>
      </c>
      <c r="B254" s="9" t="s">
        <v>3</v>
      </c>
      <c r="C254" s="10">
        <v>13620</v>
      </c>
      <c r="D254" s="10">
        <f t="shared" si="3"/>
        <v>20900</v>
      </c>
    </row>
    <row r="255" spans="1:4" ht="14.25" customHeight="1" x14ac:dyDescent="0.25">
      <c r="A255" s="8">
        <v>46268</v>
      </c>
      <c r="B255" s="9" t="s">
        <v>178</v>
      </c>
      <c r="C255" s="10">
        <v>-7280</v>
      </c>
      <c r="D255" s="10">
        <f t="shared" si="3"/>
        <v>13620</v>
      </c>
    </row>
    <row r="256" spans="1:4" ht="14.25" customHeight="1" x14ac:dyDescent="0.25">
      <c r="A256" s="8">
        <v>46272</v>
      </c>
      <c r="B256" s="9" t="s">
        <v>3</v>
      </c>
      <c r="C256" s="10">
        <v>6510</v>
      </c>
      <c r="D256" s="10">
        <f t="shared" si="3"/>
        <v>20130</v>
      </c>
    </row>
    <row r="257" spans="1:4" ht="14.25" customHeight="1" x14ac:dyDescent="0.25">
      <c r="A257" s="8">
        <v>46272</v>
      </c>
      <c r="B257" s="9" t="s">
        <v>178</v>
      </c>
      <c r="C257" s="10">
        <v>-13620</v>
      </c>
      <c r="D257" s="10">
        <f t="shared" si="3"/>
        <v>6510</v>
      </c>
    </row>
    <row r="258" spans="1:4" ht="14.25" customHeight="1" x14ac:dyDescent="0.25">
      <c r="A258" s="8">
        <v>46275</v>
      </c>
      <c r="B258" s="9" t="s">
        <v>148</v>
      </c>
      <c r="C258" s="10">
        <v>3110</v>
      </c>
      <c r="D258" s="10">
        <f t="shared" si="3"/>
        <v>9620</v>
      </c>
    </row>
    <row r="259" spans="1:4" ht="14.25" customHeight="1" x14ac:dyDescent="0.25">
      <c r="A259" s="8">
        <v>46275</v>
      </c>
      <c r="B259" s="9" t="s">
        <v>3</v>
      </c>
      <c r="C259" s="10">
        <v>6130</v>
      </c>
      <c r="D259" s="10">
        <f t="shared" si="3"/>
        <v>15750</v>
      </c>
    </row>
    <row r="260" spans="1:4" ht="14.25" customHeight="1" x14ac:dyDescent="0.25">
      <c r="A260" s="8">
        <v>46275</v>
      </c>
      <c r="B260" s="9" t="s">
        <v>178</v>
      </c>
      <c r="C260" s="10">
        <v>-9620</v>
      </c>
      <c r="D260" s="10">
        <f t="shared" si="3"/>
        <v>6130</v>
      </c>
    </row>
    <row r="261" spans="1:4" ht="14.25" customHeight="1" x14ac:dyDescent="0.25">
      <c r="A261" s="8">
        <v>46277</v>
      </c>
      <c r="B261" s="9" t="s">
        <v>129</v>
      </c>
      <c r="C261" s="10">
        <v>1570</v>
      </c>
      <c r="D261" s="10">
        <f t="shared" si="3"/>
        <v>7700</v>
      </c>
    </row>
    <row r="262" spans="1:4" ht="14.25" customHeight="1" x14ac:dyDescent="0.25">
      <c r="A262" s="8">
        <v>46279</v>
      </c>
      <c r="B262" s="9" t="s">
        <v>3</v>
      </c>
      <c r="C262" s="10">
        <v>6330</v>
      </c>
      <c r="D262" s="10">
        <f t="shared" si="3"/>
        <v>14030</v>
      </c>
    </row>
    <row r="263" spans="1:4" ht="14.25" customHeight="1" x14ac:dyDescent="0.25">
      <c r="A263" s="8">
        <v>46279</v>
      </c>
      <c r="B263" s="9" t="s">
        <v>178</v>
      </c>
      <c r="C263" s="10">
        <v>-7700</v>
      </c>
      <c r="D263" s="10">
        <f t="shared" si="3"/>
        <v>6330</v>
      </c>
    </row>
    <row r="264" spans="1:4" ht="14.25" customHeight="1" x14ac:dyDescent="0.25">
      <c r="A264" s="8">
        <v>46282</v>
      </c>
      <c r="B264" s="9" t="s">
        <v>3</v>
      </c>
      <c r="C264" s="10">
        <v>29370</v>
      </c>
      <c r="D264" s="10">
        <f t="shared" si="3"/>
        <v>35700</v>
      </c>
    </row>
    <row r="265" spans="1:4" ht="14.25" customHeight="1" x14ac:dyDescent="0.25">
      <c r="A265" s="8">
        <v>46282</v>
      </c>
      <c r="B265" s="9" t="s">
        <v>178</v>
      </c>
      <c r="C265" s="10">
        <v>-7000</v>
      </c>
      <c r="D265" s="10">
        <f t="shared" si="3"/>
        <v>28700</v>
      </c>
    </row>
    <row r="266" spans="1:4" ht="14.25" customHeight="1" x14ac:dyDescent="0.25">
      <c r="A266" s="8">
        <v>46284</v>
      </c>
      <c r="B266" s="9" t="s">
        <v>129</v>
      </c>
      <c r="C266" s="10">
        <v>17020</v>
      </c>
      <c r="D266" s="10">
        <f t="shared" si="3"/>
        <v>45720</v>
      </c>
    </row>
    <row r="267" spans="1:4" ht="14.25" customHeight="1" x14ac:dyDescent="0.25">
      <c r="A267" s="8">
        <v>46286</v>
      </c>
      <c r="B267" s="9" t="s">
        <v>3</v>
      </c>
      <c r="C267" s="10">
        <v>5670</v>
      </c>
      <c r="D267" s="10">
        <f t="shared" si="3"/>
        <v>51390</v>
      </c>
    </row>
    <row r="268" spans="1:4" ht="14.25" customHeight="1" x14ac:dyDescent="0.25">
      <c r="A268" s="8">
        <v>46286</v>
      </c>
      <c r="B268" s="9" t="s">
        <v>178</v>
      </c>
      <c r="C268" s="10">
        <v>-8000</v>
      </c>
      <c r="D268" s="10">
        <f t="shared" si="3"/>
        <v>43390</v>
      </c>
    </row>
    <row r="269" spans="1:4" ht="14.25" customHeight="1" x14ac:dyDescent="0.25">
      <c r="A269" s="8">
        <v>46289</v>
      </c>
      <c r="B269" s="9" t="s">
        <v>3</v>
      </c>
      <c r="C269" s="10">
        <v>5240</v>
      </c>
      <c r="D269" s="10">
        <f t="shared" si="3"/>
        <v>48630</v>
      </c>
    </row>
    <row r="270" spans="1:4" ht="14.25" customHeight="1" x14ac:dyDescent="0.25">
      <c r="A270" s="8">
        <v>46289</v>
      </c>
      <c r="B270" s="9" t="s">
        <v>178</v>
      </c>
      <c r="C270" s="10">
        <v>-12500</v>
      </c>
      <c r="D270" s="10">
        <f t="shared" si="3"/>
        <v>36130</v>
      </c>
    </row>
    <row r="271" spans="1:4" ht="14.25" customHeight="1" x14ac:dyDescent="0.25">
      <c r="A271" s="8">
        <v>46291</v>
      </c>
      <c r="B271" s="9" t="s">
        <v>148</v>
      </c>
      <c r="C271" s="10">
        <v>3560</v>
      </c>
      <c r="D271" s="10">
        <f t="shared" si="3"/>
        <v>39690</v>
      </c>
    </row>
    <row r="272" spans="1:4" ht="14.25" customHeight="1" x14ac:dyDescent="0.25">
      <c r="A272" s="8">
        <v>46293</v>
      </c>
      <c r="B272" s="9" t="s">
        <v>3</v>
      </c>
      <c r="C272" s="10">
        <v>6810</v>
      </c>
      <c r="D272" s="10">
        <f t="shared" si="3"/>
        <v>46500</v>
      </c>
    </row>
    <row r="273" spans="1:4" ht="14.25" customHeight="1" x14ac:dyDescent="0.25">
      <c r="A273" s="8">
        <v>46293</v>
      </c>
      <c r="B273" s="9" t="s">
        <v>178</v>
      </c>
      <c r="C273" s="10">
        <v>-30000</v>
      </c>
      <c r="D273" s="10">
        <f t="shared" si="3"/>
        <v>16500</v>
      </c>
    </row>
    <row r="274" spans="1:4" ht="14.25" customHeight="1" x14ac:dyDescent="0.25">
      <c r="A274" s="8">
        <v>46296</v>
      </c>
      <c r="B274" s="9" t="s">
        <v>589</v>
      </c>
      <c r="C274" s="10">
        <v>8940</v>
      </c>
      <c r="D274" s="10">
        <f t="shared" si="3"/>
        <v>25440</v>
      </c>
    </row>
    <row r="275" spans="1:4" ht="14.25" customHeight="1" x14ac:dyDescent="0.25">
      <c r="A275" s="8">
        <v>46296</v>
      </c>
      <c r="B275" s="9" t="s">
        <v>178</v>
      </c>
      <c r="C275" s="10">
        <v>-9000</v>
      </c>
      <c r="D275" s="10">
        <f t="shared" si="3"/>
        <v>16440</v>
      </c>
    </row>
    <row r="276" spans="1:4" ht="14.25" customHeight="1" x14ac:dyDescent="0.25">
      <c r="A276" s="8">
        <v>46300</v>
      </c>
      <c r="B276" s="9" t="s">
        <v>589</v>
      </c>
      <c r="C276" s="10">
        <v>7130</v>
      </c>
      <c r="D276" s="10">
        <f t="shared" si="3"/>
        <v>23570</v>
      </c>
    </row>
    <row r="277" spans="1:4" ht="14.25" customHeight="1" x14ac:dyDescent="0.25">
      <c r="A277" s="8">
        <v>46300</v>
      </c>
      <c r="B277" s="9" t="s">
        <v>178</v>
      </c>
      <c r="C277" s="10">
        <v>5500</v>
      </c>
      <c r="D277" s="10">
        <f t="shared" si="3"/>
        <v>29070</v>
      </c>
    </row>
    <row r="278" spans="1:4" ht="14.25" customHeight="1" x14ac:dyDescent="0.25">
      <c r="A278" s="8"/>
      <c r="B278" s="9"/>
      <c r="C278" s="10"/>
      <c r="D278" s="10">
        <f t="shared" si="3"/>
        <v>29070</v>
      </c>
    </row>
    <row r="279" spans="1:4" ht="14.25" customHeight="1" x14ac:dyDescent="0.25">
      <c r="A279" s="8"/>
      <c r="B279" s="9"/>
      <c r="C279" s="10"/>
      <c r="D279" s="10">
        <f t="shared" si="3"/>
        <v>29070</v>
      </c>
    </row>
    <row r="280" spans="1:4" ht="14.25" customHeight="1" x14ac:dyDescent="0.25">
      <c r="A280" s="8"/>
      <c r="B280" s="9"/>
      <c r="C280" s="10"/>
      <c r="D280" s="10">
        <f t="shared" si="3"/>
        <v>29070</v>
      </c>
    </row>
    <row r="281" spans="1:4" x14ac:dyDescent="0.25">
      <c r="A281" s="9"/>
      <c r="B281" s="9"/>
      <c r="C281" s="10"/>
      <c r="D281" s="10">
        <f t="shared" si="3"/>
        <v>29070</v>
      </c>
    </row>
    <row r="282" spans="1:4" x14ac:dyDescent="0.25">
      <c r="A282" s="9"/>
      <c r="B282" s="9"/>
      <c r="C282" s="10"/>
      <c r="D282" s="10">
        <f t="shared" si="3"/>
        <v>29070</v>
      </c>
    </row>
    <row r="294" spans="1:3" ht="21" x14ac:dyDescent="0.35">
      <c r="A294" s="90"/>
      <c r="B294" s="90"/>
      <c r="C294" s="91"/>
    </row>
    <row r="295" spans="1:3" ht="21" x14ac:dyDescent="0.35">
      <c r="A295" s="90"/>
      <c r="B295" s="90"/>
      <c r="C295" s="91"/>
    </row>
    <row r="296" spans="1:3" ht="21" x14ac:dyDescent="0.35">
      <c r="A296" s="90"/>
      <c r="B296" s="90"/>
      <c r="C296" s="91"/>
    </row>
    <row r="297" spans="1:3" ht="21" x14ac:dyDescent="0.35">
      <c r="A297" s="90"/>
      <c r="B297" s="90"/>
      <c r="C297" s="91"/>
    </row>
    <row r="298" spans="1:3" ht="21" x14ac:dyDescent="0.35">
      <c r="A298" s="90"/>
      <c r="B298" s="90"/>
      <c r="C298" s="91"/>
    </row>
    <row r="299" spans="1:3" ht="21" x14ac:dyDescent="0.35">
      <c r="A299" s="90"/>
      <c r="B299" s="90"/>
      <c r="C299" s="91"/>
    </row>
    <row r="300" spans="1:3" ht="21" x14ac:dyDescent="0.35">
      <c r="A300" s="90"/>
      <c r="B300" s="90"/>
      <c r="C300" s="91"/>
    </row>
    <row r="301" spans="1:3" ht="21" x14ac:dyDescent="0.35">
      <c r="A301" s="90"/>
      <c r="B301" s="90"/>
      <c r="C301" s="91"/>
    </row>
    <row r="302" spans="1:3" ht="21" x14ac:dyDescent="0.35">
      <c r="A302" s="90"/>
      <c r="B302" s="90"/>
      <c r="C302" s="91"/>
    </row>
    <row r="303" spans="1:3" ht="21" x14ac:dyDescent="0.35">
      <c r="A303" s="90"/>
      <c r="B303" s="90"/>
      <c r="C303" s="91"/>
    </row>
    <row r="304" spans="1:3" ht="21" x14ac:dyDescent="0.35">
      <c r="A304" s="90"/>
      <c r="B304" s="90"/>
      <c r="C304" s="91"/>
    </row>
    <row r="305" spans="1:3" ht="21" x14ac:dyDescent="0.35">
      <c r="A305" s="90"/>
      <c r="B305" s="90"/>
      <c r="C305" s="91"/>
    </row>
  </sheetData>
  <mergeCells count="2">
    <mergeCell ref="A4:D4"/>
    <mergeCell ref="B6:D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898B4-996F-4124-A005-74AEFC3B8FCF}">
  <sheetPr>
    <tabColor theme="0" tint="-0.499984740745262"/>
  </sheetPr>
  <dimension ref="A4:G194"/>
  <sheetViews>
    <sheetView topLeftCell="A159" workbookViewId="0">
      <selection activeCell="C181" sqref="C181"/>
    </sheetView>
  </sheetViews>
  <sheetFormatPr baseColWidth="10" defaultRowHeight="15" x14ac:dyDescent="0.25"/>
  <cols>
    <col min="1" max="1" width="28.28515625" customWidth="1"/>
    <col min="2" max="2" width="30.7109375" customWidth="1"/>
    <col min="3" max="3" width="23.42578125" style="6" customWidth="1"/>
    <col min="4" max="4" width="21.85546875" style="6" customWidth="1"/>
  </cols>
  <sheetData>
    <row r="4" spans="1:7" ht="18" x14ac:dyDescent="0.25">
      <c r="A4" s="98" t="s">
        <v>0</v>
      </c>
      <c r="B4" s="98"/>
      <c r="C4" s="98"/>
      <c r="D4" s="98"/>
      <c r="E4" s="1"/>
      <c r="F4" s="1"/>
      <c r="G4" s="1"/>
    </row>
    <row r="6" spans="1:7" x14ac:dyDescent="0.25">
      <c r="A6" s="2" t="s">
        <v>1</v>
      </c>
      <c r="B6" s="96" t="s">
        <v>25</v>
      </c>
      <c r="C6" s="97"/>
      <c r="D6" s="97"/>
    </row>
    <row r="7" spans="1:7" x14ac:dyDescent="0.25">
      <c r="A7" s="3" t="s">
        <v>11</v>
      </c>
      <c r="B7" s="4" t="s">
        <v>18</v>
      </c>
      <c r="C7" s="4"/>
      <c r="D7" s="4"/>
    </row>
    <row r="8" spans="1:7" x14ac:dyDescent="0.25">
      <c r="B8" s="5"/>
    </row>
    <row r="9" spans="1:7" x14ac:dyDescent="0.25">
      <c r="A9" s="2" t="s">
        <v>2</v>
      </c>
      <c r="B9" s="2" t="s">
        <v>3</v>
      </c>
      <c r="C9" s="7" t="s">
        <v>4</v>
      </c>
      <c r="D9" s="7" t="s">
        <v>5</v>
      </c>
    </row>
    <row r="10" spans="1:7" x14ac:dyDescent="0.25">
      <c r="A10" s="8">
        <v>45834</v>
      </c>
      <c r="B10" s="9" t="s">
        <v>6</v>
      </c>
      <c r="C10" s="10">
        <v>17015</v>
      </c>
      <c r="D10" s="10">
        <f>C10</f>
        <v>17015</v>
      </c>
    </row>
    <row r="11" spans="1:7" x14ac:dyDescent="0.25">
      <c r="A11" s="8">
        <v>45838</v>
      </c>
      <c r="B11" s="9" t="s">
        <v>6</v>
      </c>
      <c r="C11" s="10">
        <v>2980</v>
      </c>
      <c r="D11" s="10">
        <f>D10+C11</f>
        <v>19995</v>
      </c>
      <c r="F11" t="s">
        <v>59</v>
      </c>
    </row>
    <row r="12" spans="1:7" x14ac:dyDescent="0.25">
      <c r="A12" s="8">
        <v>45838</v>
      </c>
      <c r="B12" s="9" t="s">
        <v>7</v>
      </c>
      <c r="C12" s="10">
        <v>-9000</v>
      </c>
      <c r="D12" s="10">
        <f t="shared" ref="D12:D32" si="0">D11+C12</f>
        <v>10995</v>
      </c>
    </row>
    <row r="13" spans="1:7" x14ac:dyDescent="0.25">
      <c r="A13" s="8">
        <v>45841</v>
      </c>
      <c r="B13" s="9" t="s">
        <v>6</v>
      </c>
      <c r="C13" s="10">
        <v>1870</v>
      </c>
      <c r="D13" s="10">
        <f t="shared" si="0"/>
        <v>12865</v>
      </c>
      <c r="F13" t="s">
        <v>60</v>
      </c>
    </row>
    <row r="14" spans="1:7" x14ac:dyDescent="0.25">
      <c r="A14" s="8">
        <v>45845</v>
      </c>
      <c r="B14" s="9" t="s">
        <v>7</v>
      </c>
      <c r="C14" s="10">
        <v>-6000</v>
      </c>
      <c r="D14" s="10">
        <f t="shared" si="0"/>
        <v>6865</v>
      </c>
    </row>
    <row r="15" spans="1:7" x14ac:dyDescent="0.25">
      <c r="A15" s="8">
        <v>45845</v>
      </c>
      <c r="B15" s="9" t="s">
        <v>6</v>
      </c>
      <c r="C15" s="10">
        <v>4390</v>
      </c>
      <c r="D15" s="11">
        <f>D14+C15</f>
        <v>11255</v>
      </c>
    </row>
    <row r="16" spans="1:7" x14ac:dyDescent="0.25">
      <c r="A16" s="8">
        <v>45848</v>
      </c>
      <c r="B16" s="9" t="s">
        <v>6</v>
      </c>
      <c r="C16" s="10">
        <v>2440</v>
      </c>
      <c r="D16" s="11">
        <f t="shared" ref="D16:D31" si="1">D15+C16</f>
        <v>13695</v>
      </c>
    </row>
    <row r="17" spans="1:4" x14ac:dyDescent="0.25">
      <c r="A17" s="8">
        <v>45852</v>
      </c>
      <c r="B17" s="9" t="s">
        <v>7</v>
      </c>
      <c r="C17" s="10">
        <v>-5000</v>
      </c>
      <c r="D17" s="11">
        <f t="shared" si="1"/>
        <v>8695</v>
      </c>
    </row>
    <row r="18" spans="1:4" x14ac:dyDescent="0.25">
      <c r="A18" s="8">
        <v>45855</v>
      </c>
      <c r="B18" s="9" t="s">
        <v>7</v>
      </c>
      <c r="C18" s="10">
        <v>-4000</v>
      </c>
      <c r="D18" s="11">
        <f t="shared" si="1"/>
        <v>4695</v>
      </c>
    </row>
    <row r="19" spans="1:4" x14ac:dyDescent="0.25">
      <c r="A19" s="8">
        <v>45855</v>
      </c>
      <c r="B19" s="9" t="s">
        <v>6</v>
      </c>
      <c r="C19" s="10">
        <v>2120</v>
      </c>
      <c r="D19" s="11">
        <f t="shared" si="1"/>
        <v>6815</v>
      </c>
    </row>
    <row r="20" spans="1:4" x14ac:dyDescent="0.25">
      <c r="A20" s="8">
        <v>45857</v>
      </c>
      <c r="B20" s="9" t="s">
        <v>6</v>
      </c>
      <c r="C20" s="10">
        <v>5650</v>
      </c>
      <c r="D20" s="11">
        <f t="shared" si="1"/>
        <v>12465</v>
      </c>
    </row>
    <row r="21" spans="1:4" x14ac:dyDescent="0.25">
      <c r="A21" s="8">
        <v>45859</v>
      </c>
      <c r="B21" s="9" t="s">
        <v>6</v>
      </c>
      <c r="C21" s="10">
        <v>990</v>
      </c>
      <c r="D21" s="11">
        <f t="shared" si="1"/>
        <v>13455</v>
      </c>
    </row>
    <row r="22" spans="1:4" x14ac:dyDescent="0.25">
      <c r="A22" s="8">
        <v>45859</v>
      </c>
      <c r="B22" s="9" t="s">
        <v>7</v>
      </c>
      <c r="C22" s="10">
        <v>-5990</v>
      </c>
      <c r="D22" s="11">
        <f t="shared" si="1"/>
        <v>7465</v>
      </c>
    </row>
    <row r="23" spans="1:4" x14ac:dyDescent="0.25">
      <c r="A23" s="8">
        <v>45864</v>
      </c>
      <c r="B23" s="9" t="s">
        <v>6</v>
      </c>
      <c r="C23" s="10">
        <v>2020</v>
      </c>
      <c r="D23" s="11">
        <f t="shared" si="1"/>
        <v>9485</v>
      </c>
    </row>
    <row r="24" spans="1:4" x14ac:dyDescent="0.25">
      <c r="A24" s="8">
        <v>45866</v>
      </c>
      <c r="B24" s="9" t="s">
        <v>6</v>
      </c>
      <c r="C24" s="10">
        <v>700</v>
      </c>
      <c r="D24" s="11">
        <f t="shared" si="1"/>
        <v>10185</v>
      </c>
    </row>
    <row r="25" spans="1:4" x14ac:dyDescent="0.25">
      <c r="A25" s="8">
        <v>45866</v>
      </c>
      <c r="B25" s="9" t="s">
        <v>46</v>
      </c>
      <c r="C25" s="10">
        <v>-4500</v>
      </c>
      <c r="D25" s="11">
        <f t="shared" si="1"/>
        <v>5685</v>
      </c>
    </row>
    <row r="26" spans="1:4" x14ac:dyDescent="0.25">
      <c r="A26" s="8">
        <v>45869</v>
      </c>
      <c r="B26" s="9" t="s">
        <v>6</v>
      </c>
      <c r="C26" s="10">
        <v>2000</v>
      </c>
      <c r="D26" s="11">
        <f t="shared" si="1"/>
        <v>7685</v>
      </c>
    </row>
    <row r="27" spans="1:4" x14ac:dyDescent="0.25">
      <c r="A27" s="8">
        <v>45869</v>
      </c>
      <c r="B27" s="9" t="s">
        <v>46</v>
      </c>
      <c r="C27" s="10">
        <v>-4500</v>
      </c>
      <c r="D27" s="11">
        <f t="shared" si="1"/>
        <v>3185</v>
      </c>
    </row>
    <row r="28" spans="1:4" x14ac:dyDescent="0.25">
      <c r="A28" s="8">
        <v>45873</v>
      </c>
      <c r="B28" s="9" t="s">
        <v>6</v>
      </c>
      <c r="C28" s="10">
        <v>3060</v>
      </c>
      <c r="D28" s="11">
        <f t="shared" si="1"/>
        <v>6245</v>
      </c>
    </row>
    <row r="29" spans="1:4" x14ac:dyDescent="0.25">
      <c r="A29" s="8">
        <v>45873</v>
      </c>
      <c r="B29" s="9" t="s">
        <v>46</v>
      </c>
      <c r="C29" s="10">
        <v>-5000</v>
      </c>
      <c r="D29" s="11">
        <f t="shared" si="1"/>
        <v>1245</v>
      </c>
    </row>
    <row r="30" spans="1:4" x14ac:dyDescent="0.25">
      <c r="A30" s="8">
        <v>45871</v>
      </c>
      <c r="B30" s="9" t="s">
        <v>6</v>
      </c>
      <c r="C30" s="10">
        <v>6370</v>
      </c>
      <c r="D30" s="11">
        <f t="shared" si="1"/>
        <v>7615</v>
      </c>
    </row>
    <row r="31" spans="1:4" x14ac:dyDescent="0.25">
      <c r="A31" s="8">
        <v>45876</v>
      </c>
      <c r="B31" s="9" t="s">
        <v>6</v>
      </c>
      <c r="C31" s="10">
        <v>3470</v>
      </c>
      <c r="D31" s="11">
        <f t="shared" si="1"/>
        <v>11085</v>
      </c>
    </row>
    <row r="32" spans="1:4" x14ac:dyDescent="0.25">
      <c r="A32" s="8">
        <v>45880</v>
      </c>
      <c r="B32" s="9" t="s">
        <v>6</v>
      </c>
      <c r="C32" s="10">
        <v>1140</v>
      </c>
      <c r="D32" s="10">
        <f t="shared" si="0"/>
        <v>12225</v>
      </c>
    </row>
    <row r="33" spans="1:4" x14ac:dyDescent="0.25">
      <c r="A33" s="8">
        <v>45883</v>
      </c>
      <c r="B33" s="9" t="s">
        <v>46</v>
      </c>
      <c r="C33" s="10">
        <v>-6000</v>
      </c>
      <c r="D33" s="10">
        <f>D32+C33</f>
        <v>6225</v>
      </c>
    </row>
    <row r="34" spans="1:4" x14ac:dyDescent="0.25">
      <c r="A34" s="8">
        <v>45883</v>
      </c>
      <c r="B34" s="9" t="s">
        <v>6</v>
      </c>
      <c r="C34" s="10">
        <v>0</v>
      </c>
      <c r="D34" s="10">
        <f t="shared" ref="D34:D97" si="2">D33+C34</f>
        <v>6225</v>
      </c>
    </row>
    <row r="35" spans="1:4" x14ac:dyDescent="0.25">
      <c r="A35" s="8">
        <v>45887</v>
      </c>
      <c r="B35" s="9" t="s">
        <v>6</v>
      </c>
      <c r="C35" s="10">
        <v>3200</v>
      </c>
      <c r="D35" s="10">
        <f>D34+C35</f>
        <v>9425</v>
      </c>
    </row>
    <row r="36" spans="1:4" x14ac:dyDescent="0.25">
      <c r="A36" s="8">
        <v>45887</v>
      </c>
      <c r="B36" s="9" t="s">
        <v>92</v>
      </c>
      <c r="C36" s="10">
        <v>-4500</v>
      </c>
      <c r="D36" s="10">
        <f t="shared" si="2"/>
        <v>4925</v>
      </c>
    </row>
    <row r="37" spans="1:4" x14ac:dyDescent="0.25">
      <c r="A37" s="8">
        <v>45890</v>
      </c>
      <c r="B37" s="9" t="s">
        <v>6</v>
      </c>
      <c r="C37" s="10">
        <v>1520</v>
      </c>
      <c r="D37" s="10">
        <f t="shared" si="2"/>
        <v>6445</v>
      </c>
    </row>
    <row r="38" spans="1:4" x14ac:dyDescent="0.25">
      <c r="A38" s="8">
        <v>45894</v>
      </c>
      <c r="B38" s="9" t="s">
        <v>6</v>
      </c>
      <c r="C38" s="10">
        <v>3060</v>
      </c>
      <c r="D38" s="10">
        <f t="shared" si="2"/>
        <v>9505</v>
      </c>
    </row>
    <row r="39" spans="1:4" x14ac:dyDescent="0.25">
      <c r="A39" s="8">
        <v>45894</v>
      </c>
      <c r="B39" s="9" t="s">
        <v>46</v>
      </c>
      <c r="C39" s="10">
        <v>-5000</v>
      </c>
      <c r="D39" s="10">
        <f t="shared" si="2"/>
        <v>4505</v>
      </c>
    </row>
    <row r="40" spans="1:4" x14ac:dyDescent="0.25">
      <c r="A40" s="8">
        <v>45897</v>
      </c>
      <c r="B40" s="9" t="s">
        <v>6</v>
      </c>
      <c r="C40" s="10">
        <v>3240</v>
      </c>
      <c r="D40" s="10">
        <f t="shared" si="2"/>
        <v>7745</v>
      </c>
    </row>
    <row r="41" spans="1:4" x14ac:dyDescent="0.25">
      <c r="A41" s="8">
        <v>45901</v>
      </c>
      <c r="B41" s="9" t="s">
        <v>6</v>
      </c>
      <c r="C41" s="10">
        <v>1400</v>
      </c>
      <c r="D41" s="10">
        <f t="shared" si="2"/>
        <v>9145</v>
      </c>
    </row>
    <row r="42" spans="1:4" x14ac:dyDescent="0.25">
      <c r="A42" s="8">
        <v>45903</v>
      </c>
      <c r="B42" s="9" t="s">
        <v>6</v>
      </c>
      <c r="C42" s="10">
        <v>5250</v>
      </c>
      <c r="D42" s="10">
        <f t="shared" si="2"/>
        <v>14395</v>
      </c>
    </row>
    <row r="43" spans="1:4" x14ac:dyDescent="0.25">
      <c r="A43" s="8">
        <v>45905</v>
      </c>
      <c r="B43" s="9" t="s">
        <v>6</v>
      </c>
      <c r="C43" s="10">
        <v>1320</v>
      </c>
      <c r="D43" s="10">
        <f t="shared" si="2"/>
        <v>15715</v>
      </c>
    </row>
    <row r="44" spans="1:4" x14ac:dyDescent="0.25">
      <c r="A44" s="8">
        <v>45905</v>
      </c>
      <c r="B44" s="9" t="s">
        <v>55</v>
      </c>
      <c r="C44" s="10">
        <v>-5000</v>
      </c>
      <c r="D44" s="10">
        <f t="shared" si="2"/>
        <v>10715</v>
      </c>
    </row>
    <row r="45" spans="1:4" x14ac:dyDescent="0.25">
      <c r="A45" s="8">
        <v>45908</v>
      </c>
      <c r="B45" s="9" t="s">
        <v>6</v>
      </c>
      <c r="C45" s="10">
        <v>960</v>
      </c>
      <c r="D45" s="10">
        <f t="shared" si="2"/>
        <v>11675</v>
      </c>
    </row>
    <row r="46" spans="1:4" x14ac:dyDescent="0.25">
      <c r="A46" s="8">
        <v>45908</v>
      </c>
      <c r="B46" s="9" t="s">
        <v>7</v>
      </c>
      <c r="C46" s="10">
        <v>-2765</v>
      </c>
      <c r="D46" s="10">
        <f t="shared" si="2"/>
        <v>8910</v>
      </c>
    </row>
    <row r="47" spans="1:4" x14ac:dyDescent="0.25">
      <c r="A47" s="8">
        <v>45911</v>
      </c>
      <c r="B47" s="9" t="s">
        <v>6</v>
      </c>
      <c r="C47" s="10">
        <v>3240</v>
      </c>
      <c r="D47" s="10">
        <f t="shared" si="2"/>
        <v>12150</v>
      </c>
    </row>
    <row r="48" spans="1:4" x14ac:dyDescent="0.25">
      <c r="A48" s="8">
        <v>45915</v>
      </c>
      <c r="B48" s="9" t="s">
        <v>6</v>
      </c>
      <c r="C48" s="10">
        <v>3480</v>
      </c>
      <c r="D48" s="10">
        <f t="shared" si="2"/>
        <v>15630</v>
      </c>
    </row>
    <row r="49" spans="1:4" x14ac:dyDescent="0.25">
      <c r="A49" s="8">
        <v>45915</v>
      </c>
      <c r="B49" s="9" t="s">
        <v>55</v>
      </c>
      <c r="C49" s="10">
        <v>-4500</v>
      </c>
      <c r="D49" s="10">
        <f t="shared" si="2"/>
        <v>11130</v>
      </c>
    </row>
    <row r="50" spans="1:4" x14ac:dyDescent="0.25">
      <c r="A50" s="8">
        <v>45918</v>
      </c>
      <c r="B50" s="9" t="s">
        <v>55</v>
      </c>
      <c r="C50" s="10">
        <v>-4500</v>
      </c>
      <c r="D50" s="10">
        <f t="shared" si="2"/>
        <v>6630</v>
      </c>
    </row>
    <row r="51" spans="1:4" x14ac:dyDescent="0.25">
      <c r="A51" s="8">
        <v>45919</v>
      </c>
      <c r="B51" s="9" t="s">
        <v>143</v>
      </c>
      <c r="C51" s="10">
        <v>2440</v>
      </c>
      <c r="D51" s="10">
        <f t="shared" si="2"/>
        <v>9070</v>
      </c>
    </row>
    <row r="52" spans="1:4" x14ac:dyDescent="0.25">
      <c r="A52" s="8">
        <v>45925</v>
      </c>
      <c r="B52" s="9" t="s">
        <v>6</v>
      </c>
      <c r="C52" s="10">
        <v>2100</v>
      </c>
      <c r="D52" s="10">
        <f t="shared" si="2"/>
        <v>11170</v>
      </c>
    </row>
    <row r="53" spans="1:4" x14ac:dyDescent="0.25">
      <c r="A53" s="8">
        <v>45925</v>
      </c>
      <c r="B53" s="9" t="s">
        <v>46</v>
      </c>
      <c r="C53" s="10">
        <v>-5000</v>
      </c>
      <c r="D53" s="10">
        <f t="shared" si="2"/>
        <v>6170</v>
      </c>
    </row>
    <row r="54" spans="1:4" x14ac:dyDescent="0.25">
      <c r="A54" s="8">
        <v>45929</v>
      </c>
      <c r="B54" s="9" t="s">
        <v>3</v>
      </c>
      <c r="C54" s="10">
        <v>2440</v>
      </c>
      <c r="D54" s="10">
        <f t="shared" si="2"/>
        <v>8610</v>
      </c>
    </row>
    <row r="55" spans="1:4" x14ac:dyDescent="0.25">
      <c r="A55" s="8">
        <v>45932</v>
      </c>
      <c r="B55" s="9" t="s">
        <v>149</v>
      </c>
      <c r="C55" s="10">
        <v>2560</v>
      </c>
      <c r="D55" s="10">
        <f t="shared" si="2"/>
        <v>11170</v>
      </c>
    </row>
    <row r="56" spans="1:4" x14ac:dyDescent="0.25">
      <c r="A56" s="8">
        <v>45902</v>
      </c>
      <c r="B56" s="9" t="s">
        <v>92</v>
      </c>
      <c r="C56" s="10">
        <v>-4500</v>
      </c>
      <c r="D56" s="10">
        <f t="shared" si="2"/>
        <v>6670</v>
      </c>
    </row>
    <row r="57" spans="1:4" x14ac:dyDescent="0.25">
      <c r="A57" s="8">
        <v>45936</v>
      </c>
      <c r="B57" s="9" t="s">
        <v>3</v>
      </c>
      <c r="C57" s="10">
        <v>1970</v>
      </c>
      <c r="D57" s="10">
        <f t="shared" si="2"/>
        <v>8640</v>
      </c>
    </row>
    <row r="58" spans="1:4" x14ac:dyDescent="0.25">
      <c r="A58" s="8">
        <v>45939</v>
      </c>
      <c r="B58" s="9" t="s">
        <v>3</v>
      </c>
      <c r="C58" s="10">
        <v>2420</v>
      </c>
      <c r="D58" s="10">
        <f t="shared" si="2"/>
        <v>11060</v>
      </c>
    </row>
    <row r="59" spans="1:4" x14ac:dyDescent="0.25">
      <c r="A59" s="8">
        <v>45939</v>
      </c>
      <c r="B59" s="9" t="s">
        <v>178</v>
      </c>
      <c r="C59" s="10">
        <v>-4000</v>
      </c>
      <c r="D59" s="10">
        <f t="shared" si="2"/>
        <v>7060</v>
      </c>
    </row>
    <row r="60" spans="1:4" x14ac:dyDescent="0.25">
      <c r="A60" s="8">
        <v>45943</v>
      </c>
      <c r="B60" s="9" t="s">
        <v>3</v>
      </c>
      <c r="C60" s="10">
        <v>1630</v>
      </c>
      <c r="D60" s="10">
        <f t="shared" si="2"/>
        <v>8690</v>
      </c>
    </row>
    <row r="61" spans="1:4" x14ac:dyDescent="0.25">
      <c r="A61" s="8">
        <v>45943</v>
      </c>
      <c r="B61" s="9" t="s">
        <v>178</v>
      </c>
      <c r="C61" s="10">
        <v>-4000</v>
      </c>
      <c r="D61" s="10">
        <f t="shared" si="2"/>
        <v>4690</v>
      </c>
    </row>
    <row r="62" spans="1:4" x14ac:dyDescent="0.25">
      <c r="A62" s="8">
        <v>45950</v>
      </c>
      <c r="B62" s="9" t="s">
        <v>3</v>
      </c>
      <c r="C62" s="10">
        <v>1680</v>
      </c>
      <c r="D62" s="10">
        <f t="shared" si="2"/>
        <v>6370</v>
      </c>
    </row>
    <row r="63" spans="1:4" x14ac:dyDescent="0.25">
      <c r="A63" s="8">
        <v>45953</v>
      </c>
      <c r="B63" s="9" t="s">
        <v>3</v>
      </c>
      <c r="C63" s="10">
        <v>5880</v>
      </c>
      <c r="D63" s="10">
        <f t="shared" si="2"/>
        <v>12250</v>
      </c>
    </row>
    <row r="64" spans="1:4" x14ac:dyDescent="0.25">
      <c r="A64" s="8">
        <v>45953</v>
      </c>
      <c r="B64" s="9" t="s">
        <v>178</v>
      </c>
      <c r="C64" s="10">
        <v>-4000</v>
      </c>
      <c r="D64" s="10">
        <f t="shared" si="2"/>
        <v>8250</v>
      </c>
    </row>
    <row r="65" spans="1:4" x14ac:dyDescent="0.25">
      <c r="A65" s="8">
        <v>45957</v>
      </c>
      <c r="B65" s="9" t="s">
        <v>3</v>
      </c>
      <c r="C65" s="10">
        <v>3570</v>
      </c>
      <c r="D65" s="10">
        <f t="shared" si="2"/>
        <v>11820</v>
      </c>
    </row>
    <row r="66" spans="1:4" x14ac:dyDescent="0.25">
      <c r="A66" s="8">
        <v>45957</v>
      </c>
      <c r="B66" s="9" t="s">
        <v>92</v>
      </c>
      <c r="C66" s="10">
        <v>-4000</v>
      </c>
      <c r="D66" s="10">
        <f t="shared" si="2"/>
        <v>7820</v>
      </c>
    </row>
    <row r="67" spans="1:4" x14ac:dyDescent="0.25">
      <c r="A67" s="8">
        <v>45964</v>
      </c>
      <c r="B67" s="9" t="s">
        <v>3</v>
      </c>
      <c r="C67" s="10">
        <v>1680</v>
      </c>
      <c r="D67" s="10">
        <f t="shared" si="2"/>
        <v>9500</v>
      </c>
    </row>
    <row r="68" spans="1:4" x14ac:dyDescent="0.25">
      <c r="A68" s="8">
        <v>45967</v>
      </c>
      <c r="B68" s="9" t="s">
        <v>3</v>
      </c>
      <c r="C68" s="10">
        <v>3750</v>
      </c>
      <c r="D68" s="10">
        <f t="shared" si="2"/>
        <v>13250</v>
      </c>
    </row>
    <row r="69" spans="1:4" x14ac:dyDescent="0.25">
      <c r="A69" s="8">
        <v>45971</v>
      </c>
      <c r="B69" s="9" t="s">
        <v>92</v>
      </c>
      <c r="C69" s="10">
        <v>-5000</v>
      </c>
      <c r="D69" s="10">
        <f t="shared" si="2"/>
        <v>8250</v>
      </c>
    </row>
    <row r="70" spans="1:4" x14ac:dyDescent="0.25">
      <c r="A70" s="8">
        <v>45974</v>
      </c>
      <c r="B70" s="9" t="s">
        <v>3</v>
      </c>
      <c r="C70" s="10">
        <v>4210</v>
      </c>
      <c r="D70" s="10">
        <f t="shared" si="2"/>
        <v>12460</v>
      </c>
    </row>
    <row r="71" spans="1:4" x14ac:dyDescent="0.25">
      <c r="A71" s="8">
        <v>45978</v>
      </c>
      <c r="B71" s="9" t="s">
        <v>3</v>
      </c>
      <c r="C71" s="10">
        <v>700</v>
      </c>
      <c r="D71" s="10">
        <f t="shared" si="2"/>
        <v>13160</v>
      </c>
    </row>
    <row r="72" spans="1:4" x14ac:dyDescent="0.25">
      <c r="A72" s="8">
        <v>45978</v>
      </c>
      <c r="B72" s="9" t="s">
        <v>92</v>
      </c>
      <c r="C72" s="10">
        <v>-4500</v>
      </c>
      <c r="D72" s="10">
        <f t="shared" si="2"/>
        <v>8660</v>
      </c>
    </row>
    <row r="73" spans="1:4" x14ac:dyDescent="0.25">
      <c r="A73" s="8">
        <v>45981</v>
      </c>
      <c r="B73" s="9" t="s">
        <v>3</v>
      </c>
      <c r="C73" s="10">
        <v>360</v>
      </c>
      <c r="D73" s="10">
        <f t="shared" si="2"/>
        <v>9020</v>
      </c>
    </row>
    <row r="74" spans="1:4" x14ac:dyDescent="0.25">
      <c r="A74" s="8">
        <v>45985</v>
      </c>
      <c r="B74" s="9" t="s">
        <v>92</v>
      </c>
      <c r="C74" s="10">
        <v>-8660</v>
      </c>
      <c r="D74" s="10">
        <f t="shared" si="2"/>
        <v>360</v>
      </c>
    </row>
    <row r="75" spans="1:4" x14ac:dyDescent="0.25">
      <c r="A75" s="8">
        <v>45988</v>
      </c>
      <c r="B75" s="9" t="s">
        <v>3</v>
      </c>
      <c r="C75" s="10">
        <v>8790</v>
      </c>
      <c r="D75" s="10">
        <f t="shared" si="2"/>
        <v>9150</v>
      </c>
    </row>
    <row r="76" spans="1:4" x14ac:dyDescent="0.25">
      <c r="A76" s="8">
        <v>45992</v>
      </c>
      <c r="B76" s="9" t="s">
        <v>3</v>
      </c>
      <c r="C76" s="10">
        <v>10780</v>
      </c>
      <c r="D76" s="10">
        <f t="shared" si="2"/>
        <v>19930</v>
      </c>
    </row>
    <row r="77" spans="1:4" x14ac:dyDescent="0.25">
      <c r="A77" s="8">
        <v>45992</v>
      </c>
      <c r="B77" s="9" t="s">
        <v>92</v>
      </c>
      <c r="C77" s="10">
        <v>-8000</v>
      </c>
      <c r="D77" s="10">
        <f t="shared" si="2"/>
        <v>11930</v>
      </c>
    </row>
    <row r="78" spans="1:4" x14ac:dyDescent="0.25">
      <c r="A78" s="8">
        <v>45995</v>
      </c>
      <c r="B78" s="9" t="s">
        <v>97</v>
      </c>
      <c r="C78" s="10"/>
      <c r="D78" s="10">
        <f t="shared" si="2"/>
        <v>11930</v>
      </c>
    </row>
    <row r="79" spans="1:4" x14ac:dyDescent="0.25">
      <c r="A79" s="8">
        <v>45999</v>
      </c>
      <c r="B79" s="9" t="s">
        <v>3</v>
      </c>
      <c r="C79" s="10">
        <v>1100</v>
      </c>
      <c r="D79" s="10">
        <f t="shared" si="2"/>
        <v>13030</v>
      </c>
    </row>
    <row r="80" spans="1:4" x14ac:dyDescent="0.25">
      <c r="A80" s="8">
        <v>45999</v>
      </c>
      <c r="B80" s="9" t="s">
        <v>92</v>
      </c>
      <c r="C80" s="10">
        <v>-5000</v>
      </c>
      <c r="D80" s="10">
        <f t="shared" si="2"/>
        <v>8030</v>
      </c>
    </row>
    <row r="81" spans="1:4" x14ac:dyDescent="0.25">
      <c r="A81" s="8">
        <v>45999</v>
      </c>
      <c r="B81" s="9" t="s">
        <v>92</v>
      </c>
      <c r="C81" s="10">
        <v>-5000</v>
      </c>
      <c r="D81" s="10">
        <f t="shared" si="2"/>
        <v>3030</v>
      </c>
    </row>
    <row r="82" spans="1:4" x14ac:dyDescent="0.25">
      <c r="A82" s="8">
        <v>46002</v>
      </c>
      <c r="B82" s="9" t="s">
        <v>3</v>
      </c>
      <c r="C82" s="10">
        <v>6170</v>
      </c>
      <c r="D82" s="10">
        <f t="shared" si="2"/>
        <v>9200</v>
      </c>
    </row>
    <row r="83" spans="1:4" x14ac:dyDescent="0.25">
      <c r="A83" s="8">
        <v>46002</v>
      </c>
      <c r="B83" s="9" t="s">
        <v>92</v>
      </c>
      <c r="C83" s="10">
        <v>-5000</v>
      </c>
      <c r="D83" s="10">
        <f t="shared" si="2"/>
        <v>4200</v>
      </c>
    </row>
    <row r="84" spans="1:4" x14ac:dyDescent="0.25">
      <c r="A84" s="8">
        <v>46003</v>
      </c>
      <c r="B84" s="9" t="s">
        <v>3</v>
      </c>
      <c r="C84" s="10">
        <v>8400</v>
      </c>
      <c r="D84" s="10">
        <f t="shared" si="2"/>
        <v>12600</v>
      </c>
    </row>
    <row r="85" spans="1:4" x14ac:dyDescent="0.25">
      <c r="A85" s="8">
        <v>46006</v>
      </c>
      <c r="B85" s="9" t="s">
        <v>92</v>
      </c>
      <c r="C85" s="10">
        <v>-9000</v>
      </c>
      <c r="D85" s="10">
        <f t="shared" si="2"/>
        <v>3600</v>
      </c>
    </row>
    <row r="86" spans="1:4" x14ac:dyDescent="0.25">
      <c r="A86" s="8">
        <v>46009</v>
      </c>
      <c r="B86" s="9" t="s">
        <v>3</v>
      </c>
      <c r="C86" s="10">
        <v>3690</v>
      </c>
      <c r="D86" s="10">
        <f t="shared" si="2"/>
        <v>7290</v>
      </c>
    </row>
    <row r="87" spans="1:4" x14ac:dyDescent="0.25">
      <c r="A87" s="8">
        <v>46008</v>
      </c>
      <c r="B87" s="9" t="s">
        <v>3</v>
      </c>
      <c r="C87" s="10">
        <v>7690</v>
      </c>
      <c r="D87" s="10">
        <f t="shared" si="2"/>
        <v>14980</v>
      </c>
    </row>
    <row r="88" spans="1:4" x14ac:dyDescent="0.25">
      <c r="A88" s="8">
        <v>46009</v>
      </c>
      <c r="B88" s="9" t="s">
        <v>92</v>
      </c>
      <c r="C88" s="10">
        <v>-8000</v>
      </c>
      <c r="D88" s="10">
        <f t="shared" si="2"/>
        <v>6980</v>
      </c>
    </row>
    <row r="89" spans="1:4" x14ac:dyDescent="0.25">
      <c r="A89" s="8">
        <v>46030</v>
      </c>
      <c r="B89" s="9" t="s">
        <v>275</v>
      </c>
      <c r="C89" s="10">
        <v>7930</v>
      </c>
      <c r="D89" s="10">
        <f t="shared" si="2"/>
        <v>14910</v>
      </c>
    </row>
    <row r="90" spans="1:4" x14ac:dyDescent="0.25">
      <c r="A90" s="8">
        <v>46034</v>
      </c>
      <c r="B90" s="9" t="s">
        <v>3</v>
      </c>
      <c r="C90" s="10">
        <v>440</v>
      </c>
      <c r="D90" s="10">
        <f t="shared" si="2"/>
        <v>15350</v>
      </c>
    </row>
    <row r="91" spans="1:4" x14ac:dyDescent="0.25">
      <c r="A91" s="8">
        <v>46034</v>
      </c>
      <c r="B91" s="9" t="s">
        <v>178</v>
      </c>
      <c r="C91" s="10">
        <v>-5000</v>
      </c>
      <c r="D91" s="10">
        <f t="shared" si="2"/>
        <v>10350</v>
      </c>
    </row>
    <row r="92" spans="1:4" x14ac:dyDescent="0.25">
      <c r="A92" s="8">
        <v>46038</v>
      </c>
      <c r="B92" s="9" t="s">
        <v>298</v>
      </c>
      <c r="C92" s="10">
        <v>4220</v>
      </c>
      <c r="D92" s="10">
        <f t="shared" si="2"/>
        <v>14570</v>
      </c>
    </row>
    <row r="93" spans="1:4" x14ac:dyDescent="0.25">
      <c r="A93" s="8">
        <v>46041</v>
      </c>
      <c r="B93" s="9" t="s">
        <v>3</v>
      </c>
      <c r="C93" s="10">
        <v>6990</v>
      </c>
      <c r="D93" s="10">
        <f t="shared" si="2"/>
        <v>21560</v>
      </c>
    </row>
    <row r="94" spans="1:4" x14ac:dyDescent="0.25">
      <c r="A94" s="8">
        <v>46041</v>
      </c>
      <c r="B94" s="9" t="s">
        <v>178</v>
      </c>
      <c r="C94" s="10">
        <v>-5000</v>
      </c>
      <c r="D94" s="10">
        <f t="shared" si="2"/>
        <v>16560</v>
      </c>
    </row>
    <row r="95" spans="1:4" x14ac:dyDescent="0.25">
      <c r="A95" s="8">
        <v>46044</v>
      </c>
      <c r="B95" s="9" t="s">
        <v>3</v>
      </c>
      <c r="C95" s="10">
        <v>7550</v>
      </c>
      <c r="D95" s="10">
        <f t="shared" si="2"/>
        <v>24110</v>
      </c>
    </row>
    <row r="96" spans="1:4" x14ac:dyDescent="0.25">
      <c r="A96" s="8">
        <v>46044</v>
      </c>
      <c r="B96" s="9" t="s">
        <v>178</v>
      </c>
      <c r="C96" s="10">
        <v>-5000</v>
      </c>
      <c r="D96" s="10">
        <f t="shared" si="2"/>
        <v>19110</v>
      </c>
    </row>
    <row r="97" spans="1:4" x14ac:dyDescent="0.25">
      <c r="A97" s="8">
        <v>46048</v>
      </c>
      <c r="B97" s="9" t="s">
        <v>3</v>
      </c>
      <c r="C97" s="10">
        <v>9460</v>
      </c>
      <c r="D97" s="10">
        <f t="shared" si="2"/>
        <v>28570</v>
      </c>
    </row>
    <row r="98" spans="1:4" x14ac:dyDescent="0.25">
      <c r="A98" s="8">
        <v>46048</v>
      </c>
      <c r="B98" s="9" t="s">
        <v>178</v>
      </c>
      <c r="C98" s="10">
        <v>-15000</v>
      </c>
      <c r="D98" s="10">
        <f t="shared" ref="D98:D161" si="3">D97+C98</f>
        <v>13570</v>
      </c>
    </row>
    <row r="99" spans="1:4" x14ac:dyDescent="0.25">
      <c r="A99" s="8">
        <v>46046</v>
      </c>
      <c r="B99" s="9" t="s">
        <v>298</v>
      </c>
      <c r="C99" s="10">
        <v>9390</v>
      </c>
      <c r="D99" s="10">
        <f t="shared" si="3"/>
        <v>22960</v>
      </c>
    </row>
    <row r="100" spans="1:4" x14ac:dyDescent="0.25">
      <c r="A100" s="8">
        <v>46051</v>
      </c>
      <c r="B100" s="9" t="s">
        <v>178</v>
      </c>
      <c r="C100" s="10">
        <v>-5000</v>
      </c>
      <c r="D100" s="10">
        <f t="shared" si="3"/>
        <v>17960</v>
      </c>
    </row>
    <row r="101" spans="1:4" x14ac:dyDescent="0.25">
      <c r="A101" s="8">
        <v>46055</v>
      </c>
      <c r="B101" s="9" t="s">
        <v>307</v>
      </c>
      <c r="C101" s="10">
        <v>4400</v>
      </c>
      <c r="D101" s="10">
        <f t="shared" si="3"/>
        <v>22360</v>
      </c>
    </row>
    <row r="102" spans="1:4" x14ac:dyDescent="0.25">
      <c r="A102" s="8">
        <v>46059</v>
      </c>
      <c r="B102" s="9" t="s">
        <v>178</v>
      </c>
      <c r="C102" s="10">
        <v>-10000</v>
      </c>
      <c r="D102" s="10">
        <f t="shared" si="3"/>
        <v>12360</v>
      </c>
    </row>
    <row r="103" spans="1:4" x14ac:dyDescent="0.25">
      <c r="A103" s="8">
        <v>46062</v>
      </c>
      <c r="B103" s="9" t="s">
        <v>178</v>
      </c>
      <c r="C103" s="10">
        <v>-6000</v>
      </c>
      <c r="D103" s="10">
        <f t="shared" si="3"/>
        <v>6360</v>
      </c>
    </row>
    <row r="104" spans="1:4" x14ac:dyDescent="0.25">
      <c r="A104" s="8">
        <v>46066</v>
      </c>
      <c r="B104" s="9" t="s">
        <v>3</v>
      </c>
      <c r="C104" s="10">
        <v>60140</v>
      </c>
      <c r="D104" s="10">
        <f t="shared" si="3"/>
        <v>66500</v>
      </c>
    </row>
    <row r="105" spans="1:4" x14ac:dyDescent="0.25">
      <c r="A105" s="8">
        <v>46069</v>
      </c>
      <c r="B105" s="9" t="s">
        <v>178</v>
      </c>
      <c r="C105" s="10">
        <v>-60140</v>
      </c>
      <c r="D105" s="10">
        <f t="shared" si="3"/>
        <v>6360</v>
      </c>
    </row>
    <row r="106" spans="1:4" x14ac:dyDescent="0.25">
      <c r="A106" s="8">
        <v>46079</v>
      </c>
      <c r="B106" s="9" t="s">
        <v>3</v>
      </c>
      <c r="C106" s="10">
        <v>4420</v>
      </c>
      <c r="D106" s="10">
        <f t="shared" si="3"/>
        <v>10780</v>
      </c>
    </row>
    <row r="107" spans="1:4" x14ac:dyDescent="0.25">
      <c r="A107" s="8">
        <v>46086</v>
      </c>
      <c r="B107" s="9" t="s">
        <v>178</v>
      </c>
      <c r="C107" s="10">
        <v>-5000</v>
      </c>
      <c r="D107" s="10">
        <f t="shared" si="3"/>
        <v>5780</v>
      </c>
    </row>
    <row r="108" spans="1:4" x14ac:dyDescent="0.25">
      <c r="A108" s="8">
        <v>46087</v>
      </c>
      <c r="B108" s="9" t="s">
        <v>351</v>
      </c>
      <c r="C108" s="10">
        <v>5600</v>
      </c>
      <c r="D108" s="10">
        <f t="shared" si="3"/>
        <v>11380</v>
      </c>
    </row>
    <row r="109" spans="1:4" x14ac:dyDescent="0.25">
      <c r="A109" s="8">
        <v>46087</v>
      </c>
      <c r="B109" s="9" t="s">
        <v>352</v>
      </c>
      <c r="C109" s="10">
        <v>-5600</v>
      </c>
      <c r="D109" s="10">
        <f t="shared" si="3"/>
        <v>5780</v>
      </c>
    </row>
    <row r="110" spans="1:4" x14ac:dyDescent="0.25">
      <c r="A110" s="8">
        <v>46090</v>
      </c>
      <c r="B110" s="9" t="s">
        <v>3</v>
      </c>
      <c r="C110" s="10">
        <v>250</v>
      </c>
      <c r="D110" s="10">
        <f t="shared" si="3"/>
        <v>6030</v>
      </c>
    </row>
    <row r="111" spans="1:4" x14ac:dyDescent="0.25">
      <c r="A111" s="8">
        <v>46093</v>
      </c>
      <c r="B111" s="9" t="s">
        <v>3</v>
      </c>
      <c r="C111" s="10">
        <v>4690</v>
      </c>
      <c r="D111" s="10">
        <f t="shared" si="3"/>
        <v>10720</v>
      </c>
    </row>
    <row r="112" spans="1:4" x14ac:dyDescent="0.25">
      <c r="A112" s="8">
        <v>46093</v>
      </c>
      <c r="B112" s="9" t="s">
        <v>127</v>
      </c>
      <c r="C112" s="10">
        <v>-8000</v>
      </c>
      <c r="D112" s="10">
        <f t="shared" si="3"/>
        <v>2720</v>
      </c>
    </row>
    <row r="113" spans="1:4" x14ac:dyDescent="0.25">
      <c r="A113" s="8">
        <v>46113</v>
      </c>
      <c r="B113" s="9" t="s">
        <v>384</v>
      </c>
      <c r="C113" s="10">
        <v>7520</v>
      </c>
      <c r="D113" s="10">
        <f t="shared" si="3"/>
        <v>10240</v>
      </c>
    </row>
    <row r="114" spans="1:4" x14ac:dyDescent="0.25">
      <c r="A114" s="8">
        <v>46113</v>
      </c>
      <c r="B114" s="9" t="s">
        <v>127</v>
      </c>
      <c r="C114" s="10">
        <v>-7520</v>
      </c>
      <c r="D114" s="10">
        <f t="shared" si="3"/>
        <v>2720</v>
      </c>
    </row>
    <row r="115" spans="1:4" x14ac:dyDescent="0.25">
      <c r="A115" s="8">
        <v>46118</v>
      </c>
      <c r="B115" s="9" t="s">
        <v>3</v>
      </c>
      <c r="C115" s="10">
        <v>2280</v>
      </c>
      <c r="D115" s="10">
        <f t="shared" si="3"/>
        <v>5000</v>
      </c>
    </row>
    <row r="116" spans="1:4" x14ac:dyDescent="0.25">
      <c r="A116" s="8">
        <v>46121</v>
      </c>
      <c r="B116" s="9" t="s">
        <v>391</v>
      </c>
      <c r="C116" s="10">
        <v>1600</v>
      </c>
      <c r="D116" s="10">
        <f t="shared" si="3"/>
        <v>6600</v>
      </c>
    </row>
    <row r="117" spans="1:4" x14ac:dyDescent="0.25">
      <c r="A117" s="8">
        <v>46125</v>
      </c>
      <c r="B117" s="9" t="s">
        <v>3</v>
      </c>
      <c r="C117" s="10">
        <v>1520</v>
      </c>
      <c r="D117" s="10">
        <f t="shared" si="3"/>
        <v>8120</v>
      </c>
    </row>
    <row r="118" spans="1:4" x14ac:dyDescent="0.25">
      <c r="A118" s="8">
        <v>46125</v>
      </c>
      <c r="B118" s="9" t="s">
        <v>178</v>
      </c>
      <c r="C118" s="10">
        <v>-5000</v>
      </c>
      <c r="D118" s="10">
        <f t="shared" si="3"/>
        <v>3120</v>
      </c>
    </row>
    <row r="119" spans="1:4" x14ac:dyDescent="0.25">
      <c r="A119" s="8">
        <v>46128</v>
      </c>
      <c r="B119" s="9" t="s">
        <v>3</v>
      </c>
      <c r="C119" s="10">
        <v>3600</v>
      </c>
      <c r="D119" s="10">
        <f t="shared" si="3"/>
        <v>6720</v>
      </c>
    </row>
    <row r="120" spans="1:4" x14ac:dyDescent="0.25">
      <c r="A120" s="8">
        <v>46132</v>
      </c>
      <c r="B120" s="9" t="s">
        <v>3</v>
      </c>
      <c r="C120" s="10">
        <v>2100</v>
      </c>
      <c r="D120" s="10">
        <f t="shared" si="3"/>
        <v>8820</v>
      </c>
    </row>
    <row r="121" spans="1:4" x14ac:dyDescent="0.25">
      <c r="A121" s="8">
        <v>46135</v>
      </c>
      <c r="B121" s="9" t="s">
        <v>3</v>
      </c>
      <c r="C121" s="10">
        <v>2450</v>
      </c>
      <c r="D121" s="10">
        <f t="shared" si="3"/>
        <v>11270</v>
      </c>
    </row>
    <row r="122" spans="1:4" x14ac:dyDescent="0.25">
      <c r="A122" s="8">
        <v>46135</v>
      </c>
      <c r="B122" s="9" t="s">
        <v>178</v>
      </c>
      <c r="C122" s="10">
        <v>-6000</v>
      </c>
      <c r="D122" s="10">
        <f t="shared" si="3"/>
        <v>5270</v>
      </c>
    </row>
    <row r="123" spans="1:4" x14ac:dyDescent="0.25">
      <c r="A123" s="8">
        <v>46139</v>
      </c>
      <c r="B123" s="9" t="s">
        <v>3</v>
      </c>
      <c r="C123" s="10">
        <v>2100</v>
      </c>
      <c r="D123" s="10">
        <f t="shared" si="3"/>
        <v>7370</v>
      </c>
    </row>
    <row r="124" spans="1:4" x14ac:dyDescent="0.25">
      <c r="A124" s="8">
        <v>46139</v>
      </c>
      <c r="B124" s="9" t="s">
        <v>178</v>
      </c>
      <c r="C124" s="10">
        <v>-5100</v>
      </c>
      <c r="D124" s="10">
        <f t="shared" si="3"/>
        <v>2270</v>
      </c>
    </row>
    <row r="125" spans="1:4" s="67" customFormat="1" ht="15.75" x14ac:dyDescent="0.25">
      <c r="A125" s="43">
        <v>46172</v>
      </c>
      <c r="B125" s="44" t="s">
        <v>3</v>
      </c>
      <c r="C125" s="45">
        <v>5200</v>
      </c>
      <c r="D125" s="10">
        <f t="shared" si="3"/>
        <v>7470</v>
      </c>
    </row>
    <row r="126" spans="1:4" s="67" customFormat="1" ht="15.75" x14ac:dyDescent="0.25">
      <c r="A126" s="43">
        <v>46147</v>
      </c>
      <c r="B126" s="44" t="s">
        <v>418</v>
      </c>
      <c r="C126" s="45">
        <v>750</v>
      </c>
      <c r="D126" s="10">
        <f t="shared" si="3"/>
        <v>8220</v>
      </c>
    </row>
    <row r="127" spans="1:4" s="67" customFormat="1" ht="15.75" x14ac:dyDescent="0.25">
      <c r="A127" s="43">
        <v>46146</v>
      </c>
      <c r="B127" s="44" t="s">
        <v>178</v>
      </c>
      <c r="C127" s="45">
        <v>-3500</v>
      </c>
      <c r="D127" s="10">
        <f t="shared" si="3"/>
        <v>4720</v>
      </c>
    </row>
    <row r="128" spans="1:4" ht="14.25" customHeight="1" x14ac:dyDescent="0.25">
      <c r="A128" s="8">
        <v>46155</v>
      </c>
      <c r="B128" s="9" t="s">
        <v>129</v>
      </c>
      <c r="C128" s="10">
        <v>5960</v>
      </c>
      <c r="D128" s="10">
        <f t="shared" si="3"/>
        <v>10680</v>
      </c>
    </row>
    <row r="129" spans="1:4" x14ac:dyDescent="0.25">
      <c r="A129" s="8">
        <v>46156</v>
      </c>
      <c r="B129" s="9" t="s">
        <v>3</v>
      </c>
      <c r="C129" s="10">
        <v>2100</v>
      </c>
      <c r="D129" s="10">
        <f t="shared" si="3"/>
        <v>12780</v>
      </c>
    </row>
    <row r="130" spans="1:4" x14ac:dyDescent="0.25">
      <c r="A130" s="8">
        <v>46156</v>
      </c>
      <c r="B130" s="9" t="s">
        <v>196</v>
      </c>
      <c r="C130" s="10">
        <v>-7000</v>
      </c>
      <c r="D130" s="10">
        <f t="shared" si="3"/>
        <v>5780</v>
      </c>
    </row>
    <row r="131" spans="1:4" x14ac:dyDescent="0.25">
      <c r="A131" s="8">
        <v>46160</v>
      </c>
      <c r="B131" s="9" t="s">
        <v>3</v>
      </c>
      <c r="C131" s="10">
        <v>7700</v>
      </c>
      <c r="D131" s="10">
        <f t="shared" si="3"/>
        <v>13480</v>
      </c>
    </row>
    <row r="132" spans="1:4" x14ac:dyDescent="0.25">
      <c r="A132" s="8">
        <v>46160</v>
      </c>
      <c r="B132" s="9" t="s">
        <v>178</v>
      </c>
      <c r="C132" s="10">
        <v>-5000</v>
      </c>
      <c r="D132" s="10">
        <f t="shared" si="3"/>
        <v>8480</v>
      </c>
    </row>
    <row r="133" spans="1:4" x14ac:dyDescent="0.25">
      <c r="A133" s="8">
        <v>46163</v>
      </c>
      <c r="B133" s="9" t="s">
        <v>3</v>
      </c>
      <c r="C133" s="10">
        <v>4200</v>
      </c>
      <c r="D133" s="10">
        <f t="shared" si="3"/>
        <v>12680</v>
      </c>
    </row>
    <row r="134" spans="1:4" x14ac:dyDescent="0.25">
      <c r="A134" s="8">
        <v>46163</v>
      </c>
      <c r="B134" s="9" t="s">
        <v>178</v>
      </c>
      <c r="C134" s="10">
        <v>-6500</v>
      </c>
      <c r="D134" s="10">
        <f t="shared" si="3"/>
        <v>6180</v>
      </c>
    </row>
    <row r="135" spans="1:4" x14ac:dyDescent="0.25">
      <c r="A135" s="8">
        <v>46170</v>
      </c>
      <c r="B135" s="9" t="s">
        <v>3</v>
      </c>
      <c r="C135" s="10">
        <v>1800</v>
      </c>
      <c r="D135" s="10">
        <f t="shared" si="3"/>
        <v>7980</v>
      </c>
    </row>
    <row r="136" spans="1:4" x14ac:dyDescent="0.25">
      <c r="A136" s="8">
        <v>46174</v>
      </c>
      <c r="B136" s="9" t="s">
        <v>3</v>
      </c>
      <c r="C136" s="10">
        <v>2750</v>
      </c>
      <c r="D136" s="10">
        <f t="shared" si="3"/>
        <v>10730</v>
      </c>
    </row>
    <row r="137" spans="1:4" x14ac:dyDescent="0.25">
      <c r="A137" s="8">
        <v>46174</v>
      </c>
      <c r="B137" s="9" t="s">
        <v>178</v>
      </c>
      <c r="C137" s="10">
        <v>-5000</v>
      </c>
      <c r="D137" s="10">
        <f t="shared" si="3"/>
        <v>5730</v>
      </c>
    </row>
    <row r="138" spans="1:4" x14ac:dyDescent="0.25">
      <c r="A138" s="8">
        <v>46177</v>
      </c>
      <c r="B138" s="9" t="s">
        <v>3</v>
      </c>
      <c r="C138" s="10">
        <v>3300</v>
      </c>
      <c r="D138" s="10">
        <f t="shared" si="3"/>
        <v>9030</v>
      </c>
    </row>
    <row r="139" spans="1:4" x14ac:dyDescent="0.25">
      <c r="A139" s="8">
        <v>46177</v>
      </c>
      <c r="B139" s="9" t="s">
        <v>178</v>
      </c>
      <c r="C139" s="10">
        <v>-5000</v>
      </c>
      <c r="D139" s="10">
        <f t="shared" si="3"/>
        <v>4030</v>
      </c>
    </row>
    <row r="140" spans="1:4" x14ac:dyDescent="0.25">
      <c r="A140" s="8">
        <v>46181</v>
      </c>
      <c r="B140" s="9" t="s">
        <v>3</v>
      </c>
      <c r="C140" s="10">
        <v>2300</v>
      </c>
      <c r="D140" s="10">
        <f t="shared" si="3"/>
        <v>6330</v>
      </c>
    </row>
    <row r="141" spans="1:4" x14ac:dyDescent="0.25">
      <c r="A141" s="8">
        <v>46184</v>
      </c>
      <c r="B141" s="9" t="s">
        <v>3</v>
      </c>
      <c r="C141" s="10">
        <v>3300</v>
      </c>
      <c r="D141" s="10">
        <f t="shared" si="3"/>
        <v>9630</v>
      </c>
    </row>
    <row r="142" spans="1:4" x14ac:dyDescent="0.25">
      <c r="A142" s="8">
        <v>46184</v>
      </c>
      <c r="B142" s="9" t="s">
        <v>178</v>
      </c>
      <c r="C142" s="10">
        <v>-5000</v>
      </c>
      <c r="D142" s="10">
        <f t="shared" si="3"/>
        <v>4630</v>
      </c>
    </row>
    <row r="143" spans="1:4" x14ac:dyDescent="0.25">
      <c r="A143" s="8">
        <v>46188</v>
      </c>
      <c r="B143" s="9" t="s">
        <v>3</v>
      </c>
      <c r="C143" s="10">
        <v>4320</v>
      </c>
      <c r="D143" s="10">
        <f t="shared" si="3"/>
        <v>8950</v>
      </c>
    </row>
    <row r="144" spans="1:4" x14ac:dyDescent="0.25">
      <c r="A144" s="8">
        <v>46191</v>
      </c>
      <c r="B144" s="9" t="s">
        <v>298</v>
      </c>
      <c r="C144" s="10">
        <v>4440</v>
      </c>
      <c r="D144" s="10">
        <f t="shared" si="3"/>
        <v>13390</v>
      </c>
    </row>
    <row r="145" spans="1:4" x14ac:dyDescent="0.25">
      <c r="A145" s="8">
        <v>46191</v>
      </c>
      <c r="B145" s="9" t="s">
        <v>356</v>
      </c>
      <c r="C145" s="10">
        <v>-8000</v>
      </c>
      <c r="D145" s="10">
        <f t="shared" si="3"/>
        <v>5390</v>
      </c>
    </row>
    <row r="146" spans="1:4" x14ac:dyDescent="0.25">
      <c r="A146" s="8">
        <v>46195</v>
      </c>
      <c r="B146" s="9" t="s">
        <v>3</v>
      </c>
      <c r="C146" s="10">
        <v>1500</v>
      </c>
      <c r="D146" s="10">
        <f t="shared" si="3"/>
        <v>6890</v>
      </c>
    </row>
    <row r="147" spans="1:4" x14ac:dyDescent="0.25">
      <c r="A147" s="8">
        <v>46195</v>
      </c>
      <c r="B147" s="9" t="s">
        <v>178</v>
      </c>
      <c r="C147" s="10">
        <v>-4000</v>
      </c>
      <c r="D147" s="10">
        <f t="shared" si="3"/>
        <v>2890</v>
      </c>
    </row>
    <row r="148" spans="1:4" x14ac:dyDescent="0.25">
      <c r="A148" s="8">
        <v>46198</v>
      </c>
      <c r="B148" s="9" t="s">
        <v>3</v>
      </c>
      <c r="C148" s="10">
        <f>900+2100+300+170+320+180</f>
        <v>3970</v>
      </c>
      <c r="D148" s="10">
        <f t="shared" si="3"/>
        <v>6860</v>
      </c>
    </row>
    <row r="149" spans="1:4" x14ac:dyDescent="0.25">
      <c r="A149" s="8">
        <v>46198</v>
      </c>
      <c r="B149" s="9" t="s">
        <v>178</v>
      </c>
      <c r="C149" s="10">
        <v>-4000</v>
      </c>
      <c r="D149" s="10">
        <f t="shared" si="3"/>
        <v>2860</v>
      </c>
    </row>
    <row r="150" spans="1:4" x14ac:dyDescent="0.25">
      <c r="A150" s="8">
        <v>46202</v>
      </c>
      <c r="B150" s="9" t="s">
        <v>459</v>
      </c>
      <c r="C150" s="10">
        <f>900+600+2400+300</f>
        <v>4200</v>
      </c>
      <c r="D150" s="10">
        <f t="shared" si="3"/>
        <v>7060</v>
      </c>
    </row>
    <row r="151" spans="1:4" x14ac:dyDescent="0.25">
      <c r="A151" s="8">
        <v>46205</v>
      </c>
      <c r="B151" s="9" t="s">
        <v>178</v>
      </c>
      <c r="C151" s="10">
        <v>-7060</v>
      </c>
      <c r="D151" s="10">
        <f t="shared" si="3"/>
        <v>0</v>
      </c>
    </row>
    <row r="152" spans="1:4" x14ac:dyDescent="0.25">
      <c r="A152" s="8">
        <v>46209</v>
      </c>
      <c r="B152" s="9" t="s">
        <v>3</v>
      </c>
      <c r="C152" s="10">
        <v>3900</v>
      </c>
      <c r="D152" s="10">
        <f t="shared" si="3"/>
        <v>3900</v>
      </c>
    </row>
    <row r="153" spans="1:4" x14ac:dyDescent="0.25">
      <c r="A153" s="8">
        <v>46219</v>
      </c>
      <c r="B153" s="9" t="s">
        <v>3</v>
      </c>
      <c r="C153" s="10">
        <v>4800</v>
      </c>
      <c r="D153" s="10">
        <f t="shared" si="3"/>
        <v>8700</v>
      </c>
    </row>
    <row r="154" spans="1:4" x14ac:dyDescent="0.25">
      <c r="A154" s="8">
        <v>46223</v>
      </c>
      <c r="B154" s="9" t="s">
        <v>3</v>
      </c>
      <c r="C154" s="10">
        <v>2700</v>
      </c>
      <c r="D154" s="10">
        <f t="shared" si="3"/>
        <v>11400</v>
      </c>
    </row>
    <row r="155" spans="1:4" x14ac:dyDescent="0.25">
      <c r="A155" s="8">
        <v>46233</v>
      </c>
      <c r="B155" s="9" t="s">
        <v>3</v>
      </c>
      <c r="C155" s="10">
        <v>3340</v>
      </c>
      <c r="D155" s="10">
        <f t="shared" si="3"/>
        <v>14740</v>
      </c>
    </row>
    <row r="156" spans="1:4" x14ac:dyDescent="0.25">
      <c r="A156" s="8">
        <v>46233</v>
      </c>
      <c r="B156" s="9" t="s">
        <v>178</v>
      </c>
      <c r="C156" s="10">
        <v>-10000</v>
      </c>
      <c r="D156" s="10">
        <f t="shared" si="3"/>
        <v>4740</v>
      </c>
    </row>
    <row r="157" spans="1:4" x14ac:dyDescent="0.25">
      <c r="A157" s="8">
        <v>46237</v>
      </c>
      <c r="B157" s="9" t="s">
        <v>3</v>
      </c>
      <c r="C157" s="10">
        <v>3300</v>
      </c>
      <c r="D157" s="10">
        <f t="shared" si="3"/>
        <v>8040</v>
      </c>
    </row>
    <row r="158" spans="1:4" x14ac:dyDescent="0.25">
      <c r="A158" s="8">
        <v>46240</v>
      </c>
      <c r="B158" s="9" t="s">
        <v>3</v>
      </c>
      <c r="C158" s="10">
        <v>4840</v>
      </c>
      <c r="D158" s="10">
        <f t="shared" si="3"/>
        <v>12880</v>
      </c>
    </row>
    <row r="159" spans="1:4" x14ac:dyDescent="0.25">
      <c r="A159" s="8">
        <v>46240</v>
      </c>
      <c r="B159" s="9" t="s">
        <v>178</v>
      </c>
      <c r="C159" s="10">
        <v>-5000</v>
      </c>
      <c r="D159" s="10">
        <f t="shared" si="3"/>
        <v>7880</v>
      </c>
    </row>
    <row r="160" spans="1:4" x14ac:dyDescent="0.25">
      <c r="A160" s="8">
        <v>46244</v>
      </c>
      <c r="B160" s="9" t="s">
        <v>97</v>
      </c>
      <c r="C160" s="10">
        <v>3000</v>
      </c>
      <c r="D160" s="10">
        <f t="shared" si="3"/>
        <v>10880</v>
      </c>
    </row>
    <row r="161" spans="1:4" x14ac:dyDescent="0.25">
      <c r="A161" s="8">
        <v>46244</v>
      </c>
      <c r="B161" s="9" t="s">
        <v>178</v>
      </c>
      <c r="C161" s="10">
        <v>-4500</v>
      </c>
      <c r="D161" s="10">
        <f t="shared" si="3"/>
        <v>6380</v>
      </c>
    </row>
    <row r="162" spans="1:4" x14ac:dyDescent="0.25">
      <c r="A162" s="8">
        <v>46247</v>
      </c>
      <c r="B162" s="9" t="s">
        <v>3</v>
      </c>
      <c r="C162" s="10">
        <v>2700</v>
      </c>
      <c r="D162" s="10">
        <f t="shared" ref="D162:D194" si="4">D161+C162</f>
        <v>9080</v>
      </c>
    </row>
    <row r="163" spans="1:4" x14ac:dyDescent="0.25">
      <c r="A163" s="8">
        <v>46251</v>
      </c>
      <c r="B163" s="9" t="s">
        <v>3</v>
      </c>
      <c r="C163" s="10">
        <v>2820</v>
      </c>
      <c r="D163" s="10">
        <f t="shared" si="4"/>
        <v>11900</v>
      </c>
    </row>
    <row r="164" spans="1:4" x14ac:dyDescent="0.25">
      <c r="A164" s="8">
        <v>46260</v>
      </c>
      <c r="B164" s="9" t="s">
        <v>127</v>
      </c>
      <c r="C164" s="10">
        <v>-12950</v>
      </c>
      <c r="D164" s="10">
        <f t="shared" si="4"/>
        <v>-1050</v>
      </c>
    </row>
    <row r="165" spans="1:4" x14ac:dyDescent="0.25">
      <c r="A165" s="8">
        <v>46261</v>
      </c>
      <c r="B165" s="9" t="s">
        <v>3</v>
      </c>
      <c r="C165" s="10">
        <v>4410</v>
      </c>
      <c r="D165" s="10">
        <f t="shared" si="4"/>
        <v>3360</v>
      </c>
    </row>
    <row r="166" spans="1:4" x14ac:dyDescent="0.25">
      <c r="A166" s="8">
        <v>46265</v>
      </c>
      <c r="B166" s="9" t="s">
        <v>3</v>
      </c>
      <c r="C166" s="10">
        <v>3200</v>
      </c>
      <c r="D166" s="10">
        <f t="shared" si="4"/>
        <v>6560</v>
      </c>
    </row>
    <row r="167" spans="1:4" x14ac:dyDescent="0.25">
      <c r="A167" s="8">
        <v>46268</v>
      </c>
      <c r="B167" s="9" t="s">
        <v>3</v>
      </c>
      <c r="C167" s="10">
        <v>5710</v>
      </c>
      <c r="D167" s="10">
        <f t="shared" si="4"/>
        <v>12270</v>
      </c>
    </row>
    <row r="168" spans="1:4" x14ac:dyDescent="0.25">
      <c r="A168" s="8">
        <v>46268</v>
      </c>
      <c r="B168" s="9" t="s">
        <v>178</v>
      </c>
      <c r="C168" s="10">
        <v>-6000</v>
      </c>
      <c r="D168" s="10">
        <f t="shared" si="4"/>
        <v>6270</v>
      </c>
    </row>
    <row r="169" spans="1:4" x14ac:dyDescent="0.25">
      <c r="A169" s="8">
        <v>46272</v>
      </c>
      <c r="B169" s="9" t="s">
        <v>3</v>
      </c>
      <c r="C169" s="10">
        <v>3590</v>
      </c>
      <c r="D169" s="10">
        <f t="shared" si="4"/>
        <v>9860</v>
      </c>
    </row>
    <row r="170" spans="1:4" x14ac:dyDescent="0.25">
      <c r="A170" s="8">
        <v>46275</v>
      </c>
      <c r="B170" s="9" t="s">
        <v>92</v>
      </c>
      <c r="C170" s="10">
        <v>-5000</v>
      </c>
      <c r="D170" s="10">
        <f t="shared" si="4"/>
        <v>4860</v>
      </c>
    </row>
    <row r="171" spans="1:4" x14ac:dyDescent="0.25">
      <c r="A171" s="8">
        <v>46276</v>
      </c>
      <c r="B171" s="9" t="s">
        <v>298</v>
      </c>
      <c r="C171" s="10">
        <v>3680</v>
      </c>
      <c r="D171" s="10">
        <f t="shared" si="4"/>
        <v>8540</v>
      </c>
    </row>
    <row r="172" spans="1:4" x14ac:dyDescent="0.25">
      <c r="A172" s="8">
        <v>46282</v>
      </c>
      <c r="B172" s="9" t="s">
        <v>3</v>
      </c>
      <c r="C172" s="10">
        <v>5550</v>
      </c>
      <c r="D172" s="10">
        <f t="shared" si="4"/>
        <v>14090</v>
      </c>
    </row>
    <row r="173" spans="1:4" x14ac:dyDescent="0.25">
      <c r="A173" s="8">
        <v>46282</v>
      </c>
      <c r="B173" s="9" t="s">
        <v>178</v>
      </c>
      <c r="C173" s="10">
        <v>-6500</v>
      </c>
      <c r="D173" s="10">
        <f t="shared" si="4"/>
        <v>7590</v>
      </c>
    </row>
    <row r="174" spans="1:4" x14ac:dyDescent="0.25">
      <c r="A174" s="8">
        <v>46286</v>
      </c>
      <c r="B174" s="9" t="s">
        <v>129</v>
      </c>
      <c r="C174" s="10">
        <v>8450</v>
      </c>
      <c r="D174" s="10">
        <f t="shared" si="4"/>
        <v>16040</v>
      </c>
    </row>
    <row r="175" spans="1:4" x14ac:dyDescent="0.25">
      <c r="A175" s="8">
        <v>46287</v>
      </c>
      <c r="B175" s="9" t="s">
        <v>3</v>
      </c>
      <c r="C175" s="10">
        <v>4200</v>
      </c>
      <c r="D175" s="10">
        <f t="shared" si="4"/>
        <v>20240</v>
      </c>
    </row>
    <row r="176" spans="1:4" x14ac:dyDescent="0.25">
      <c r="A176" s="8">
        <v>46289</v>
      </c>
      <c r="B176" s="9" t="s">
        <v>3</v>
      </c>
      <c r="C176" s="10">
        <v>6440</v>
      </c>
      <c r="D176" s="10">
        <f t="shared" si="4"/>
        <v>26680</v>
      </c>
    </row>
    <row r="177" spans="1:4" x14ac:dyDescent="0.25">
      <c r="A177" s="8">
        <v>46289</v>
      </c>
      <c r="B177" s="9" t="s">
        <v>178</v>
      </c>
      <c r="C177" s="10">
        <v>-20000</v>
      </c>
      <c r="D177" s="10">
        <f t="shared" si="4"/>
        <v>6680</v>
      </c>
    </row>
    <row r="178" spans="1:4" x14ac:dyDescent="0.25">
      <c r="A178" s="8">
        <v>46293</v>
      </c>
      <c r="B178" s="9" t="s">
        <v>606</v>
      </c>
      <c r="C178" s="10">
        <v>3410</v>
      </c>
      <c r="D178" s="10">
        <f t="shared" si="4"/>
        <v>10090</v>
      </c>
    </row>
    <row r="179" spans="1:4" x14ac:dyDescent="0.25">
      <c r="A179" s="8">
        <v>46293</v>
      </c>
      <c r="B179" s="9" t="s">
        <v>178</v>
      </c>
      <c r="C179" s="10">
        <v>-8000</v>
      </c>
      <c r="D179" s="10">
        <f t="shared" si="4"/>
        <v>2090</v>
      </c>
    </row>
    <row r="180" spans="1:4" x14ac:dyDescent="0.25">
      <c r="A180" s="8">
        <v>46296</v>
      </c>
      <c r="B180" s="9" t="s">
        <v>3</v>
      </c>
      <c r="C180" s="10">
        <v>4710</v>
      </c>
      <c r="D180" s="10">
        <f t="shared" si="4"/>
        <v>6800</v>
      </c>
    </row>
    <row r="181" spans="1:4" x14ac:dyDescent="0.25">
      <c r="A181" s="8">
        <v>46300</v>
      </c>
      <c r="B181" s="9" t="s">
        <v>589</v>
      </c>
      <c r="C181" s="10">
        <v>4170</v>
      </c>
      <c r="D181" s="10">
        <f t="shared" si="4"/>
        <v>10970</v>
      </c>
    </row>
    <row r="182" spans="1:4" x14ac:dyDescent="0.25">
      <c r="A182" s="8">
        <v>46300</v>
      </c>
      <c r="B182" s="9" t="s">
        <v>178</v>
      </c>
      <c r="C182" s="10">
        <v>5000</v>
      </c>
      <c r="D182" s="10">
        <f t="shared" si="4"/>
        <v>15970</v>
      </c>
    </row>
    <row r="183" spans="1:4" x14ac:dyDescent="0.25">
      <c r="A183" s="9"/>
      <c r="B183" s="9"/>
      <c r="C183" s="10"/>
      <c r="D183" s="10">
        <f t="shared" si="4"/>
        <v>15970</v>
      </c>
    </row>
    <row r="184" spans="1:4" x14ac:dyDescent="0.25">
      <c r="A184" s="9"/>
      <c r="B184" s="9"/>
      <c r="C184" s="10"/>
      <c r="D184" s="10">
        <f t="shared" si="4"/>
        <v>15970</v>
      </c>
    </row>
    <row r="185" spans="1:4" x14ac:dyDescent="0.25">
      <c r="A185" s="9"/>
      <c r="B185" s="9"/>
      <c r="C185" s="10"/>
      <c r="D185" s="10">
        <f t="shared" si="4"/>
        <v>15970</v>
      </c>
    </row>
    <row r="186" spans="1:4" x14ac:dyDescent="0.25">
      <c r="A186" s="9"/>
      <c r="B186" s="9"/>
      <c r="C186" s="10"/>
      <c r="D186" s="10">
        <f t="shared" si="4"/>
        <v>15970</v>
      </c>
    </row>
    <row r="187" spans="1:4" x14ac:dyDescent="0.25">
      <c r="A187" s="9"/>
      <c r="B187" s="9"/>
      <c r="C187" s="10"/>
      <c r="D187" s="10">
        <f t="shared" si="4"/>
        <v>15970</v>
      </c>
    </row>
    <row r="188" spans="1:4" x14ac:dyDescent="0.25">
      <c r="A188" s="9"/>
      <c r="B188" s="9"/>
      <c r="C188" s="10"/>
      <c r="D188" s="10">
        <f t="shared" si="4"/>
        <v>15970</v>
      </c>
    </row>
    <row r="189" spans="1:4" x14ac:dyDescent="0.25">
      <c r="A189" s="9"/>
      <c r="B189" s="9"/>
      <c r="C189" s="10"/>
      <c r="D189" s="10">
        <f t="shared" si="4"/>
        <v>15970</v>
      </c>
    </row>
    <row r="190" spans="1:4" x14ac:dyDescent="0.25">
      <c r="A190" s="9"/>
      <c r="B190" s="9"/>
      <c r="C190" s="10"/>
      <c r="D190" s="10">
        <f t="shared" si="4"/>
        <v>15970</v>
      </c>
    </row>
    <row r="191" spans="1:4" x14ac:dyDescent="0.25">
      <c r="A191" s="9"/>
      <c r="B191" s="9"/>
      <c r="C191" s="10"/>
      <c r="D191" s="10">
        <f t="shared" si="4"/>
        <v>15970</v>
      </c>
    </row>
    <row r="192" spans="1:4" x14ac:dyDescent="0.25">
      <c r="A192" s="9"/>
      <c r="B192" s="9"/>
      <c r="C192" s="10"/>
      <c r="D192" s="10">
        <f t="shared" si="4"/>
        <v>15970</v>
      </c>
    </row>
    <row r="193" spans="1:4" x14ac:dyDescent="0.25">
      <c r="A193" s="9"/>
      <c r="B193" s="9"/>
      <c r="C193" s="10"/>
      <c r="D193" s="10">
        <f t="shared" si="4"/>
        <v>15970</v>
      </c>
    </row>
    <row r="194" spans="1:4" x14ac:dyDescent="0.25">
      <c r="A194" s="9"/>
      <c r="B194" s="9"/>
      <c r="C194" s="10"/>
      <c r="D194" s="10">
        <f t="shared" si="4"/>
        <v>15970</v>
      </c>
    </row>
  </sheetData>
  <mergeCells count="2">
    <mergeCell ref="A4:D4"/>
    <mergeCell ref="B6:D6"/>
  </mergeCells>
  <pageMargins left="0.7" right="0.7" top="0.75" bottom="0.75" header="0.3" footer="0.3"/>
  <pageSetup paperSize="172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3367A-0FEB-424A-81A4-6215F9E433C8}">
  <dimension ref="F5:I26"/>
  <sheetViews>
    <sheetView workbookViewId="0">
      <selection activeCell="F7" sqref="F7"/>
    </sheetView>
  </sheetViews>
  <sheetFormatPr baseColWidth="10" defaultRowHeight="15" x14ac:dyDescent="0.25"/>
  <cols>
    <col min="6" max="6" width="19.140625" customWidth="1"/>
    <col min="7" max="7" width="23.140625" customWidth="1"/>
    <col min="8" max="8" width="18" customWidth="1"/>
  </cols>
  <sheetData>
    <row r="5" spans="6:9" ht="18" x14ac:dyDescent="0.25">
      <c r="F5" s="98" t="s">
        <v>0</v>
      </c>
      <c r="G5" s="98"/>
      <c r="H5" s="98"/>
      <c r="I5" s="98"/>
    </row>
    <row r="6" spans="6:9" x14ac:dyDescent="0.25">
      <c r="H6" s="6"/>
      <c r="I6" s="6"/>
    </row>
    <row r="7" spans="6:9" x14ac:dyDescent="0.25">
      <c r="F7" s="2" t="s">
        <v>1</v>
      </c>
      <c r="G7" s="96" t="s">
        <v>182</v>
      </c>
      <c r="H7" s="97"/>
      <c r="I7" s="97"/>
    </row>
    <row r="8" spans="6:9" x14ac:dyDescent="0.25">
      <c r="F8" s="3" t="s">
        <v>11</v>
      </c>
      <c r="G8" s="4" t="s">
        <v>183</v>
      </c>
      <c r="H8" s="4"/>
      <c r="I8" s="4"/>
    </row>
    <row r="9" spans="6:9" x14ac:dyDescent="0.25">
      <c r="G9" s="5"/>
      <c r="H9" s="6"/>
      <c r="I9" s="6"/>
    </row>
    <row r="10" spans="6:9" x14ac:dyDescent="0.25">
      <c r="F10" s="2" t="s">
        <v>2</v>
      </c>
      <c r="G10" s="2" t="s">
        <v>3</v>
      </c>
      <c r="H10" s="7" t="s">
        <v>4</v>
      </c>
      <c r="I10" s="7" t="s">
        <v>5</v>
      </c>
    </row>
    <row r="11" spans="6:9" x14ac:dyDescent="0.25">
      <c r="F11" s="8">
        <v>46191</v>
      </c>
      <c r="G11" s="9" t="s">
        <v>3</v>
      </c>
      <c r="H11" s="10">
        <v>5520</v>
      </c>
      <c r="I11" s="10">
        <f>H11</f>
        <v>5520</v>
      </c>
    </row>
    <row r="12" spans="6:9" x14ac:dyDescent="0.25">
      <c r="F12" s="8">
        <v>46191</v>
      </c>
      <c r="G12" s="9" t="s">
        <v>178</v>
      </c>
      <c r="H12" s="10">
        <v>-5520</v>
      </c>
      <c r="I12" s="10">
        <f t="shared" ref="I12:I26" si="0">I11+H12</f>
        <v>0</v>
      </c>
    </row>
    <row r="13" spans="6:9" x14ac:dyDescent="0.25">
      <c r="F13" s="8"/>
      <c r="G13" s="9"/>
      <c r="H13" s="10"/>
      <c r="I13" s="10">
        <f t="shared" si="0"/>
        <v>0</v>
      </c>
    </row>
    <row r="14" spans="6:9" x14ac:dyDescent="0.25">
      <c r="F14" s="8"/>
      <c r="G14" s="9"/>
      <c r="H14" s="10"/>
      <c r="I14" s="10">
        <f t="shared" si="0"/>
        <v>0</v>
      </c>
    </row>
    <row r="15" spans="6:9" x14ac:dyDescent="0.25">
      <c r="F15" s="8"/>
      <c r="G15" s="9"/>
      <c r="H15" s="10"/>
      <c r="I15" s="89">
        <f t="shared" si="0"/>
        <v>0</v>
      </c>
    </row>
    <row r="16" spans="6:9" x14ac:dyDescent="0.25">
      <c r="F16" s="8"/>
      <c r="G16" s="9"/>
      <c r="H16" s="10"/>
      <c r="I16" s="89">
        <f t="shared" si="0"/>
        <v>0</v>
      </c>
    </row>
    <row r="17" spans="6:9" x14ac:dyDescent="0.25">
      <c r="F17" s="8"/>
      <c r="G17" s="9"/>
      <c r="H17" s="10"/>
      <c r="I17" s="89">
        <f t="shared" si="0"/>
        <v>0</v>
      </c>
    </row>
    <row r="18" spans="6:9" x14ac:dyDescent="0.25">
      <c r="F18" s="8"/>
      <c r="G18" s="9"/>
      <c r="H18" s="10"/>
      <c r="I18" s="89">
        <f t="shared" si="0"/>
        <v>0</v>
      </c>
    </row>
    <row r="19" spans="6:9" x14ac:dyDescent="0.25">
      <c r="F19" s="8"/>
      <c r="G19" s="9"/>
      <c r="H19" s="10"/>
      <c r="I19" s="10">
        <f t="shared" si="0"/>
        <v>0</v>
      </c>
    </row>
    <row r="20" spans="6:9" x14ac:dyDescent="0.25">
      <c r="F20" s="8"/>
      <c r="G20" s="9"/>
      <c r="H20" s="10"/>
      <c r="I20" s="10">
        <f t="shared" si="0"/>
        <v>0</v>
      </c>
    </row>
    <row r="21" spans="6:9" x14ac:dyDescent="0.25">
      <c r="F21" s="8"/>
      <c r="G21" s="9"/>
      <c r="H21" s="10"/>
      <c r="I21" s="10">
        <f t="shared" si="0"/>
        <v>0</v>
      </c>
    </row>
    <row r="22" spans="6:9" x14ac:dyDescent="0.25">
      <c r="F22" s="8"/>
      <c r="G22" s="9"/>
      <c r="H22" s="10"/>
      <c r="I22" s="10">
        <f t="shared" si="0"/>
        <v>0</v>
      </c>
    </row>
    <row r="23" spans="6:9" x14ac:dyDescent="0.25">
      <c r="F23" s="8"/>
      <c r="G23" s="9"/>
      <c r="H23" s="10"/>
      <c r="I23" s="10">
        <f t="shared" si="0"/>
        <v>0</v>
      </c>
    </row>
    <row r="24" spans="6:9" x14ac:dyDescent="0.25">
      <c r="F24" s="8"/>
      <c r="G24" s="9"/>
      <c r="H24" s="10"/>
      <c r="I24" s="10">
        <f t="shared" si="0"/>
        <v>0</v>
      </c>
    </row>
    <row r="25" spans="6:9" x14ac:dyDescent="0.25">
      <c r="F25" s="8"/>
      <c r="G25" s="9"/>
      <c r="H25" s="10"/>
      <c r="I25" s="10">
        <f t="shared" si="0"/>
        <v>0</v>
      </c>
    </row>
    <row r="26" spans="6:9" x14ac:dyDescent="0.25">
      <c r="F26" s="8"/>
      <c r="G26" s="9"/>
      <c r="H26" s="10"/>
      <c r="I26" s="10">
        <f t="shared" si="0"/>
        <v>0</v>
      </c>
    </row>
  </sheetData>
  <mergeCells count="2">
    <mergeCell ref="F5:I5"/>
    <mergeCell ref="G7:I7"/>
  </mergeCells>
  <pageMargins left="0.7" right="0.7" top="0.75" bottom="0.75" header="0.3" footer="0.3"/>
  <pageSetup paperSize="172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DDDAB-9E0F-4735-AB64-C812EF5ECCAA}">
  <sheetPr>
    <tabColor theme="9" tint="0.59999389629810485"/>
  </sheetPr>
  <dimension ref="A4:G189"/>
  <sheetViews>
    <sheetView topLeftCell="A116" workbookViewId="0">
      <selection activeCell="L133" sqref="L133"/>
    </sheetView>
  </sheetViews>
  <sheetFormatPr baseColWidth="10" defaultRowHeight="15" x14ac:dyDescent="0.25"/>
  <cols>
    <col min="1" max="1" width="28.28515625" customWidth="1"/>
    <col min="2" max="2" width="27.140625" customWidth="1"/>
    <col min="3" max="3" width="23.42578125" style="6" customWidth="1"/>
    <col min="4" max="4" width="21.85546875" style="6" customWidth="1"/>
  </cols>
  <sheetData>
    <row r="4" spans="1:7" ht="18" x14ac:dyDescent="0.25">
      <c r="A4" s="98" t="s">
        <v>0</v>
      </c>
      <c r="B4" s="98"/>
      <c r="C4" s="98"/>
      <c r="D4" s="98"/>
      <c r="E4" s="1"/>
      <c r="F4" s="1"/>
      <c r="G4" s="1"/>
    </row>
    <row r="6" spans="1:7" x14ac:dyDescent="0.25">
      <c r="A6" s="2" t="s">
        <v>1</v>
      </c>
      <c r="B6" s="96" t="s">
        <v>28</v>
      </c>
      <c r="C6" s="97"/>
      <c r="D6" s="97"/>
    </row>
    <row r="7" spans="1:7" x14ac:dyDescent="0.25">
      <c r="A7" s="3" t="s">
        <v>11</v>
      </c>
      <c r="B7" s="4" t="s">
        <v>27</v>
      </c>
      <c r="C7" s="4"/>
      <c r="D7" s="4"/>
    </row>
    <row r="8" spans="1:7" x14ac:dyDescent="0.25">
      <c r="B8" s="5"/>
    </row>
    <row r="9" spans="1:7" x14ac:dyDescent="0.25">
      <c r="A9" s="2" t="s">
        <v>2</v>
      </c>
      <c r="B9" s="2" t="s">
        <v>3</v>
      </c>
      <c r="C9" s="7" t="s">
        <v>4</v>
      </c>
      <c r="D9" s="7" t="s">
        <v>5</v>
      </c>
    </row>
    <row r="10" spans="1:7" x14ac:dyDescent="0.25">
      <c r="A10" s="8">
        <v>45834</v>
      </c>
      <c r="B10" s="9" t="s">
        <v>6</v>
      </c>
      <c r="C10" s="10">
        <v>2730</v>
      </c>
      <c r="D10" s="10">
        <f>C10</f>
        <v>2730</v>
      </c>
    </row>
    <row r="11" spans="1:7" x14ac:dyDescent="0.25">
      <c r="A11" s="8">
        <v>45838</v>
      </c>
      <c r="B11" s="9" t="s">
        <v>6</v>
      </c>
      <c r="C11" s="10">
        <v>1160</v>
      </c>
      <c r="D11" s="10">
        <f t="shared" ref="D11:D36" si="0">D10+C11</f>
        <v>3890</v>
      </c>
    </row>
    <row r="12" spans="1:7" x14ac:dyDescent="0.25">
      <c r="A12" s="8">
        <v>45838</v>
      </c>
      <c r="B12" s="9" t="s">
        <v>7</v>
      </c>
      <c r="C12" s="10">
        <v>-1350</v>
      </c>
      <c r="D12" s="10">
        <f t="shared" si="0"/>
        <v>2540</v>
      </c>
    </row>
    <row r="13" spans="1:7" x14ac:dyDescent="0.25">
      <c r="A13" s="8">
        <v>45841</v>
      </c>
      <c r="B13" s="9" t="s">
        <v>6</v>
      </c>
      <c r="C13" s="10">
        <v>2290</v>
      </c>
      <c r="D13" s="10">
        <f t="shared" si="0"/>
        <v>4830</v>
      </c>
    </row>
    <row r="14" spans="1:7" x14ac:dyDescent="0.25">
      <c r="A14" s="8">
        <v>45841</v>
      </c>
      <c r="B14" s="9" t="s">
        <v>44</v>
      </c>
      <c r="C14" s="10">
        <v>-2290</v>
      </c>
      <c r="D14" s="10">
        <f t="shared" si="0"/>
        <v>2540</v>
      </c>
    </row>
    <row r="15" spans="1:7" x14ac:dyDescent="0.25">
      <c r="A15" s="8">
        <v>45726</v>
      </c>
      <c r="B15" s="9" t="s">
        <v>55</v>
      </c>
      <c r="C15" s="10">
        <v>-1000</v>
      </c>
      <c r="D15" s="11">
        <f t="shared" si="0"/>
        <v>1540</v>
      </c>
    </row>
    <row r="16" spans="1:7" x14ac:dyDescent="0.25">
      <c r="A16" s="8">
        <v>45848</v>
      </c>
      <c r="B16" s="9" t="s">
        <v>6</v>
      </c>
      <c r="C16" s="10">
        <v>1310</v>
      </c>
      <c r="D16" s="10">
        <f t="shared" si="0"/>
        <v>2850</v>
      </c>
    </row>
    <row r="17" spans="1:4" x14ac:dyDescent="0.25">
      <c r="A17" s="8">
        <v>45855</v>
      </c>
      <c r="B17" s="9" t="s">
        <v>6</v>
      </c>
      <c r="C17" s="10">
        <v>2750</v>
      </c>
      <c r="D17" s="10">
        <f t="shared" si="0"/>
        <v>5600</v>
      </c>
    </row>
    <row r="18" spans="1:4" x14ac:dyDescent="0.25">
      <c r="A18" s="8">
        <v>45838</v>
      </c>
      <c r="B18" s="9" t="s">
        <v>7</v>
      </c>
      <c r="C18" s="10">
        <v>-1680</v>
      </c>
      <c r="D18" s="10">
        <f t="shared" si="0"/>
        <v>3920</v>
      </c>
    </row>
    <row r="19" spans="1:4" x14ac:dyDescent="0.25">
      <c r="A19" s="8">
        <v>45859</v>
      </c>
      <c r="B19" s="9" t="s">
        <v>6</v>
      </c>
      <c r="C19" s="10">
        <v>1250</v>
      </c>
      <c r="D19" s="10">
        <f t="shared" si="0"/>
        <v>5170</v>
      </c>
    </row>
    <row r="20" spans="1:4" x14ac:dyDescent="0.25">
      <c r="A20" s="8">
        <v>45859</v>
      </c>
      <c r="B20" s="9" t="s">
        <v>7</v>
      </c>
      <c r="C20" s="10">
        <v>-1000</v>
      </c>
      <c r="D20" s="10">
        <f t="shared" si="0"/>
        <v>4170</v>
      </c>
    </row>
    <row r="21" spans="1:4" x14ac:dyDescent="0.25">
      <c r="A21" s="8">
        <v>45862</v>
      </c>
      <c r="B21" s="9" t="s">
        <v>6</v>
      </c>
      <c r="C21" s="10">
        <v>950</v>
      </c>
      <c r="D21" s="10">
        <f t="shared" si="0"/>
        <v>5120</v>
      </c>
    </row>
    <row r="22" spans="1:4" x14ac:dyDescent="0.25">
      <c r="A22" s="8">
        <v>45859</v>
      </c>
      <c r="B22" s="9" t="s">
        <v>7</v>
      </c>
      <c r="C22" s="10">
        <v>-2750</v>
      </c>
      <c r="D22" s="10">
        <f t="shared" si="0"/>
        <v>2370</v>
      </c>
    </row>
    <row r="23" spans="1:4" x14ac:dyDescent="0.25">
      <c r="A23" s="8">
        <v>45869</v>
      </c>
      <c r="B23" s="9" t="s">
        <v>44</v>
      </c>
      <c r="C23" s="10">
        <v>-1810</v>
      </c>
      <c r="D23" s="10">
        <f t="shared" si="0"/>
        <v>560</v>
      </c>
    </row>
    <row r="24" spans="1:4" x14ac:dyDescent="0.25">
      <c r="A24" s="8">
        <v>45869</v>
      </c>
      <c r="B24" s="9" t="s">
        <v>6</v>
      </c>
      <c r="C24" s="10">
        <v>1600</v>
      </c>
      <c r="D24" s="10">
        <f t="shared" si="0"/>
        <v>2160</v>
      </c>
    </row>
    <row r="25" spans="1:4" x14ac:dyDescent="0.25">
      <c r="A25" s="8">
        <v>45873</v>
      </c>
      <c r="B25" s="9" t="s">
        <v>6</v>
      </c>
      <c r="C25" s="10">
        <v>1700</v>
      </c>
      <c r="D25" s="10">
        <f t="shared" si="0"/>
        <v>3860</v>
      </c>
    </row>
    <row r="26" spans="1:4" x14ac:dyDescent="0.25">
      <c r="A26" s="8">
        <v>45879</v>
      </c>
      <c r="B26" s="9" t="s">
        <v>44</v>
      </c>
      <c r="C26" s="10">
        <v>-5000</v>
      </c>
      <c r="D26" s="10">
        <f t="shared" si="0"/>
        <v>-1140</v>
      </c>
    </row>
    <row r="27" spans="1:4" x14ac:dyDescent="0.25">
      <c r="A27" s="8">
        <v>45880</v>
      </c>
      <c r="B27" s="9" t="s">
        <v>6</v>
      </c>
      <c r="C27" s="10">
        <v>690</v>
      </c>
      <c r="D27" s="10">
        <f t="shared" si="0"/>
        <v>-450</v>
      </c>
    </row>
    <row r="28" spans="1:4" x14ac:dyDescent="0.25">
      <c r="A28" s="8">
        <v>45887</v>
      </c>
      <c r="B28" s="9" t="s">
        <v>6</v>
      </c>
      <c r="C28" s="10">
        <v>2780</v>
      </c>
      <c r="D28" s="10">
        <f t="shared" si="0"/>
        <v>2330</v>
      </c>
    </row>
    <row r="29" spans="1:4" x14ac:dyDescent="0.25">
      <c r="A29" s="8">
        <v>45894</v>
      </c>
      <c r="B29" s="9" t="s">
        <v>6</v>
      </c>
      <c r="C29" s="10">
        <v>1880</v>
      </c>
      <c r="D29" s="10">
        <f t="shared" si="0"/>
        <v>4210</v>
      </c>
    </row>
    <row r="30" spans="1:4" x14ac:dyDescent="0.25">
      <c r="A30" s="8">
        <v>45897</v>
      </c>
      <c r="B30" s="9" t="s">
        <v>6</v>
      </c>
      <c r="C30" s="10">
        <v>2040</v>
      </c>
      <c r="D30" s="10">
        <f t="shared" si="0"/>
        <v>6250</v>
      </c>
    </row>
    <row r="31" spans="1:4" x14ac:dyDescent="0.25">
      <c r="A31" s="8">
        <v>45897</v>
      </c>
      <c r="B31" s="9" t="s">
        <v>55</v>
      </c>
      <c r="C31" s="10">
        <v>-2000</v>
      </c>
      <c r="D31" s="10">
        <f t="shared" si="0"/>
        <v>4250</v>
      </c>
    </row>
    <row r="32" spans="1:4" x14ac:dyDescent="0.25">
      <c r="A32" s="8">
        <v>45901</v>
      </c>
      <c r="B32" s="9" t="s">
        <v>6</v>
      </c>
      <c r="C32" s="10">
        <v>1790</v>
      </c>
      <c r="D32" s="10">
        <f t="shared" si="0"/>
        <v>6040</v>
      </c>
    </row>
    <row r="33" spans="1:4" x14ac:dyDescent="0.25">
      <c r="A33" s="8">
        <v>45901</v>
      </c>
      <c r="B33" s="9" t="s">
        <v>55</v>
      </c>
      <c r="C33" s="10">
        <v>-2000</v>
      </c>
      <c r="D33" s="10">
        <f t="shared" si="0"/>
        <v>4040</v>
      </c>
    </row>
    <row r="34" spans="1:4" x14ac:dyDescent="0.25">
      <c r="A34" s="8"/>
      <c r="B34" s="9" t="s">
        <v>55</v>
      </c>
      <c r="C34" s="10">
        <v>-1440</v>
      </c>
      <c r="D34" s="10">
        <f t="shared" si="0"/>
        <v>2600</v>
      </c>
    </row>
    <row r="35" spans="1:4" x14ac:dyDescent="0.25">
      <c r="A35" s="8">
        <v>45905</v>
      </c>
      <c r="B35" s="9" t="s">
        <v>6</v>
      </c>
      <c r="C35" s="10">
        <v>1810</v>
      </c>
      <c r="D35" s="10">
        <f t="shared" si="0"/>
        <v>4410</v>
      </c>
    </row>
    <row r="36" spans="1:4" x14ac:dyDescent="0.25">
      <c r="A36" s="8">
        <v>45905</v>
      </c>
      <c r="B36" s="9" t="s">
        <v>55</v>
      </c>
      <c r="C36" s="10">
        <v>-2000</v>
      </c>
      <c r="D36" s="10">
        <f t="shared" si="0"/>
        <v>2410</v>
      </c>
    </row>
    <row r="37" spans="1:4" x14ac:dyDescent="0.25">
      <c r="A37" s="8">
        <v>45911</v>
      </c>
      <c r="B37" s="9" t="s">
        <v>6</v>
      </c>
      <c r="C37" s="10">
        <v>1420</v>
      </c>
      <c r="D37" s="10">
        <f t="shared" ref="D37:D100" si="1">D36+C37</f>
        <v>3830</v>
      </c>
    </row>
    <row r="38" spans="1:4" x14ac:dyDescent="0.25">
      <c r="A38" s="8">
        <v>45911</v>
      </c>
      <c r="B38" s="9" t="s">
        <v>55</v>
      </c>
      <c r="C38" s="10">
        <v>-1000</v>
      </c>
      <c r="D38" s="10">
        <f t="shared" si="1"/>
        <v>2830</v>
      </c>
    </row>
    <row r="39" spans="1:4" x14ac:dyDescent="0.25">
      <c r="A39" s="8">
        <v>45915</v>
      </c>
      <c r="B39" s="9" t="s">
        <v>6</v>
      </c>
      <c r="C39" s="10">
        <v>2620</v>
      </c>
      <c r="D39" s="10">
        <f t="shared" si="1"/>
        <v>5450</v>
      </c>
    </row>
    <row r="40" spans="1:4" x14ac:dyDescent="0.25">
      <c r="A40" s="8">
        <v>45922</v>
      </c>
      <c r="B40" s="9" t="s">
        <v>3</v>
      </c>
      <c r="C40" s="10">
        <v>1990</v>
      </c>
      <c r="D40" s="10">
        <f t="shared" si="1"/>
        <v>7440</v>
      </c>
    </row>
    <row r="41" spans="1:4" x14ac:dyDescent="0.25">
      <c r="A41" s="8">
        <v>45922</v>
      </c>
      <c r="B41" s="9" t="s">
        <v>44</v>
      </c>
      <c r="C41" s="10">
        <v>-5330</v>
      </c>
      <c r="D41" s="10">
        <f t="shared" si="1"/>
        <v>2110</v>
      </c>
    </row>
    <row r="42" spans="1:4" x14ac:dyDescent="0.25">
      <c r="A42" s="8">
        <v>45925</v>
      </c>
      <c r="B42" s="9" t="s">
        <v>3</v>
      </c>
      <c r="C42" s="10">
        <v>1840</v>
      </c>
      <c r="D42" s="10">
        <f t="shared" si="1"/>
        <v>3950</v>
      </c>
    </row>
    <row r="43" spans="1:4" x14ac:dyDescent="0.25">
      <c r="A43" s="8">
        <v>45929</v>
      </c>
      <c r="B43" s="9" t="s">
        <v>6</v>
      </c>
      <c r="C43" s="10">
        <v>2800</v>
      </c>
      <c r="D43" s="10">
        <f t="shared" si="1"/>
        <v>6750</v>
      </c>
    </row>
    <row r="44" spans="1:4" x14ac:dyDescent="0.25">
      <c r="A44" s="8">
        <v>45930</v>
      </c>
      <c r="B44" s="9" t="s">
        <v>44</v>
      </c>
      <c r="C44" s="10">
        <v>-2800</v>
      </c>
      <c r="D44" s="10">
        <f t="shared" si="1"/>
        <v>3950</v>
      </c>
    </row>
    <row r="45" spans="1:4" x14ac:dyDescent="0.25">
      <c r="A45" s="8">
        <v>45932</v>
      </c>
      <c r="B45" s="9" t="s">
        <v>3</v>
      </c>
      <c r="C45" s="10">
        <v>1950</v>
      </c>
      <c r="D45" s="10">
        <f t="shared" si="1"/>
        <v>5900</v>
      </c>
    </row>
    <row r="46" spans="1:4" x14ac:dyDescent="0.25">
      <c r="A46" s="8">
        <v>45939</v>
      </c>
      <c r="B46" s="9" t="s">
        <v>3</v>
      </c>
      <c r="C46" s="10">
        <v>2450</v>
      </c>
      <c r="D46" s="10">
        <f t="shared" si="1"/>
        <v>8350</v>
      </c>
    </row>
    <row r="47" spans="1:4" x14ac:dyDescent="0.25">
      <c r="A47" s="8">
        <v>45941</v>
      </c>
      <c r="B47" s="9" t="s">
        <v>195</v>
      </c>
      <c r="C47" s="10">
        <v>-4400</v>
      </c>
      <c r="D47" s="10">
        <f t="shared" si="1"/>
        <v>3950</v>
      </c>
    </row>
    <row r="48" spans="1:4" x14ac:dyDescent="0.25">
      <c r="A48" s="8">
        <v>45946</v>
      </c>
      <c r="B48" s="9" t="s">
        <v>3</v>
      </c>
      <c r="C48" s="10">
        <v>2800</v>
      </c>
      <c r="D48" s="10">
        <f t="shared" si="1"/>
        <v>6750</v>
      </c>
    </row>
    <row r="49" spans="1:4" x14ac:dyDescent="0.25">
      <c r="A49" s="8">
        <v>45950</v>
      </c>
      <c r="B49" s="9" t="s">
        <v>3</v>
      </c>
      <c r="C49" s="10">
        <v>1770</v>
      </c>
      <c r="D49" s="10">
        <f t="shared" si="1"/>
        <v>8520</v>
      </c>
    </row>
    <row r="50" spans="1:4" x14ac:dyDescent="0.25">
      <c r="A50" s="8">
        <v>45950</v>
      </c>
      <c r="B50" s="9" t="s">
        <v>178</v>
      </c>
      <c r="C50" s="10">
        <v>-900</v>
      </c>
      <c r="D50" s="10">
        <f t="shared" si="1"/>
        <v>7620</v>
      </c>
    </row>
    <row r="51" spans="1:4" x14ac:dyDescent="0.25">
      <c r="A51" s="8">
        <v>45953</v>
      </c>
      <c r="B51" s="9" t="s">
        <v>3</v>
      </c>
      <c r="C51" s="10">
        <v>4150</v>
      </c>
      <c r="D51" s="10">
        <f t="shared" si="1"/>
        <v>11770</v>
      </c>
    </row>
    <row r="52" spans="1:4" x14ac:dyDescent="0.25">
      <c r="A52" s="8">
        <v>45953</v>
      </c>
      <c r="B52" s="9" t="s">
        <v>178</v>
      </c>
      <c r="C52" s="10">
        <v>-500</v>
      </c>
      <c r="D52" s="10">
        <f t="shared" si="1"/>
        <v>11270</v>
      </c>
    </row>
    <row r="53" spans="1:4" x14ac:dyDescent="0.25">
      <c r="A53" s="8">
        <v>45955</v>
      </c>
      <c r="B53" s="9" t="s">
        <v>3</v>
      </c>
      <c r="C53" s="10">
        <v>3560</v>
      </c>
      <c r="D53" s="10">
        <f t="shared" si="1"/>
        <v>14830</v>
      </c>
    </row>
    <row r="54" spans="1:4" x14ac:dyDescent="0.25">
      <c r="A54" s="8">
        <v>45957</v>
      </c>
      <c r="B54" s="9" t="s">
        <v>150</v>
      </c>
      <c r="C54" s="10">
        <v>-4000</v>
      </c>
      <c r="D54" s="10">
        <f t="shared" si="1"/>
        <v>10830</v>
      </c>
    </row>
    <row r="55" spans="1:4" x14ac:dyDescent="0.25">
      <c r="A55" s="8">
        <v>45960</v>
      </c>
      <c r="B55" s="9" t="s">
        <v>3</v>
      </c>
      <c r="C55" s="10">
        <v>2560</v>
      </c>
      <c r="D55" s="10">
        <f t="shared" si="1"/>
        <v>13390</v>
      </c>
    </row>
    <row r="56" spans="1:4" x14ac:dyDescent="0.25">
      <c r="A56" s="8">
        <v>45960</v>
      </c>
      <c r="B56" s="9" t="s">
        <v>92</v>
      </c>
      <c r="C56" s="10">
        <v>-600</v>
      </c>
      <c r="D56" s="10">
        <f t="shared" si="1"/>
        <v>12790</v>
      </c>
    </row>
    <row r="57" spans="1:4" x14ac:dyDescent="0.25">
      <c r="A57" s="8">
        <v>45967</v>
      </c>
      <c r="B57" s="9" t="s">
        <v>3</v>
      </c>
      <c r="C57" s="10">
        <v>3690</v>
      </c>
      <c r="D57" s="10">
        <f t="shared" si="1"/>
        <v>16480</v>
      </c>
    </row>
    <row r="58" spans="1:4" x14ac:dyDescent="0.25">
      <c r="A58" s="8">
        <v>45967</v>
      </c>
      <c r="B58" s="9" t="s">
        <v>150</v>
      </c>
      <c r="C58" s="10">
        <v>-3500</v>
      </c>
      <c r="D58" s="10">
        <f t="shared" si="1"/>
        <v>12980</v>
      </c>
    </row>
    <row r="59" spans="1:4" x14ac:dyDescent="0.25">
      <c r="A59" s="8">
        <v>45971</v>
      </c>
      <c r="B59" s="9" t="s">
        <v>3</v>
      </c>
      <c r="C59" s="10">
        <v>1940</v>
      </c>
      <c r="D59" s="10">
        <f t="shared" si="1"/>
        <v>14920</v>
      </c>
    </row>
    <row r="60" spans="1:4" x14ac:dyDescent="0.25">
      <c r="A60" s="8">
        <v>45971</v>
      </c>
      <c r="B60" s="9" t="s">
        <v>92</v>
      </c>
      <c r="C60" s="10">
        <v>-620</v>
      </c>
      <c r="D60" s="10">
        <f t="shared" si="1"/>
        <v>14300</v>
      </c>
    </row>
    <row r="61" spans="1:4" x14ac:dyDescent="0.25">
      <c r="A61" s="8">
        <v>45941</v>
      </c>
      <c r="B61" s="9" t="s">
        <v>222</v>
      </c>
      <c r="C61" s="10">
        <v>-7000</v>
      </c>
      <c r="D61" s="10">
        <f t="shared" si="1"/>
        <v>7300</v>
      </c>
    </row>
    <row r="62" spans="1:4" x14ac:dyDescent="0.25">
      <c r="A62" s="8">
        <v>45972</v>
      </c>
      <c r="B62" s="9" t="s">
        <v>156</v>
      </c>
      <c r="C62" s="10">
        <v>-3610</v>
      </c>
      <c r="D62" s="10">
        <f t="shared" si="1"/>
        <v>3690</v>
      </c>
    </row>
    <row r="63" spans="1:4" x14ac:dyDescent="0.25">
      <c r="A63" s="8">
        <v>45974</v>
      </c>
      <c r="B63" s="9" t="s">
        <v>3</v>
      </c>
      <c r="C63" s="10">
        <v>3340</v>
      </c>
      <c r="D63" s="10">
        <f t="shared" si="1"/>
        <v>7030</v>
      </c>
    </row>
    <row r="64" spans="1:4" x14ac:dyDescent="0.25">
      <c r="A64" s="8">
        <v>45978</v>
      </c>
      <c r="B64" s="9" t="s">
        <v>3</v>
      </c>
      <c r="C64" s="10">
        <v>2760</v>
      </c>
      <c r="D64" s="10">
        <f t="shared" si="1"/>
        <v>9790</v>
      </c>
    </row>
    <row r="65" spans="1:4" x14ac:dyDescent="0.25">
      <c r="A65" s="8">
        <v>45980</v>
      </c>
      <c r="B65" s="9" t="s">
        <v>44</v>
      </c>
      <c r="C65" s="10">
        <v>-5000</v>
      </c>
      <c r="D65" s="10">
        <f t="shared" si="1"/>
        <v>4790</v>
      </c>
    </row>
    <row r="66" spans="1:4" x14ac:dyDescent="0.25">
      <c r="A66" s="8">
        <v>45981</v>
      </c>
      <c r="B66" s="9" t="s">
        <v>3</v>
      </c>
      <c r="C66" s="10">
        <v>4040</v>
      </c>
      <c r="D66" s="10">
        <f t="shared" si="1"/>
        <v>8830</v>
      </c>
    </row>
    <row r="67" spans="1:4" x14ac:dyDescent="0.25">
      <c r="A67" s="8">
        <v>45985</v>
      </c>
      <c r="B67" s="9" t="s">
        <v>251</v>
      </c>
      <c r="C67" s="10">
        <v>-4070</v>
      </c>
      <c r="D67" s="10">
        <f t="shared" si="1"/>
        <v>4760</v>
      </c>
    </row>
    <row r="68" spans="1:4" x14ac:dyDescent="0.25">
      <c r="A68" s="8">
        <v>45988</v>
      </c>
      <c r="B68" s="9" t="s">
        <v>3</v>
      </c>
      <c r="C68" s="10">
        <v>2920</v>
      </c>
      <c r="D68" s="10">
        <f t="shared" si="1"/>
        <v>7680</v>
      </c>
    </row>
    <row r="69" spans="1:4" x14ac:dyDescent="0.25">
      <c r="A69" s="8">
        <v>45988</v>
      </c>
      <c r="B69" s="9" t="s">
        <v>92</v>
      </c>
      <c r="C69" s="10">
        <v>-280</v>
      </c>
      <c r="D69" s="10">
        <f t="shared" si="1"/>
        <v>7400</v>
      </c>
    </row>
    <row r="70" spans="1:4" x14ac:dyDescent="0.25">
      <c r="A70" s="8">
        <v>45992</v>
      </c>
      <c r="B70" s="9" t="s">
        <v>3</v>
      </c>
      <c r="C70" s="10">
        <v>1230</v>
      </c>
      <c r="D70" s="10">
        <f t="shared" si="1"/>
        <v>8630</v>
      </c>
    </row>
    <row r="71" spans="1:4" x14ac:dyDescent="0.25">
      <c r="A71" s="8">
        <v>44905</v>
      </c>
      <c r="B71" s="9" t="s">
        <v>261</v>
      </c>
      <c r="C71" s="10">
        <v>-5000</v>
      </c>
      <c r="D71" s="10">
        <f t="shared" si="1"/>
        <v>3630</v>
      </c>
    </row>
    <row r="72" spans="1:4" x14ac:dyDescent="0.25">
      <c r="A72" s="8">
        <v>46002</v>
      </c>
      <c r="B72" s="9" t="s">
        <v>3</v>
      </c>
      <c r="C72" s="10">
        <v>3930</v>
      </c>
      <c r="D72" s="10">
        <f t="shared" si="1"/>
        <v>7560</v>
      </c>
    </row>
    <row r="73" spans="1:4" x14ac:dyDescent="0.25">
      <c r="A73" s="8">
        <v>46009</v>
      </c>
      <c r="B73" s="9" t="s">
        <v>92</v>
      </c>
      <c r="C73" s="10">
        <v>-1240</v>
      </c>
      <c r="D73" s="10">
        <f t="shared" si="1"/>
        <v>6320</v>
      </c>
    </row>
    <row r="74" spans="1:4" x14ac:dyDescent="0.25">
      <c r="A74" s="8">
        <v>46009</v>
      </c>
      <c r="B74" s="9" t="s">
        <v>3</v>
      </c>
      <c r="C74" s="10">
        <v>2100</v>
      </c>
      <c r="D74" s="10">
        <f t="shared" si="1"/>
        <v>8420</v>
      </c>
    </row>
    <row r="75" spans="1:4" x14ac:dyDescent="0.25">
      <c r="A75" s="8">
        <v>46013</v>
      </c>
      <c r="B75" s="9" t="s">
        <v>178</v>
      </c>
      <c r="C75" s="10">
        <v>-2000</v>
      </c>
      <c r="D75" s="10">
        <f t="shared" si="1"/>
        <v>6420</v>
      </c>
    </row>
    <row r="76" spans="1:4" x14ac:dyDescent="0.25">
      <c r="A76" s="8">
        <v>46017</v>
      </c>
      <c r="B76" s="9" t="s">
        <v>3</v>
      </c>
      <c r="C76" s="10">
        <v>1710</v>
      </c>
      <c r="D76" s="10">
        <f t="shared" si="1"/>
        <v>8130</v>
      </c>
    </row>
    <row r="77" spans="1:4" x14ac:dyDescent="0.25">
      <c r="A77" s="8">
        <v>46020</v>
      </c>
      <c r="B77" s="9" t="s">
        <v>178</v>
      </c>
      <c r="C77" s="10">
        <v>-2000</v>
      </c>
      <c r="D77" s="10">
        <f t="shared" si="1"/>
        <v>6130</v>
      </c>
    </row>
    <row r="78" spans="1:4" x14ac:dyDescent="0.25">
      <c r="A78" s="8">
        <v>46024</v>
      </c>
      <c r="B78" s="9" t="s">
        <v>3</v>
      </c>
      <c r="C78" s="10">
        <v>3750</v>
      </c>
      <c r="D78" s="10">
        <f t="shared" si="1"/>
        <v>9880</v>
      </c>
    </row>
    <row r="79" spans="1:4" x14ac:dyDescent="0.25">
      <c r="A79" s="8">
        <v>46024</v>
      </c>
      <c r="B79" s="9" t="s">
        <v>178</v>
      </c>
      <c r="C79" s="10">
        <v>-2000</v>
      </c>
      <c r="D79" s="10">
        <f t="shared" si="1"/>
        <v>7880</v>
      </c>
    </row>
    <row r="80" spans="1:4" x14ac:dyDescent="0.25">
      <c r="A80" s="8">
        <v>46027</v>
      </c>
      <c r="B80" s="9" t="s">
        <v>3</v>
      </c>
      <c r="C80" s="10">
        <v>2280</v>
      </c>
      <c r="D80" s="10">
        <f t="shared" si="1"/>
        <v>10160</v>
      </c>
    </row>
    <row r="81" spans="1:4" x14ac:dyDescent="0.25">
      <c r="A81" s="8">
        <v>46027</v>
      </c>
      <c r="B81" s="9" t="s">
        <v>178</v>
      </c>
      <c r="C81" s="10">
        <v>-1500</v>
      </c>
      <c r="D81" s="10">
        <f t="shared" si="1"/>
        <v>8660</v>
      </c>
    </row>
    <row r="82" spans="1:4" x14ac:dyDescent="0.25">
      <c r="A82" s="8">
        <v>46030</v>
      </c>
      <c r="B82" s="9" t="s">
        <v>3</v>
      </c>
      <c r="C82" s="10">
        <v>2220</v>
      </c>
      <c r="D82" s="10">
        <f t="shared" si="1"/>
        <v>10880</v>
      </c>
    </row>
    <row r="83" spans="1:4" x14ac:dyDescent="0.25">
      <c r="A83" s="8">
        <v>46030</v>
      </c>
      <c r="B83" s="9" t="s">
        <v>178</v>
      </c>
      <c r="C83" s="10">
        <v>-2220</v>
      </c>
      <c r="D83" s="10">
        <f t="shared" si="1"/>
        <v>8660</v>
      </c>
    </row>
    <row r="84" spans="1:4" x14ac:dyDescent="0.25">
      <c r="A84" s="8">
        <v>46035</v>
      </c>
      <c r="B84" s="9" t="s">
        <v>179</v>
      </c>
      <c r="C84" s="10">
        <v>-5000</v>
      </c>
      <c r="D84" s="10">
        <f t="shared" si="1"/>
        <v>3660</v>
      </c>
    </row>
    <row r="85" spans="1:4" x14ac:dyDescent="0.25">
      <c r="A85" s="8">
        <v>46037</v>
      </c>
      <c r="B85" s="9" t="s">
        <v>3</v>
      </c>
      <c r="C85" s="10">
        <v>350</v>
      </c>
      <c r="D85" s="10">
        <f t="shared" si="1"/>
        <v>4010</v>
      </c>
    </row>
    <row r="86" spans="1:4" x14ac:dyDescent="0.25">
      <c r="A86" s="8">
        <v>46044</v>
      </c>
      <c r="B86" s="9" t="s">
        <v>179</v>
      </c>
      <c r="C86" s="10">
        <v>-2060</v>
      </c>
      <c r="D86" s="10">
        <f t="shared" si="1"/>
        <v>1950</v>
      </c>
    </row>
    <row r="87" spans="1:4" x14ac:dyDescent="0.25">
      <c r="A87" s="8">
        <v>46044</v>
      </c>
      <c r="B87" s="9" t="s">
        <v>3</v>
      </c>
      <c r="C87" s="10">
        <v>4910</v>
      </c>
      <c r="D87" s="10">
        <f t="shared" si="1"/>
        <v>6860</v>
      </c>
    </row>
    <row r="88" spans="1:4" x14ac:dyDescent="0.25">
      <c r="A88" s="8">
        <v>46048</v>
      </c>
      <c r="B88" s="9" t="s">
        <v>3</v>
      </c>
      <c r="C88" s="10">
        <v>1660</v>
      </c>
      <c r="D88" s="10">
        <f t="shared" si="1"/>
        <v>8520</v>
      </c>
    </row>
    <row r="89" spans="1:4" x14ac:dyDescent="0.25">
      <c r="A89" s="8">
        <v>46050</v>
      </c>
      <c r="B89" s="9" t="s">
        <v>179</v>
      </c>
      <c r="C89" s="10">
        <v>-5000</v>
      </c>
      <c r="D89" s="10">
        <f t="shared" si="1"/>
        <v>3520</v>
      </c>
    </row>
    <row r="90" spans="1:4" x14ac:dyDescent="0.25">
      <c r="A90" s="8">
        <v>46055</v>
      </c>
      <c r="B90" s="9" t="s">
        <v>3</v>
      </c>
      <c r="C90" s="10">
        <v>3510</v>
      </c>
      <c r="D90" s="10">
        <f t="shared" si="1"/>
        <v>7030</v>
      </c>
    </row>
    <row r="91" spans="1:4" x14ac:dyDescent="0.25">
      <c r="A91" s="8">
        <v>46070</v>
      </c>
      <c r="B91" s="9" t="s">
        <v>195</v>
      </c>
      <c r="C91" s="10">
        <v>-5000</v>
      </c>
      <c r="D91" s="10">
        <f t="shared" si="1"/>
        <v>2030</v>
      </c>
    </row>
    <row r="92" spans="1:4" x14ac:dyDescent="0.25">
      <c r="A92" s="8">
        <v>46072</v>
      </c>
      <c r="B92" s="9" t="s">
        <v>3</v>
      </c>
      <c r="C92" s="10">
        <v>1630</v>
      </c>
      <c r="D92" s="10">
        <f t="shared" si="1"/>
        <v>3660</v>
      </c>
    </row>
    <row r="93" spans="1:4" x14ac:dyDescent="0.25">
      <c r="A93" s="8">
        <v>46076</v>
      </c>
      <c r="B93" s="9" t="s">
        <v>3</v>
      </c>
      <c r="C93" s="10">
        <v>1420</v>
      </c>
      <c r="D93" s="10">
        <f t="shared" si="1"/>
        <v>5080</v>
      </c>
    </row>
    <row r="94" spans="1:4" x14ac:dyDescent="0.25">
      <c r="A94" s="8">
        <v>46083</v>
      </c>
      <c r="B94" s="9" t="s">
        <v>3</v>
      </c>
      <c r="C94" s="10">
        <v>1530</v>
      </c>
      <c r="D94" s="10">
        <f t="shared" si="1"/>
        <v>6610</v>
      </c>
    </row>
    <row r="95" spans="1:4" x14ac:dyDescent="0.25">
      <c r="A95" s="8">
        <v>46086</v>
      </c>
      <c r="B95" s="9" t="s">
        <v>3</v>
      </c>
      <c r="C95" s="10">
        <v>1070</v>
      </c>
      <c r="D95" s="10">
        <f t="shared" si="1"/>
        <v>7680</v>
      </c>
    </row>
    <row r="96" spans="1:4" x14ac:dyDescent="0.25">
      <c r="A96" s="8">
        <v>46086</v>
      </c>
      <c r="B96" s="9" t="s">
        <v>127</v>
      </c>
      <c r="C96" s="10">
        <v>-3000</v>
      </c>
      <c r="D96" s="10">
        <f t="shared" si="1"/>
        <v>4680</v>
      </c>
    </row>
    <row r="97" spans="1:4" x14ac:dyDescent="0.25">
      <c r="A97" s="8">
        <v>46304</v>
      </c>
      <c r="B97" s="9" t="s">
        <v>3</v>
      </c>
      <c r="C97" s="10">
        <v>1815</v>
      </c>
      <c r="D97" s="10">
        <f t="shared" si="1"/>
        <v>6495</v>
      </c>
    </row>
    <row r="98" spans="1:4" x14ac:dyDescent="0.25">
      <c r="A98" s="8">
        <v>46093</v>
      </c>
      <c r="B98" s="9" t="s">
        <v>3</v>
      </c>
      <c r="C98" s="10">
        <v>600</v>
      </c>
      <c r="D98" s="10">
        <f t="shared" si="1"/>
        <v>7095</v>
      </c>
    </row>
    <row r="99" spans="1:4" x14ac:dyDescent="0.25">
      <c r="A99" s="8">
        <v>46104</v>
      </c>
      <c r="B99" s="9" t="s">
        <v>370</v>
      </c>
      <c r="C99" s="10">
        <v>-5000</v>
      </c>
      <c r="D99" s="10">
        <f t="shared" si="1"/>
        <v>2095</v>
      </c>
    </row>
    <row r="100" spans="1:4" x14ac:dyDescent="0.25">
      <c r="A100" s="23" t="s">
        <v>371</v>
      </c>
      <c r="B100" s="9" t="s">
        <v>127</v>
      </c>
      <c r="C100" s="10">
        <v>-3995</v>
      </c>
      <c r="D100" s="10">
        <f t="shared" si="1"/>
        <v>-1900</v>
      </c>
    </row>
    <row r="101" spans="1:4" x14ac:dyDescent="0.25">
      <c r="A101" s="8">
        <v>46107</v>
      </c>
      <c r="B101" s="9" t="s">
        <v>3</v>
      </c>
      <c r="C101" s="10">
        <v>1340</v>
      </c>
      <c r="D101" s="10">
        <f t="shared" ref="D101:D129" si="2">D100+C101</f>
        <v>-560</v>
      </c>
    </row>
    <row r="102" spans="1:4" x14ac:dyDescent="0.25">
      <c r="A102" s="8">
        <v>46121</v>
      </c>
      <c r="B102" s="9" t="s">
        <v>3</v>
      </c>
      <c r="C102" s="10">
        <v>1320</v>
      </c>
      <c r="D102" s="10">
        <f t="shared" si="2"/>
        <v>760</v>
      </c>
    </row>
    <row r="103" spans="1:4" x14ac:dyDescent="0.25">
      <c r="A103" s="8">
        <v>46125</v>
      </c>
      <c r="B103" s="9" t="s">
        <v>127</v>
      </c>
      <c r="C103" s="10">
        <v>-2710</v>
      </c>
      <c r="D103" s="10">
        <f t="shared" si="2"/>
        <v>-1950</v>
      </c>
    </row>
    <row r="104" spans="1:4" x14ac:dyDescent="0.25">
      <c r="A104" s="8">
        <v>46125</v>
      </c>
      <c r="B104" s="9" t="s">
        <v>3</v>
      </c>
      <c r="C104" s="10">
        <v>1760</v>
      </c>
      <c r="D104" s="10">
        <f t="shared" si="2"/>
        <v>-190</v>
      </c>
    </row>
    <row r="105" spans="1:4" x14ac:dyDescent="0.25">
      <c r="A105" s="8">
        <v>46135</v>
      </c>
      <c r="B105" s="9" t="s">
        <v>3</v>
      </c>
      <c r="C105" s="10">
        <v>1560</v>
      </c>
      <c r="D105" s="10">
        <f t="shared" si="2"/>
        <v>1370</v>
      </c>
    </row>
    <row r="106" spans="1:4" x14ac:dyDescent="0.25">
      <c r="A106" s="8">
        <v>46139</v>
      </c>
      <c r="B106" s="9" t="s">
        <v>3</v>
      </c>
      <c r="C106" s="10">
        <v>1240</v>
      </c>
      <c r="D106" s="10">
        <f t="shared" si="2"/>
        <v>2610</v>
      </c>
    </row>
    <row r="107" spans="1:4" x14ac:dyDescent="0.25">
      <c r="A107" s="8">
        <v>46140</v>
      </c>
      <c r="B107" s="9" t="s">
        <v>127</v>
      </c>
      <c r="C107" s="10">
        <v>-2800</v>
      </c>
      <c r="D107" s="10">
        <f t="shared" si="2"/>
        <v>-190</v>
      </c>
    </row>
    <row r="108" spans="1:4" x14ac:dyDescent="0.25">
      <c r="A108" s="8">
        <v>46156</v>
      </c>
      <c r="B108" s="9" t="s">
        <v>3</v>
      </c>
      <c r="C108" s="10">
        <v>3530</v>
      </c>
      <c r="D108" s="10">
        <f t="shared" si="2"/>
        <v>3340</v>
      </c>
    </row>
    <row r="109" spans="1:4" x14ac:dyDescent="0.25">
      <c r="A109" s="8">
        <v>46160</v>
      </c>
      <c r="B109" s="9" t="s">
        <v>3</v>
      </c>
      <c r="C109" s="10">
        <v>1940</v>
      </c>
      <c r="D109" s="10">
        <f t="shared" si="2"/>
        <v>5280</v>
      </c>
    </row>
    <row r="110" spans="1:4" x14ac:dyDescent="0.25">
      <c r="A110" s="8">
        <v>46131</v>
      </c>
      <c r="B110" s="9" t="s">
        <v>430</v>
      </c>
      <c r="C110" s="10">
        <v>-7230</v>
      </c>
      <c r="D110" s="10">
        <f t="shared" si="2"/>
        <v>-1950</v>
      </c>
    </row>
    <row r="111" spans="1:4" x14ac:dyDescent="0.25">
      <c r="A111" s="8">
        <v>46181</v>
      </c>
      <c r="B111" s="9" t="s">
        <v>3</v>
      </c>
      <c r="C111" s="10">
        <v>1520</v>
      </c>
      <c r="D111" s="10">
        <f t="shared" si="2"/>
        <v>-430</v>
      </c>
    </row>
    <row r="112" spans="1:4" x14ac:dyDescent="0.25">
      <c r="A112" s="8">
        <v>46205</v>
      </c>
      <c r="B112" s="9" t="s">
        <v>3</v>
      </c>
      <c r="C112" s="10">
        <v>990</v>
      </c>
      <c r="D112" s="10">
        <f t="shared" si="2"/>
        <v>560</v>
      </c>
    </row>
    <row r="113" spans="1:4" x14ac:dyDescent="0.25">
      <c r="A113" s="8">
        <v>46212</v>
      </c>
      <c r="B113" s="9" t="s">
        <v>3</v>
      </c>
      <c r="C113" s="10">
        <v>850</v>
      </c>
      <c r="D113" s="10">
        <f t="shared" si="2"/>
        <v>1410</v>
      </c>
    </row>
    <row r="114" spans="1:4" x14ac:dyDescent="0.25">
      <c r="A114" s="8">
        <v>46219</v>
      </c>
      <c r="B114" s="9" t="s">
        <v>3</v>
      </c>
      <c r="C114" s="10">
        <v>1100</v>
      </c>
      <c r="D114" s="10">
        <f t="shared" si="2"/>
        <v>2510</v>
      </c>
    </row>
    <row r="115" spans="1:4" x14ac:dyDescent="0.25">
      <c r="A115" s="8">
        <v>46219</v>
      </c>
      <c r="B115" s="9" t="s">
        <v>178</v>
      </c>
      <c r="C115" s="10">
        <v>-2510</v>
      </c>
      <c r="D115" s="10">
        <f t="shared" si="2"/>
        <v>0</v>
      </c>
    </row>
    <row r="116" spans="1:4" x14ac:dyDescent="0.25">
      <c r="A116" s="8">
        <v>46240</v>
      </c>
      <c r="B116" s="9" t="s">
        <v>3</v>
      </c>
      <c r="C116" s="10">
        <v>1780</v>
      </c>
      <c r="D116" s="10">
        <f t="shared" si="2"/>
        <v>1780</v>
      </c>
    </row>
    <row r="117" spans="1:4" x14ac:dyDescent="0.25">
      <c r="A117" s="8">
        <v>46240</v>
      </c>
      <c r="B117" s="9" t="s">
        <v>178</v>
      </c>
      <c r="C117" s="10">
        <v>-1000</v>
      </c>
      <c r="D117" s="10">
        <f t="shared" si="2"/>
        <v>780</v>
      </c>
    </row>
    <row r="118" spans="1:4" x14ac:dyDescent="0.25">
      <c r="A118" s="8">
        <v>46247</v>
      </c>
      <c r="B118" s="9" t="s">
        <v>3</v>
      </c>
      <c r="C118" s="10">
        <v>1250</v>
      </c>
      <c r="D118" s="10">
        <f t="shared" si="2"/>
        <v>2030</v>
      </c>
    </row>
    <row r="119" spans="1:4" x14ac:dyDescent="0.25">
      <c r="A119" s="8">
        <v>46251</v>
      </c>
      <c r="B119" s="9" t="s">
        <v>3</v>
      </c>
      <c r="C119" s="10">
        <v>1760</v>
      </c>
      <c r="D119" s="10">
        <f t="shared" si="2"/>
        <v>3790</v>
      </c>
    </row>
    <row r="120" spans="1:4" x14ac:dyDescent="0.25">
      <c r="A120" s="8">
        <v>46253</v>
      </c>
      <c r="B120" s="9" t="s">
        <v>127</v>
      </c>
      <c r="C120" s="10">
        <v>-4060</v>
      </c>
      <c r="D120" s="10">
        <f t="shared" si="2"/>
        <v>-270</v>
      </c>
    </row>
    <row r="121" spans="1:4" x14ac:dyDescent="0.25">
      <c r="A121" s="8">
        <v>46254</v>
      </c>
      <c r="B121" s="9" t="s">
        <v>3</v>
      </c>
      <c r="C121" s="10">
        <v>1090</v>
      </c>
      <c r="D121" s="10">
        <f t="shared" si="2"/>
        <v>820</v>
      </c>
    </row>
    <row r="122" spans="1:4" x14ac:dyDescent="0.25">
      <c r="A122" s="8">
        <v>46272</v>
      </c>
      <c r="B122" s="9" t="s">
        <v>3</v>
      </c>
      <c r="C122" s="10">
        <v>2240</v>
      </c>
      <c r="D122" s="10">
        <f t="shared" si="2"/>
        <v>3060</v>
      </c>
    </row>
    <row r="123" spans="1:4" x14ac:dyDescent="0.25">
      <c r="A123" s="8">
        <v>46279</v>
      </c>
      <c r="B123" s="9" t="s">
        <v>3</v>
      </c>
      <c r="C123" s="10">
        <v>1540</v>
      </c>
      <c r="D123" s="10">
        <f t="shared" si="2"/>
        <v>4600</v>
      </c>
    </row>
    <row r="124" spans="1:4" x14ac:dyDescent="0.25">
      <c r="A124" s="8">
        <v>46289</v>
      </c>
      <c r="B124" s="9" t="s">
        <v>3</v>
      </c>
      <c r="C124" s="10">
        <v>800</v>
      </c>
      <c r="D124" s="10">
        <f t="shared" si="2"/>
        <v>5400</v>
      </c>
    </row>
    <row r="125" spans="1:4" x14ac:dyDescent="0.25">
      <c r="A125" s="8">
        <v>46289</v>
      </c>
      <c r="B125" s="9" t="s">
        <v>178</v>
      </c>
      <c r="C125" s="10">
        <v>-3000</v>
      </c>
      <c r="D125" s="10">
        <f t="shared" si="2"/>
        <v>2400</v>
      </c>
    </row>
    <row r="126" spans="1:4" x14ac:dyDescent="0.25">
      <c r="A126" s="8">
        <v>46300</v>
      </c>
      <c r="B126" s="9" t="s">
        <v>178</v>
      </c>
      <c r="C126" s="10">
        <v>-2000</v>
      </c>
      <c r="D126" s="10">
        <f t="shared" si="2"/>
        <v>400</v>
      </c>
    </row>
    <row r="127" spans="1:4" x14ac:dyDescent="0.25">
      <c r="A127" s="8">
        <v>46300</v>
      </c>
      <c r="B127" s="9" t="s">
        <v>589</v>
      </c>
      <c r="C127" s="10">
        <v>2040</v>
      </c>
      <c r="D127" s="10">
        <f t="shared" si="2"/>
        <v>2440</v>
      </c>
    </row>
    <row r="128" spans="1:4" x14ac:dyDescent="0.25">
      <c r="A128" s="9"/>
      <c r="B128" s="9"/>
      <c r="C128" s="10"/>
      <c r="D128" s="10">
        <f t="shared" si="2"/>
        <v>2440</v>
      </c>
    </row>
    <row r="129" spans="1:4" x14ac:dyDescent="0.25">
      <c r="A129" s="9"/>
      <c r="B129" s="9"/>
      <c r="C129" s="10"/>
      <c r="D129" s="10">
        <f t="shared" si="2"/>
        <v>2440</v>
      </c>
    </row>
    <row r="130" spans="1:4" x14ac:dyDescent="0.25">
      <c r="A130" s="9"/>
      <c r="B130" s="9"/>
      <c r="C130" s="10"/>
      <c r="D130" s="10"/>
    </row>
    <row r="131" spans="1:4" x14ac:dyDescent="0.25">
      <c r="A131" s="9"/>
      <c r="B131" s="9"/>
      <c r="C131" s="10"/>
      <c r="D131" s="10"/>
    </row>
    <row r="132" spans="1:4" x14ac:dyDescent="0.25">
      <c r="A132" s="9"/>
      <c r="B132" s="9"/>
      <c r="C132" s="10"/>
      <c r="D132" s="10"/>
    </row>
    <row r="133" spans="1:4" x14ac:dyDescent="0.25">
      <c r="A133" s="9"/>
      <c r="B133" s="9"/>
      <c r="C133" s="10"/>
      <c r="D133" s="10"/>
    </row>
    <row r="134" spans="1:4" x14ac:dyDescent="0.25">
      <c r="A134" s="9"/>
      <c r="B134" s="9"/>
      <c r="C134" s="10"/>
      <c r="D134" s="10"/>
    </row>
    <row r="135" spans="1:4" x14ac:dyDescent="0.25">
      <c r="A135" s="9"/>
      <c r="B135" s="9"/>
      <c r="C135" s="10"/>
      <c r="D135" s="10"/>
    </row>
    <row r="136" spans="1:4" x14ac:dyDescent="0.25">
      <c r="A136" s="9"/>
      <c r="B136" s="9"/>
      <c r="C136" s="10"/>
      <c r="D136" s="10"/>
    </row>
    <row r="137" spans="1:4" x14ac:dyDescent="0.25">
      <c r="A137" s="9"/>
      <c r="B137" s="9"/>
      <c r="C137" s="10"/>
      <c r="D137" s="10"/>
    </row>
    <row r="138" spans="1:4" x14ac:dyDescent="0.25">
      <c r="A138" s="9"/>
      <c r="B138" s="9"/>
      <c r="C138" s="10"/>
      <c r="D138" s="10"/>
    </row>
    <row r="139" spans="1:4" x14ac:dyDescent="0.25">
      <c r="A139" s="9"/>
      <c r="B139" s="9"/>
      <c r="C139" s="10"/>
      <c r="D139" s="10"/>
    </row>
    <row r="140" spans="1:4" x14ac:dyDescent="0.25">
      <c r="A140" s="9"/>
      <c r="B140" s="9"/>
      <c r="C140" s="10"/>
      <c r="D140" s="10"/>
    </row>
    <row r="141" spans="1:4" x14ac:dyDescent="0.25">
      <c r="A141" s="9"/>
      <c r="B141" s="9"/>
      <c r="C141" s="10"/>
      <c r="D141" s="10"/>
    </row>
    <row r="142" spans="1:4" x14ac:dyDescent="0.25">
      <c r="A142" s="9"/>
      <c r="B142" s="9"/>
      <c r="C142" s="10"/>
      <c r="D142" s="10"/>
    </row>
    <row r="143" spans="1:4" x14ac:dyDescent="0.25">
      <c r="A143" s="9"/>
      <c r="B143" s="9"/>
      <c r="C143" s="10"/>
      <c r="D143" s="10"/>
    </row>
    <row r="144" spans="1:4" x14ac:dyDescent="0.25">
      <c r="A144" s="9"/>
      <c r="B144" s="9"/>
      <c r="C144" s="10"/>
      <c r="D144" s="10"/>
    </row>
    <row r="145" spans="1:4" x14ac:dyDescent="0.25">
      <c r="A145" s="9"/>
      <c r="B145" s="9"/>
      <c r="C145" s="10"/>
      <c r="D145" s="10"/>
    </row>
    <row r="146" spans="1:4" x14ac:dyDescent="0.25">
      <c r="A146" s="9"/>
      <c r="B146" s="9"/>
      <c r="C146" s="10"/>
      <c r="D146" s="10"/>
    </row>
    <row r="147" spans="1:4" x14ac:dyDescent="0.25">
      <c r="A147" s="9"/>
      <c r="B147" s="9"/>
      <c r="C147" s="10"/>
      <c r="D147" s="10"/>
    </row>
    <row r="148" spans="1:4" x14ac:dyDescent="0.25">
      <c r="A148" s="9"/>
      <c r="B148" s="9"/>
      <c r="C148" s="10"/>
      <c r="D148" s="10"/>
    </row>
    <row r="149" spans="1:4" x14ac:dyDescent="0.25">
      <c r="A149" s="9"/>
      <c r="B149" s="9"/>
      <c r="C149" s="10"/>
      <c r="D149" s="10"/>
    </row>
    <row r="150" spans="1:4" x14ac:dyDescent="0.25">
      <c r="A150" s="9"/>
      <c r="B150" s="9"/>
      <c r="C150" s="10"/>
      <c r="D150" s="10"/>
    </row>
    <row r="151" spans="1:4" x14ac:dyDescent="0.25">
      <c r="A151" s="9"/>
      <c r="B151" s="9"/>
      <c r="C151" s="10"/>
      <c r="D151" s="10"/>
    </row>
    <row r="152" spans="1:4" x14ac:dyDescent="0.25">
      <c r="A152" s="9"/>
      <c r="B152" s="9"/>
      <c r="C152" s="10"/>
      <c r="D152" s="10"/>
    </row>
    <row r="153" spans="1:4" x14ac:dyDescent="0.25">
      <c r="A153" s="9"/>
      <c r="B153" s="9"/>
      <c r="C153" s="10"/>
      <c r="D153" s="10"/>
    </row>
    <row r="154" spans="1:4" x14ac:dyDescent="0.25">
      <c r="A154" s="9"/>
      <c r="B154" s="9"/>
      <c r="C154" s="10"/>
      <c r="D154" s="10"/>
    </row>
    <row r="155" spans="1:4" x14ac:dyDescent="0.25">
      <c r="A155" s="9"/>
      <c r="B155" s="9"/>
      <c r="C155" s="10"/>
      <c r="D155" s="10"/>
    </row>
    <row r="156" spans="1:4" x14ac:dyDescent="0.25">
      <c r="A156" s="9"/>
      <c r="B156" s="9"/>
      <c r="C156" s="10"/>
      <c r="D156" s="10"/>
    </row>
    <row r="157" spans="1:4" x14ac:dyDescent="0.25">
      <c r="A157" s="9"/>
      <c r="B157" s="9"/>
      <c r="C157" s="10"/>
      <c r="D157" s="10"/>
    </row>
    <row r="158" spans="1:4" x14ac:dyDescent="0.25">
      <c r="A158" s="9"/>
      <c r="B158" s="9"/>
      <c r="C158" s="10"/>
      <c r="D158" s="10"/>
    </row>
    <row r="159" spans="1:4" x14ac:dyDescent="0.25">
      <c r="A159" s="9"/>
      <c r="B159" s="9"/>
      <c r="C159" s="10"/>
      <c r="D159" s="10"/>
    </row>
    <row r="160" spans="1:4" x14ac:dyDescent="0.25">
      <c r="A160" s="9"/>
      <c r="B160" s="9"/>
      <c r="C160" s="10"/>
      <c r="D160" s="10"/>
    </row>
    <row r="161" spans="1:4" x14ac:dyDescent="0.25">
      <c r="A161" s="9"/>
      <c r="B161" s="9"/>
      <c r="C161" s="10"/>
      <c r="D161" s="10"/>
    </row>
    <row r="162" spans="1:4" x14ac:dyDescent="0.25">
      <c r="A162" s="9"/>
      <c r="B162" s="9"/>
      <c r="C162" s="10"/>
      <c r="D162" s="10"/>
    </row>
    <row r="163" spans="1:4" x14ac:dyDescent="0.25">
      <c r="A163" s="9"/>
      <c r="B163" s="9"/>
      <c r="C163" s="10"/>
      <c r="D163" s="10"/>
    </row>
    <row r="164" spans="1:4" x14ac:dyDescent="0.25">
      <c r="A164" s="9"/>
      <c r="B164" s="9"/>
      <c r="C164" s="10"/>
      <c r="D164" s="10"/>
    </row>
    <row r="165" spans="1:4" x14ac:dyDescent="0.25">
      <c r="A165" s="9"/>
      <c r="B165" s="9"/>
      <c r="C165" s="10"/>
      <c r="D165" s="10"/>
    </row>
    <row r="166" spans="1:4" x14ac:dyDescent="0.25">
      <c r="A166" s="9"/>
      <c r="B166" s="9"/>
      <c r="C166" s="10"/>
      <c r="D166" s="10"/>
    </row>
    <row r="167" spans="1:4" x14ac:dyDescent="0.25">
      <c r="A167" s="9"/>
      <c r="B167" s="9"/>
      <c r="C167" s="10"/>
      <c r="D167" s="10"/>
    </row>
    <row r="168" spans="1:4" x14ac:dyDescent="0.25">
      <c r="A168" s="9"/>
      <c r="B168" s="9"/>
      <c r="C168" s="10"/>
      <c r="D168" s="10"/>
    </row>
    <row r="169" spans="1:4" x14ac:dyDescent="0.25">
      <c r="A169" s="9"/>
      <c r="B169" s="9"/>
      <c r="C169" s="10"/>
      <c r="D169" s="10"/>
    </row>
    <row r="170" spans="1:4" x14ac:dyDescent="0.25">
      <c r="A170" s="9"/>
      <c r="B170" s="9"/>
      <c r="C170" s="10"/>
      <c r="D170" s="10"/>
    </row>
    <row r="171" spans="1:4" x14ac:dyDescent="0.25">
      <c r="A171" s="9"/>
      <c r="B171" s="9"/>
      <c r="C171" s="10"/>
      <c r="D171" s="10"/>
    </row>
    <row r="172" spans="1:4" x14ac:dyDescent="0.25">
      <c r="A172" s="9"/>
      <c r="B172" s="9"/>
      <c r="C172" s="10"/>
      <c r="D172" s="10"/>
    </row>
    <row r="173" spans="1:4" x14ac:dyDescent="0.25">
      <c r="A173" s="9"/>
      <c r="B173" s="9"/>
      <c r="C173" s="10"/>
      <c r="D173" s="10"/>
    </row>
    <row r="174" spans="1:4" x14ac:dyDescent="0.25">
      <c r="A174" s="9"/>
      <c r="B174" s="9"/>
      <c r="C174" s="10"/>
      <c r="D174" s="10"/>
    </row>
    <row r="175" spans="1:4" x14ac:dyDescent="0.25">
      <c r="A175" s="9"/>
      <c r="B175" s="9"/>
      <c r="C175" s="10"/>
      <c r="D175" s="10"/>
    </row>
    <row r="176" spans="1:4" x14ac:dyDescent="0.25">
      <c r="A176" s="9"/>
      <c r="B176" s="9"/>
      <c r="C176" s="10"/>
      <c r="D176" s="10"/>
    </row>
    <row r="177" spans="1:4" x14ac:dyDescent="0.25">
      <c r="A177" s="9"/>
      <c r="B177" s="9"/>
      <c r="C177" s="10"/>
      <c r="D177" s="10"/>
    </row>
    <row r="178" spans="1:4" x14ac:dyDescent="0.25">
      <c r="A178" s="9"/>
      <c r="B178" s="9"/>
      <c r="C178" s="10"/>
      <c r="D178" s="10"/>
    </row>
    <row r="179" spans="1:4" x14ac:dyDescent="0.25">
      <c r="A179" s="9"/>
      <c r="B179" s="9"/>
      <c r="C179" s="10"/>
      <c r="D179" s="10"/>
    </row>
    <row r="180" spans="1:4" x14ac:dyDescent="0.25">
      <c r="A180" s="9"/>
      <c r="B180" s="9"/>
      <c r="C180" s="10"/>
      <c r="D180" s="10"/>
    </row>
    <row r="181" spans="1:4" x14ac:dyDescent="0.25">
      <c r="A181" s="9"/>
      <c r="B181" s="9"/>
      <c r="C181" s="10"/>
      <c r="D181" s="10"/>
    </row>
    <row r="182" spans="1:4" x14ac:dyDescent="0.25">
      <c r="A182" s="9"/>
      <c r="B182" s="9"/>
      <c r="C182" s="10"/>
      <c r="D182" s="10"/>
    </row>
    <row r="183" spans="1:4" x14ac:dyDescent="0.25">
      <c r="A183" s="9"/>
      <c r="B183" s="9"/>
      <c r="C183" s="10"/>
      <c r="D183" s="10"/>
    </row>
    <row r="184" spans="1:4" x14ac:dyDescent="0.25">
      <c r="A184" s="9"/>
      <c r="B184" s="9"/>
      <c r="C184" s="10"/>
      <c r="D184" s="10"/>
    </row>
    <row r="185" spans="1:4" x14ac:dyDescent="0.25">
      <c r="A185" s="9"/>
      <c r="B185" s="9"/>
      <c r="C185" s="10"/>
      <c r="D185" s="10"/>
    </row>
    <row r="186" spans="1:4" x14ac:dyDescent="0.25">
      <c r="A186" s="9"/>
      <c r="B186" s="9"/>
      <c r="C186" s="10"/>
      <c r="D186" s="10"/>
    </row>
    <row r="187" spans="1:4" x14ac:dyDescent="0.25">
      <c r="A187" s="9"/>
      <c r="B187" s="9"/>
      <c r="C187" s="10"/>
      <c r="D187" s="10"/>
    </row>
    <row r="188" spans="1:4" x14ac:dyDescent="0.25">
      <c r="A188" s="9"/>
      <c r="B188" s="9"/>
      <c r="C188" s="10"/>
      <c r="D188" s="10"/>
    </row>
    <row r="189" spans="1:4" x14ac:dyDescent="0.25">
      <c r="A189" s="9"/>
      <c r="B189" s="9"/>
      <c r="C189" s="10"/>
      <c r="D189" s="10"/>
    </row>
  </sheetData>
  <mergeCells count="2">
    <mergeCell ref="A4:D4"/>
    <mergeCell ref="B6:D6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CB7F3-76D4-4D44-A1A7-91E77EDA76BA}">
  <sheetPr>
    <tabColor theme="9" tint="0.79998168889431442"/>
  </sheetPr>
  <dimension ref="A4:D197"/>
  <sheetViews>
    <sheetView topLeftCell="A128" workbookViewId="0">
      <selection activeCell="G156" sqref="G156"/>
    </sheetView>
  </sheetViews>
  <sheetFormatPr baseColWidth="10" defaultRowHeight="15" x14ac:dyDescent="0.25"/>
  <cols>
    <col min="1" max="1" width="28.28515625" customWidth="1"/>
    <col min="2" max="2" width="30" customWidth="1"/>
    <col min="3" max="3" width="23.42578125" style="6" customWidth="1"/>
    <col min="4" max="4" width="21.85546875" style="6" customWidth="1"/>
  </cols>
  <sheetData>
    <row r="4" spans="1:4" ht="18" x14ac:dyDescent="0.25">
      <c r="A4" s="98" t="s">
        <v>0</v>
      </c>
      <c r="B4" s="98"/>
      <c r="C4" s="98"/>
      <c r="D4" s="98"/>
    </row>
    <row r="6" spans="1:4" x14ac:dyDescent="0.25">
      <c r="A6" s="2" t="s">
        <v>1</v>
      </c>
      <c r="B6" s="96" t="s">
        <v>119</v>
      </c>
      <c r="C6" s="97"/>
      <c r="D6" s="97"/>
    </row>
    <row r="7" spans="1:4" x14ac:dyDescent="0.25">
      <c r="A7" s="3" t="s">
        <v>11</v>
      </c>
      <c r="B7" s="4" t="s">
        <v>120</v>
      </c>
      <c r="C7" s="4"/>
      <c r="D7" s="4"/>
    </row>
    <row r="8" spans="1:4" x14ac:dyDescent="0.25">
      <c r="B8" s="5"/>
    </row>
    <row r="9" spans="1:4" x14ac:dyDescent="0.25">
      <c r="A9" s="2" t="s">
        <v>2</v>
      </c>
      <c r="B9" s="2" t="s">
        <v>3</v>
      </c>
      <c r="C9" s="7" t="s">
        <v>4</v>
      </c>
      <c r="D9" s="7" t="s">
        <v>5</v>
      </c>
    </row>
    <row r="10" spans="1:4" x14ac:dyDescent="0.25">
      <c r="A10" s="8">
        <v>45915</v>
      </c>
      <c r="B10" s="9" t="s">
        <v>3</v>
      </c>
      <c r="C10" s="10">
        <v>3030</v>
      </c>
      <c r="D10" s="10">
        <f>C10</f>
        <v>3030</v>
      </c>
    </row>
    <row r="11" spans="1:4" x14ac:dyDescent="0.25">
      <c r="A11" s="8">
        <v>45915</v>
      </c>
      <c r="B11" s="9" t="s">
        <v>46</v>
      </c>
      <c r="C11" s="10">
        <v>-2360</v>
      </c>
      <c r="D11" s="10">
        <f>C11</f>
        <v>-2360</v>
      </c>
    </row>
    <row r="12" spans="1:4" x14ac:dyDescent="0.25">
      <c r="A12" s="8">
        <v>45915</v>
      </c>
      <c r="B12" s="9" t="s">
        <v>46</v>
      </c>
      <c r="C12" s="10">
        <v>-2360</v>
      </c>
      <c r="D12" s="10">
        <f>C12</f>
        <v>-2360</v>
      </c>
    </row>
    <row r="13" spans="1:4" x14ac:dyDescent="0.25">
      <c r="A13" s="8">
        <v>45922</v>
      </c>
      <c r="B13" s="9" t="s">
        <v>3</v>
      </c>
      <c r="C13" s="10">
        <v>1460</v>
      </c>
      <c r="D13" s="10">
        <f>C13</f>
        <v>1460</v>
      </c>
    </row>
    <row r="14" spans="1:4" x14ac:dyDescent="0.25">
      <c r="A14" s="13" t="s">
        <v>139</v>
      </c>
      <c r="B14" s="9" t="s">
        <v>46</v>
      </c>
      <c r="C14" s="10">
        <v>-1460</v>
      </c>
      <c r="D14" s="10">
        <v>0</v>
      </c>
    </row>
    <row r="15" spans="1:4" x14ac:dyDescent="0.25">
      <c r="A15" s="8">
        <v>45925</v>
      </c>
      <c r="B15" s="9" t="s">
        <v>144</v>
      </c>
      <c r="C15" s="10">
        <v>1990</v>
      </c>
      <c r="D15" s="10">
        <f>C15</f>
        <v>1990</v>
      </c>
    </row>
    <row r="16" spans="1:4" x14ac:dyDescent="0.25">
      <c r="A16" s="8">
        <v>45926</v>
      </c>
      <c r="B16" s="9" t="s">
        <v>3</v>
      </c>
      <c r="C16" s="10">
        <v>1760</v>
      </c>
      <c r="D16" s="10">
        <f t="shared" ref="D16:D47" si="0">D15+C16</f>
        <v>3750</v>
      </c>
    </row>
    <row r="17" spans="1:4" x14ac:dyDescent="0.25">
      <c r="A17" s="8">
        <v>45929</v>
      </c>
      <c r="B17" s="9" t="s">
        <v>3</v>
      </c>
      <c r="C17" s="10">
        <v>740</v>
      </c>
      <c r="D17" s="10">
        <f t="shared" si="0"/>
        <v>4490</v>
      </c>
    </row>
    <row r="18" spans="1:4" x14ac:dyDescent="0.25">
      <c r="A18" s="8">
        <v>45929</v>
      </c>
      <c r="B18" s="9" t="s">
        <v>46</v>
      </c>
      <c r="C18" s="10">
        <v>-4490</v>
      </c>
      <c r="D18" s="10">
        <f t="shared" si="0"/>
        <v>0</v>
      </c>
    </row>
    <row r="19" spans="1:4" x14ac:dyDescent="0.25">
      <c r="A19" s="8">
        <v>45932</v>
      </c>
      <c r="B19" s="9" t="s">
        <v>3</v>
      </c>
      <c r="C19" s="10">
        <v>1670</v>
      </c>
      <c r="D19" s="10">
        <f t="shared" si="0"/>
        <v>1670</v>
      </c>
    </row>
    <row r="20" spans="1:4" x14ac:dyDescent="0.25">
      <c r="A20" s="13" t="s">
        <v>163</v>
      </c>
      <c r="B20" s="9" t="s">
        <v>46</v>
      </c>
      <c r="C20" s="10">
        <v>-1670</v>
      </c>
      <c r="D20" s="10">
        <f t="shared" si="0"/>
        <v>0</v>
      </c>
    </row>
    <row r="21" spans="1:4" x14ac:dyDescent="0.25">
      <c r="A21" s="13">
        <v>45936</v>
      </c>
      <c r="B21" s="9" t="s">
        <v>3</v>
      </c>
      <c r="C21" s="10">
        <v>2350</v>
      </c>
      <c r="D21" s="10">
        <f t="shared" si="0"/>
        <v>2350</v>
      </c>
    </row>
    <row r="22" spans="1:4" x14ac:dyDescent="0.25">
      <c r="A22" s="13">
        <v>45936</v>
      </c>
      <c r="B22" s="9" t="s">
        <v>178</v>
      </c>
      <c r="C22" s="10">
        <v>-2350</v>
      </c>
      <c r="D22" s="10">
        <f t="shared" si="0"/>
        <v>0</v>
      </c>
    </row>
    <row r="23" spans="1:4" x14ac:dyDescent="0.25">
      <c r="A23" s="13">
        <v>45939</v>
      </c>
      <c r="B23" s="9" t="s">
        <v>3</v>
      </c>
      <c r="C23" s="10">
        <v>950</v>
      </c>
      <c r="D23" s="10">
        <f t="shared" si="0"/>
        <v>950</v>
      </c>
    </row>
    <row r="24" spans="1:4" x14ac:dyDescent="0.25">
      <c r="A24" s="13">
        <v>45939</v>
      </c>
      <c r="B24" s="9" t="s">
        <v>178</v>
      </c>
      <c r="C24" s="10">
        <v>-950</v>
      </c>
      <c r="D24" s="10">
        <f t="shared" si="0"/>
        <v>0</v>
      </c>
    </row>
    <row r="25" spans="1:4" x14ac:dyDescent="0.25">
      <c r="A25" s="8">
        <v>45950</v>
      </c>
      <c r="B25" s="9" t="s">
        <v>3</v>
      </c>
      <c r="C25" s="10">
        <v>2410</v>
      </c>
      <c r="D25" s="10">
        <f t="shared" si="0"/>
        <v>2410</v>
      </c>
    </row>
    <row r="26" spans="1:4" x14ac:dyDescent="0.25">
      <c r="A26" s="8">
        <v>45950</v>
      </c>
      <c r="B26" s="9" t="s">
        <v>178</v>
      </c>
      <c r="C26" s="10">
        <v>-2410</v>
      </c>
      <c r="D26" s="10">
        <f t="shared" si="0"/>
        <v>0</v>
      </c>
    </row>
    <row r="27" spans="1:4" x14ac:dyDescent="0.25">
      <c r="A27" s="8">
        <v>45953</v>
      </c>
      <c r="B27" s="9" t="s">
        <v>3</v>
      </c>
      <c r="C27" s="10">
        <v>2360</v>
      </c>
      <c r="D27" s="10">
        <f t="shared" si="0"/>
        <v>2360</v>
      </c>
    </row>
    <row r="28" spans="1:4" x14ac:dyDescent="0.25">
      <c r="A28" s="8">
        <v>45953</v>
      </c>
      <c r="B28" s="9" t="s">
        <v>178</v>
      </c>
      <c r="C28" s="10">
        <v>-2360</v>
      </c>
      <c r="D28" s="10">
        <f t="shared" si="0"/>
        <v>0</v>
      </c>
    </row>
    <row r="29" spans="1:4" x14ac:dyDescent="0.25">
      <c r="A29" s="8">
        <v>45956</v>
      </c>
      <c r="B29" s="9" t="s">
        <v>3</v>
      </c>
      <c r="C29" s="10">
        <v>2220</v>
      </c>
      <c r="D29" s="10">
        <f t="shared" si="0"/>
        <v>2220</v>
      </c>
    </row>
    <row r="30" spans="1:4" x14ac:dyDescent="0.25">
      <c r="A30" s="8">
        <v>45957</v>
      </c>
      <c r="B30" s="9" t="s">
        <v>3</v>
      </c>
      <c r="C30" s="10">
        <v>1790</v>
      </c>
      <c r="D30" s="10">
        <f t="shared" si="0"/>
        <v>4010</v>
      </c>
    </row>
    <row r="31" spans="1:4" x14ac:dyDescent="0.25">
      <c r="A31" s="8">
        <v>45957</v>
      </c>
      <c r="B31" s="9" t="s">
        <v>46</v>
      </c>
      <c r="C31" s="10">
        <v>-2100</v>
      </c>
      <c r="D31" s="10">
        <f t="shared" si="0"/>
        <v>1910</v>
      </c>
    </row>
    <row r="32" spans="1:4" x14ac:dyDescent="0.25">
      <c r="A32" s="8">
        <v>45960</v>
      </c>
      <c r="B32" s="9" t="s">
        <v>3</v>
      </c>
      <c r="C32" s="10">
        <v>1330</v>
      </c>
      <c r="D32" s="10">
        <f t="shared" si="0"/>
        <v>3240</v>
      </c>
    </row>
    <row r="33" spans="1:4" x14ac:dyDescent="0.25">
      <c r="A33" s="8">
        <v>45960</v>
      </c>
      <c r="B33" s="9" t="s">
        <v>46</v>
      </c>
      <c r="C33" s="10">
        <v>-2790</v>
      </c>
      <c r="D33" s="10">
        <f t="shared" si="0"/>
        <v>450</v>
      </c>
    </row>
    <row r="34" spans="1:4" x14ac:dyDescent="0.25">
      <c r="A34" s="8">
        <v>45967</v>
      </c>
      <c r="B34" s="9" t="s">
        <v>3</v>
      </c>
      <c r="C34" s="10">
        <v>1220</v>
      </c>
      <c r="D34" s="10">
        <f t="shared" si="0"/>
        <v>1670</v>
      </c>
    </row>
    <row r="35" spans="1:4" x14ac:dyDescent="0.25">
      <c r="A35" s="8">
        <v>45967</v>
      </c>
      <c r="B35" s="9" t="s">
        <v>178</v>
      </c>
      <c r="C35" s="10">
        <v>-1670</v>
      </c>
      <c r="D35" s="10">
        <f t="shared" si="0"/>
        <v>0</v>
      </c>
    </row>
    <row r="36" spans="1:4" x14ac:dyDescent="0.25">
      <c r="A36" s="8">
        <v>45971</v>
      </c>
      <c r="B36" s="9" t="s">
        <v>3</v>
      </c>
      <c r="C36" s="10">
        <v>1630</v>
      </c>
      <c r="D36" s="10">
        <f t="shared" si="0"/>
        <v>1630</v>
      </c>
    </row>
    <row r="37" spans="1:4" x14ac:dyDescent="0.25">
      <c r="A37" s="8">
        <v>45971</v>
      </c>
      <c r="B37" s="9" t="s">
        <v>46</v>
      </c>
      <c r="C37" s="10">
        <v>-1630</v>
      </c>
      <c r="D37" s="10">
        <f t="shared" si="0"/>
        <v>0</v>
      </c>
    </row>
    <row r="38" spans="1:4" x14ac:dyDescent="0.25">
      <c r="A38" s="8">
        <v>45978</v>
      </c>
      <c r="B38" s="9" t="s">
        <v>3</v>
      </c>
      <c r="C38" s="10">
        <v>940</v>
      </c>
      <c r="D38" s="10">
        <f t="shared" si="0"/>
        <v>940</v>
      </c>
    </row>
    <row r="39" spans="1:4" x14ac:dyDescent="0.25">
      <c r="A39" s="8">
        <v>45978</v>
      </c>
      <c r="B39" s="9" t="s">
        <v>46</v>
      </c>
      <c r="C39" s="10">
        <v>-940</v>
      </c>
      <c r="D39" s="10">
        <f t="shared" si="0"/>
        <v>0</v>
      </c>
    </row>
    <row r="40" spans="1:4" x14ac:dyDescent="0.25">
      <c r="A40" s="8">
        <v>45981</v>
      </c>
      <c r="B40" s="9" t="s">
        <v>3</v>
      </c>
      <c r="C40" s="10">
        <v>3390</v>
      </c>
      <c r="D40" s="10">
        <f t="shared" si="0"/>
        <v>3390</v>
      </c>
    </row>
    <row r="41" spans="1:4" x14ac:dyDescent="0.25">
      <c r="A41" s="8">
        <v>45981</v>
      </c>
      <c r="B41" s="9" t="s">
        <v>46</v>
      </c>
      <c r="C41" s="10">
        <v>-3390</v>
      </c>
      <c r="D41" s="10">
        <f t="shared" si="0"/>
        <v>0</v>
      </c>
    </row>
    <row r="42" spans="1:4" x14ac:dyDescent="0.25">
      <c r="A42" s="8">
        <v>45984</v>
      </c>
      <c r="B42" s="9" t="s">
        <v>3</v>
      </c>
      <c r="C42" s="10">
        <v>3790</v>
      </c>
      <c r="D42" s="10">
        <f t="shared" si="0"/>
        <v>3790</v>
      </c>
    </row>
    <row r="43" spans="1:4" x14ac:dyDescent="0.25">
      <c r="A43" s="8">
        <v>45985</v>
      </c>
      <c r="B43" s="9" t="s">
        <v>3</v>
      </c>
      <c r="C43" s="10">
        <v>2040</v>
      </c>
      <c r="D43" s="10">
        <f t="shared" si="0"/>
        <v>5830</v>
      </c>
    </row>
    <row r="44" spans="1:4" x14ac:dyDescent="0.25">
      <c r="A44" s="8">
        <v>45986</v>
      </c>
      <c r="B44" s="9" t="s">
        <v>46</v>
      </c>
      <c r="C44" s="10">
        <v>-5830</v>
      </c>
      <c r="D44" s="10">
        <f t="shared" si="0"/>
        <v>0</v>
      </c>
    </row>
    <row r="45" spans="1:4" x14ac:dyDescent="0.25">
      <c r="A45" s="8">
        <v>45987</v>
      </c>
      <c r="B45" s="9" t="s">
        <v>129</v>
      </c>
      <c r="C45" s="10">
        <v>2330</v>
      </c>
      <c r="D45" s="10">
        <f t="shared" si="0"/>
        <v>2330</v>
      </c>
    </row>
    <row r="46" spans="1:4" x14ac:dyDescent="0.25">
      <c r="A46" s="8">
        <v>45990</v>
      </c>
      <c r="B46" s="9" t="s">
        <v>129</v>
      </c>
      <c r="C46" s="10">
        <v>3350</v>
      </c>
      <c r="D46" s="10">
        <f t="shared" si="0"/>
        <v>5680</v>
      </c>
    </row>
    <row r="47" spans="1:4" x14ac:dyDescent="0.25">
      <c r="A47" s="8">
        <v>45992</v>
      </c>
      <c r="B47" s="9" t="s">
        <v>3</v>
      </c>
      <c r="C47" s="10">
        <v>2230</v>
      </c>
      <c r="D47" s="10">
        <f t="shared" si="0"/>
        <v>7910</v>
      </c>
    </row>
    <row r="48" spans="1:4" x14ac:dyDescent="0.25">
      <c r="A48" s="8">
        <v>45992</v>
      </c>
      <c r="B48" s="9" t="s">
        <v>46</v>
      </c>
      <c r="C48" s="10">
        <v>-6200</v>
      </c>
      <c r="D48" s="10">
        <f t="shared" ref="D48:D79" si="1">D47+C48</f>
        <v>1710</v>
      </c>
    </row>
    <row r="49" spans="1:4" x14ac:dyDescent="0.25">
      <c r="A49" s="8">
        <v>45995</v>
      </c>
      <c r="B49" s="9" t="s">
        <v>3</v>
      </c>
      <c r="C49" s="10">
        <v>1390</v>
      </c>
      <c r="D49" s="10">
        <f t="shared" si="1"/>
        <v>3100</v>
      </c>
    </row>
    <row r="50" spans="1:4" x14ac:dyDescent="0.25">
      <c r="A50" s="8">
        <v>45995</v>
      </c>
      <c r="B50" s="9" t="s">
        <v>46</v>
      </c>
      <c r="C50" s="10">
        <v>-3100</v>
      </c>
      <c r="D50" s="10">
        <f t="shared" si="1"/>
        <v>0</v>
      </c>
    </row>
    <row r="51" spans="1:4" x14ac:dyDescent="0.25">
      <c r="A51" s="8">
        <v>45997</v>
      </c>
      <c r="B51" s="9" t="s">
        <v>3</v>
      </c>
      <c r="C51" s="10">
        <v>2680</v>
      </c>
      <c r="D51" s="10">
        <f t="shared" si="1"/>
        <v>2680</v>
      </c>
    </row>
    <row r="52" spans="1:4" x14ac:dyDescent="0.25">
      <c r="A52" s="8">
        <v>46002</v>
      </c>
      <c r="B52" s="9" t="s">
        <v>97</v>
      </c>
      <c r="C52" s="10">
        <v>3530</v>
      </c>
      <c r="D52" s="10">
        <f t="shared" si="1"/>
        <v>6210</v>
      </c>
    </row>
    <row r="53" spans="1:4" x14ac:dyDescent="0.25">
      <c r="A53" s="8">
        <v>46002</v>
      </c>
      <c r="B53" s="9" t="s">
        <v>46</v>
      </c>
      <c r="C53" s="10">
        <v>-6000</v>
      </c>
      <c r="D53" s="10">
        <f t="shared" si="1"/>
        <v>210</v>
      </c>
    </row>
    <row r="54" spans="1:4" x14ac:dyDescent="0.25">
      <c r="A54" s="8">
        <v>46002</v>
      </c>
      <c r="B54" s="9" t="s">
        <v>262</v>
      </c>
      <c r="C54" s="10">
        <v>-210</v>
      </c>
      <c r="D54" s="10">
        <f t="shared" si="1"/>
        <v>0</v>
      </c>
    </row>
    <row r="55" spans="1:4" x14ac:dyDescent="0.25">
      <c r="A55" s="8">
        <v>46006</v>
      </c>
      <c r="B55" s="9" t="s">
        <v>3</v>
      </c>
      <c r="C55" s="10">
        <v>2210</v>
      </c>
      <c r="D55" s="10">
        <f t="shared" si="1"/>
        <v>2210</v>
      </c>
    </row>
    <row r="56" spans="1:4" x14ac:dyDescent="0.25">
      <c r="A56" s="8">
        <v>46006</v>
      </c>
      <c r="B56" s="9" t="s">
        <v>46</v>
      </c>
      <c r="C56" s="10">
        <v>-2210</v>
      </c>
      <c r="D56" s="10">
        <f t="shared" si="1"/>
        <v>0</v>
      </c>
    </row>
    <row r="57" spans="1:4" x14ac:dyDescent="0.25">
      <c r="A57" s="8">
        <v>46020</v>
      </c>
      <c r="B57" s="9" t="s">
        <v>3</v>
      </c>
      <c r="C57" s="10">
        <v>4740</v>
      </c>
      <c r="D57" s="10">
        <f t="shared" si="1"/>
        <v>4740</v>
      </c>
    </row>
    <row r="58" spans="1:4" x14ac:dyDescent="0.25">
      <c r="A58" s="8">
        <v>46020</v>
      </c>
      <c r="B58" s="9" t="s">
        <v>178</v>
      </c>
      <c r="C58" s="10">
        <v>-4740</v>
      </c>
      <c r="D58" s="10">
        <f t="shared" si="1"/>
        <v>0</v>
      </c>
    </row>
    <row r="59" spans="1:4" x14ac:dyDescent="0.25">
      <c r="A59" s="8">
        <v>46027</v>
      </c>
      <c r="B59" s="9" t="s">
        <v>3</v>
      </c>
      <c r="C59" s="10">
        <v>2380</v>
      </c>
      <c r="D59" s="10">
        <f t="shared" si="1"/>
        <v>2380</v>
      </c>
    </row>
    <row r="60" spans="1:4" x14ac:dyDescent="0.25">
      <c r="A60" s="8">
        <v>46027</v>
      </c>
      <c r="B60" s="9" t="s">
        <v>178</v>
      </c>
      <c r="C60" s="10">
        <v>-2380</v>
      </c>
      <c r="D60" s="10">
        <f t="shared" si="1"/>
        <v>0</v>
      </c>
    </row>
    <row r="61" spans="1:4" x14ac:dyDescent="0.25">
      <c r="A61" s="8">
        <v>46030</v>
      </c>
      <c r="B61" s="9" t="s">
        <v>3</v>
      </c>
      <c r="C61" s="10">
        <v>6250</v>
      </c>
      <c r="D61" s="10">
        <f t="shared" si="1"/>
        <v>6250</v>
      </c>
    </row>
    <row r="62" spans="1:4" x14ac:dyDescent="0.25">
      <c r="A62" s="8">
        <v>46030</v>
      </c>
      <c r="B62" s="9" t="s">
        <v>178</v>
      </c>
      <c r="C62" s="10">
        <v>-6250</v>
      </c>
      <c r="D62" s="10">
        <f t="shared" si="1"/>
        <v>0</v>
      </c>
    </row>
    <row r="63" spans="1:4" x14ac:dyDescent="0.25">
      <c r="A63" s="8">
        <v>46036</v>
      </c>
      <c r="B63" s="9" t="s">
        <v>129</v>
      </c>
      <c r="C63" s="10">
        <v>3780</v>
      </c>
      <c r="D63" s="10">
        <f t="shared" si="1"/>
        <v>3780</v>
      </c>
    </row>
    <row r="64" spans="1:4" x14ac:dyDescent="0.25">
      <c r="A64" s="8">
        <v>46037</v>
      </c>
      <c r="B64" s="9" t="s">
        <v>3</v>
      </c>
      <c r="C64" s="10">
        <v>2000</v>
      </c>
      <c r="D64" s="10">
        <f t="shared" si="1"/>
        <v>5780</v>
      </c>
    </row>
    <row r="65" spans="1:4" x14ac:dyDescent="0.25">
      <c r="A65" s="8">
        <v>46037</v>
      </c>
      <c r="B65" s="9" t="s">
        <v>178</v>
      </c>
      <c r="C65" s="10">
        <v>-4500</v>
      </c>
      <c r="D65" s="10">
        <f t="shared" si="1"/>
        <v>1280</v>
      </c>
    </row>
    <row r="66" spans="1:4" x14ac:dyDescent="0.25">
      <c r="A66" s="8">
        <v>46039</v>
      </c>
      <c r="B66" s="9" t="s">
        <v>148</v>
      </c>
      <c r="C66" s="10">
        <v>2400</v>
      </c>
      <c r="D66" s="10">
        <f t="shared" si="1"/>
        <v>3680</v>
      </c>
    </row>
    <row r="67" spans="1:4" x14ac:dyDescent="0.25">
      <c r="A67" s="8">
        <v>46044</v>
      </c>
      <c r="B67" s="9" t="s">
        <v>3</v>
      </c>
      <c r="C67" s="10">
        <v>2800</v>
      </c>
      <c r="D67" s="10">
        <f t="shared" si="1"/>
        <v>6480</v>
      </c>
    </row>
    <row r="68" spans="1:4" x14ac:dyDescent="0.25">
      <c r="A68" s="8">
        <v>46044</v>
      </c>
      <c r="B68" s="9" t="s">
        <v>178</v>
      </c>
      <c r="C68" s="10">
        <v>-5000</v>
      </c>
      <c r="D68" s="10">
        <f t="shared" si="1"/>
        <v>1480</v>
      </c>
    </row>
    <row r="69" spans="1:4" x14ac:dyDescent="0.25">
      <c r="A69" s="8">
        <v>46048</v>
      </c>
      <c r="B69" s="9" t="s">
        <v>3</v>
      </c>
      <c r="C69" s="10">
        <v>2590</v>
      </c>
      <c r="D69" s="10">
        <f t="shared" si="1"/>
        <v>4070</v>
      </c>
    </row>
    <row r="70" spans="1:4" x14ac:dyDescent="0.25">
      <c r="A70" s="8">
        <v>46048</v>
      </c>
      <c r="B70" s="9" t="s">
        <v>178</v>
      </c>
      <c r="C70" s="10">
        <v>-4090</v>
      </c>
      <c r="D70" s="10">
        <f t="shared" si="1"/>
        <v>-20</v>
      </c>
    </row>
    <row r="71" spans="1:4" x14ac:dyDescent="0.25">
      <c r="A71" s="8">
        <v>46051</v>
      </c>
      <c r="B71" s="9" t="s">
        <v>3</v>
      </c>
      <c r="C71" s="10">
        <v>1900</v>
      </c>
      <c r="D71" s="10">
        <f t="shared" si="1"/>
        <v>1880</v>
      </c>
    </row>
    <row r="72" spans="1:4" x14ac:dyDescent="0.25">
      <c r="A72" s="8">
        <v>46051</v>
      </c>
      <c r="B72" s="9" t="s">
        <v>178</v>
      </c>
      <c r="C72" s="10">
        <v>-1900</v>
      </c>
      <c r="D72" s="10">
        <f t="shared" si="1"/>
        <v>-20</v>
      </c>
    </row>
    <row r="73" spans="1:4" x14ac:dyDescent="0.25">
      <c r="A73" s="8">
        <v>46055</v>
      </c>
      <c r="B73" s="9" t="s">
        <v>3</v>
      </c>
      <c r="C73" s="10">
        <v>1580</v>
      </c>
      <c r="D73" s="10">
        <f t="shared" si="1"/>
        <v>1560</v>
      </c>
    </row>
    <row r="74" spans="1:4" x14ac:dyDescent="0.25">
      <c r="A74" s="8">
        <v>46055</v>
      </c>
      <c r="B74" s="9" t="s">
        <v>178</v>
      </c>
      <c r="C74" s="10">
        <v>-1580</v>
      </c>
      <c r="D74" s="10">
        <f t="shared" si="1"/>
        <v>-20</v>
      </c>
    </row>
    <row r="75" spans="1:4" x14ac:dyDescent="0.25">
      <c r="A75" s="8">
        <v>46069</v>
      </c>
      <c r="B75" s="9" t="s">
        <v>3</v>
      </c>
      <c r="C75" s="10">
        <v>2720</v>
      </c>
      <c r="D75" s="10">
        <f t="shared" si="1"/>
        <v>2700</v>
      </c>
    </row>
    <row r="76" spans="1:4" x14ac:dyDescent="0.25">
      <c r="A76" s="8">
        <v>46069</v>
      </c>
      <c r="B76" s="9" t="s">
        <v>178</v>
      </c>
      <c r="C76" s="10">
        <v>-2720</v>
      </c>
      <c r="D76" s="10">
        <f t="shared" si="1"/>
        <v>-20</v>
      </c>
    </row>
    <row r="77" spans="1:4" x14ac:dyDescent="0.25">
      <c r="A77" s="8">
        <v>46073</v>
      </c>
      <c r="B77" s="9" t="s">
        <v>3</v>
      </c>
      <c r="C77" s="10">
        <v>1760</v>
      </c>
      <c r="D77" s="10">
        <f t="shared" si="1"/>
        <v>1740</v>
      </c>
    </row>
    <row r="78" spans="1:4" x14ac:dyDescent="0.25">
      <c r="A78" s="8">
        <v>46077</v>
      </c>
      <c r="B78" s="9" t="s">
        <v>3</v>
      </c>
      <c r="C78" s="10">
        <v>1570</v>
      </c>
      <c r="D78" s="10">
        <f t="shared" si="1"/>
        <v>3310</v>
      </c>
    </row>
    <row r="79" spans="1:4" x14ac:dyDescent="0.25">
      <c r="A79" s="8">
        <v>46079</v>
      </c>
      <c r="B79" s="9" t="s">
        <v>3</v>
      </c>
      <c r="C79" s="10">
        <v>550</v>
      </c>
      <c r="D79" s="10">
        <f t="shared" si="1"/>
        <v>3860</v>
      </c>
    </row>
    <row r="80" spans="1:4" x14ac:dyDescent="0.25">
      <c r="A80" s="8">
        <v>46079</v>
      </c>
      <c r="B80" s="9" t="s">
        <v>178</v>
      </c>
      <c r="C80" s="10">
        <v>-3860</v>
      </c>
      <c r="D80" s="10">
        <f t="shared" ref="D80:D86" si="2">D79+C80</f>
        <v>0</v>
      </c>
    </row>
    <row r="81" spans="1:4" x14ac:dyDescent="0.25">
      <c r="A81" s="8">
        <v>46087</v>
      </c>
      <c r="B81" s="9" t="s">
        <v>129</v>
      </c>
      <c r="C81" s="10">
        <v>2050</v>
      </c>
      <c r="D81" s="10">
        <f t="shared" si="2"/>
        <v>2050</v>
      </c>
    </row>
    <row r="82" spans="1:4" x14ac:dyDescent="0.25">
      <c r="A82" s="8">
        <v>46090</v>
      </c>
      <c r="B82" s="9" t="s">
        <v>3</v>
      </c>
      <c r="C82" s="10">
        <v>2650</v>
      </c>
      <c r="D82" s="10">
        <f t="shared" si="2"/>
        <v>4700</v>
      </c>
    </row>
    <row r="83" spans="1:4" x14ac:dyDescent="0.25">
      <c r="A83" s="8">
        <v>46090</v>
      </c>
      <c r="B83" s="9" t="s">
        <v>178</v>
      </c>
      <c r="C83" s="10">
        <v>-4700</v>
      </c>
      <c r="D83" s="10">
        <f t="shared" si="2"/>
        <v>0</v>
      </c>
    </row>
    <row r="84" spans="1:4" x14ac:dyDescent="0.25">
      <c r="A84" s="8">
        <v>46093</v>
      </c>
      <c r="B84" s="9" t="s">
        <v>3</v>
      </c>
      <c r="C84" s="10">
        <v>1810</v>
      </c>
      <c r="D84" s="10">
        <f t="shared" si="2"/>
        <v>1810</v>
      </c>
    </row>
    <row r="85" spans="1:4" x14ac:dyDescent="0.25">
      <c r="A85" s="8">
        <v>46093</v>
      </c>
      <c r="B85" s="9" t="s">
        <v>178</v>
      </c>
      <c r="C85" s="10">
        <v>-1810</v>
      </c>
      <c r="D85" s="10">
        <f t="shared" si="2"/>
        <v>0</v>
      </c>
    </row>
    <row r="86" spans="1:4" x14ac:dyDescent="0.25">
      <c r="A86" s="8">
        <v>46097</v>
      </c>
      <c r="B86" s="9" t="s">
        <v>3</v>
      </c>
      <c r="C86" s="10">
        <v>2410</v>
      </c>
      <c r="D86" s="10">
        <f t="shared" si="2"/>
        <v>2410</v>
      </c>
    </row>
    <row r="87" spans="1:4" x14ac:dyDescent="0.25">
      <c r="A87" s="8">
        <v>46097</v>
      </c>
      <c r="B87" s="9" t="s">
        <v>178</v>
      </c>
      <c r="C87" s="10">
        <v>-2410</v>
      </c>
      <c r="D87" s="10">
        <f t="shared" ref="D87:D150" si="3">D86+C87</f>
        <v>0</v>
      </c>
    </row>
    <row r="88" spans="1:4" x14ac:dyDescent="0.25">
      <c r="A88" s="8">
        <v>46100</v>
      </c>
      <c r="B88" s="9" t="s">
        <v>3</v>
      </c>
      <c r="C88" s="10">
        <v>1790</v>
      </c>
      <c r="D88" s="10">
        <f t="shared" si="3"/>
        <v>1790</v>
      </c>
    </row>
    <row r="89" spans="1:4" x14ac:dyDescent="0.25">
      <c r="A89" s="8">
        <v>46100</v>
      </c>
      <c r="B89" s="9" t="s">
        <v>178</v>
      </c>
      <c r="C89" s="10">
        <v>-1790</v>
      </c>
      <c r="D89" s="10">
        <f t="shared" si="3"/>
        <v>0</v>
      </c>
    </row>
    <row r="90" spans="1:4" x14ac:dyDescent="0.25">
      <c r="A90" s="8">
        <v>46104</v>
      </c>
      <c r="B90" s="9" t="s">
        <v>3</v>
      </c>
      <c r="C90" s="10">
        <v>1620</v>
      </c>
      <c r="D90" s="10">
        <f t="shared" si="3"/>
        <v>1620</v>
      </c>
    </row>
    <row r="91" spans="1:4" x14ac:dyDescent="0.25">
      <c r="A91" s="8">
        <v>46104</v>
      </c>
      <c r="B91" s="9" t="s">
        <v>178</v>
      </c>
      <c r="C91" s="10">
        <v>-1620</v>
      </c>
      <c r="D91" s="10">
        <f t="shared" si="3"/>
        <v>0</v>
      </c>
    </row>
    <row r="92" spans="1:4" x14ac:dyDescent="0.25">
      <c r="A92" s="8">
        <v>46107</v>
      </c>
      <c r="B92" s="9" t="s">
        <v>3</v>
      </c>
      <c r="C92" s="10">
        <v>2160</v>
      </c>
      <c r="D92" s="10">
        <f t="shared" si="3"/>
        <v>2160</v>
      </c>
    </row>
    <row r="93" spans="1:4" x14ac:dyDescent="0.25">
      <c r="A93" s="8">
        <v>46107</v>
      </c>
      <c r="B93" s="9" t="s">
        <v>178</v>
      </c>
      <c r="C93" s="10">
        <v>-2160</v>
      </c>
      <c r="D93" s="10">
        <f t="shared" si="3"/>
        <v>0</v>
      </c>
    </row>
    <row r="94" spans="1:4" x14ac:dyDescent="0.25">
      <c r="A94" s="8">
        <v>46111</v>
      </c>
      <c r="B94" s="9" t="s">
        <v>3</v>
      </c>
      <c r="C94" s="10">
        <v>4440</v>
      </c>
      <c r="D94" s="10">
        <f t="shared" si="3"/>
        <v>4440</v>
      </c>
    </row>
    <row r="95" spans="1:4" x14ac:dyDescent="0.25">
      <c r="A95" s="8">
        <v>46111</v>
      </c>
      <c r="B95" s="9" t="s">
        <v>178</v>
      </c>
      <c r="C95" s="10">
        <v>-4000</v>
      </c>
      <c r="D95" s="10">
        <f t="shared" si="3"/>
        <v>440</v>
      </c>
    </row>
    <row r="96" spans="1:4" x14ac:dyDescent="0.25">
      <c r="A96" s="8">
        <v>46118</v>
      </c>
      <c r="B96" s="9" t="s">
        <v>3</v>
      </c>
      <c r="C96" s="10">
        <v>1810</v>
      </c>
      <c r="D96" s="10">
        <f t="shared" si="3"/>
        <v>2250</v>
      </c>
    </row>
    <row r="97" spans="1:4" x14ac:dyDescent="0.25">
      <c r="A97" s="8">
        <v>46118</v>
      </c>
      <c r="B97" s="9" t="s">
        <v>178</v>
      </c>
      <c r="C97" s="10">
        <v>-2250</v>
      </c>
      <c r="D97" s="10">
        <f t="shared" si="3"/>
        <v>0</v>
      </c>
    </row>
    <row r="98" spans="1:4" x14ac:dyDescent="0.25">
      <c r="A98" s="8">
        <v>46120</v>
      </c>
      <c r="B98" s="9" t="s">
        <v>392</v>
      </c>
      <c r="C98" s="10">
        <v>5650</v>
      </c>
      <c r="D98" s="10">
        <f t="shared" si="3"/>
        <v>5650</v>
      </c>
    </row>
    <row r="99" spans="1:4" x14ac:dyDescent="0.25">
      <c r="A99" s="8">
        <v>46121</v>
      </c>
      <c r="B99" s="9" t="s">
        <v>178</v>
      </c>
      <c r="C99" s="10">
        <v>-5650</v>
      </c>
      <c r="D99" s="10">
        <f t="shared" si="3"/>
        <v>0</v>
      </c>
    </row>
    <row r="100" spans="1:4" x14ac:dyDescent="0.25">
      <c r="A100" s="8">
        <v>46125</v>
      </c>
      <c r="B100" s="9" t="s">
        <v>3</v>
      </c>
      <c r="C100" s="10">
        <v>2580</v>
      </c>
      <c r="D100" s="10">
        <f t="shared" si="3"/>
        <v>2580</v>
      </c>
    </row>
    <row r="101" spans="1:4" x14ac:dyDescent="0.25">
      <c r="A101" s="8">
        <v>46125</v>
      </c>
      <c r="B101" s="9" t="s">
        <v>178</v>
      </c>
      <c r="C101" s="10">
        <v>-2580</v>
      </c>
      <c r="D101" s="10">
        <f t="shared" si="3"/>
        <v>0</v>
      </c>
    </row>
    <row r="102" spans="1:4" x14ac:dyDescent="0.25">
      <c r="A102" s="8">
        <v>46128</v>
      </c>
      <c r="B102" s="9" t="s">
        <v>3</v>
      </c>
      <c r="C102" s="10">
        <v>2310</v>
      </c>
      <c r="D102" s="10">
        <f t="shared" si="3"/>
        <v>2310</v>
      </c>
    </row>
    <row r="103" spans="1:4" x14ac:dyDescent="0.25">
      <c r="A103" s="8">
        <v>46128</v>
      </c>
      <c r="B103" s="9" t="s">
        <v>178</v>
      </c>
      <c r="C103" s="10">
        <v>-2310</v>
      </c>
      <c r="D103" s="10">
        <f t="shared" si="3"/>
        <v>0</v>
      </c>
    </row>
    <row r="104" spans="1:4" x14ac:dyDescent="0.25">
      <c r="A104" s="8">
        <v>46132</v>
      </c>
      <c r="B104" s="9" t="s">
        <v>3</v>
      </c>
      <c r="C104" s="10">
        <v>1750</v>
      </c>
      <c r="D104" s="10">
        <f t="shared" si="3"/>
        <v>1750</v>
      </c>
    </row>
    <row r="105" spans="1:4" x14ac:dyDescent="0.25">
      <c r="A105" s="8">
        <v>46132</v>
      </c>
      <c r="B105" s="9" t="s">
        <v>178</v>
      </c>
      <c r="C105" s="10">
        <v>-1750</v>
      </c>
      <c r="D105" s="10">
        <f t="shared" si="3"/>
        <v>0</v>
      </c>
    </row>
    <row r="106" spans="1:4" x14ac:dyDescent="0.25">
      <c r="A106" s="8">
        <v>46139</v>
      </c>
      <c r="B106" s="9" t="s">
        <v>3</v>
      </c>
      <c r="C106" s="10">
        <v>1780</v>
      </c>
      <c r="D106" s="10">
        <f t="shared" si="3"/>
        <v>1780</v>
      </c>
    </row>
    <row r="107" spans="1:4" x14ac:dyDescent="0.25">
      <c r="A107" s="8">
        <v>46139</v>
      </c>
      <c r="B107" s="9" t="s">
        <v>178</v>
      </c>
      <c r="C107" s="10">
        <v>-1780</v>
      </c>
      <c r="D107" s="10">
        <f t="shared" si="3"/>
        <v>0</v>
      </c>
    </row>
    <row r="108" spans="1:4" x14ac:dyDescent="0.25">
      <c r="A108" s="8">
        <v>46156</v>
      </c>
      <c r="B108" s="9" t="s">
        <v>3</v>
      </c>
      <c r="C108" s="10">
        <v>2820</v>
      </c>
      <c r="D108" s="10">
        <f t="shared" si="3"/>
        <v>2820</v>
      </c>
    </row>
    <row r="109" spans="1:4" x14ac:dyDescent="0.25">
      <c r="A109" s="8">
        <v>46156</v>
      </c>
      <c r="B109" s="9" t="s">
        <v>178</v>
      </c>
      <c r="C109" s="10">
        <v>-2820</v>
      </c>
      <c r="D109" s="10">
        <f t="shared" si="3"/>
        <v>0</v>
      </c>
    </row>
    <row r="110" spans="1:4" x14ac:dyDescent="0.25">
      <c r="A110" s="8">
        <v>46162</v>
      </c>
      <c r="B110" s="9" t="s">
        <v>384</v>
      </c>
      <c r="C110" s="10">
        <v>1770</v>
      </c>
      <c r="D110" s="10">
        <f t="shared" si="3"/>
        <v>1770</v>
      </c>
    </row>
    <row r="111" spans="1:4" x14ac:dyDescent="0.25">
      <c r="A111" s="8">
        <v>46163</v>
      </c>
      <c r="B111" s="9" t="s">
        <v>3</v>
      </c>
      <c r="C111" s="10">
        <v>1650</v>
      </c>
      <c r="D111" s="10">
        <f t="shared" si="3"/>
        <v>3420</v>
      </c>
    </row>
    <row r="112" spans="1:4" x14ac:dyDescent="0.25">
      <c r="A112" s="8">
        <v>46163</v>
      </c>
      <c r="B112" s="9" t="s">
        <v>178</v>
      </c>
      <c r="C112" s="10">
        <v>-3410</v>
      </c>
      <c r="D112" s="10">
        <f t="shared" si="3"/>
        <v>10</v>
      </c>
    </row>
    <row r="113" spans="1:4" x14ac:dyDescent="0.25">
      <c r="A113" s="8">
        <v>46165</v>
      </c>
      <c r="B113" s="9" t="s">
        <v>3</v>
      </c>
      <c r="C113" s="10">
        <v>1400</v>
      </c>
      <c r="D113" s="10">
        <f t="shared" si="3"/>
        <v>1410</v>
      </c>
    </row>
    <row r="114" spans="1:4" x14ac:dyDescent="0.25">
      <c r="A114" s="8">
        <v>46167</v>
      </c>
      <c r="B114" s="9" t="s">
        <v>178</v>
      </c>
      <c r="C114" s="10">
        <v>-1410</v>
      </c>
      <c r="D114" s="10">
        <f t="shared" si="3"/>
        <v>0</v>
      </c>
    </row>
    <row r="115" spans="1:4" x14ac:dyDescent="0.25">
      <c r="A115" s="8">
        <v>46175</v>
      </c>
      <c r="B115" s="9" t="s">
        <v>3</v>
      </c>
      <c r="C115" s="10">
        <v>1770</v>
      </c>
      <c r="D115" s="10">
        <f t="shared" si="3"/>
        <v>1770</v>
      </c>
    </row>
    <row r="116" spans="1:4" x14ac:dyDescent="0.25">
      <c r="A116" s="8">
        <v>46177</v>
      </c>
      <c r="B116" s="9" t="s">
        <v>3</v>
      </c>
      <c r="C116" s="10">
        <v>1820</v>
      </c>
      <c r="D116" s="10">
        <f t="shared" si="3"/>
        <v>3590</v>
      </c>
    </row>
    <row r="117" spans="1:4" x14ac:dyDescent="0.25">
      <c r="A117" s="8">
        <v>46177</v>
      </c>
      <c r="B117" s="9" t="s">
        <v>178</v>
      </c>
      <c r="C117" s="10">
        <v>-3590</v>
      </c>
      <c r="D117" s="10">
        <f t="shared" si="3"/>
        <v>0</v>
      </c>
    </row>
    <row r="118" spans="1:4" x14ac:dyDescent="0.25">
      <c r="A118" s="8">
        <v>46179</v>
      </c>
      <c r="B118" s="9" t="s">
        <v>455</v>
      </c>
      <c r="C118" s="10">
        <v>1440</v>
      </c>
      <c r="D118" s="10">
        <f t="shared" si="3"/>
        <v>1440</v>
      </c>
    </row>
    <row r="119" spans="1:4" x14ac:dyDescent="0.25">
      <c r="A119" s="8">
        <v>46181</v>
      </c>
      <c r="B119" s="9" t="s">
        <v>456</v>
      </c>
      <c r="C119" s="10">
        <v>850</v>
      </c>
      <c r="D119" s="10">
        <f t="shared" si="3"/>
        <v>2290</v>
      </c>
    </row>
    <row r="120" spans="1:4" x14ac:dyDescent="0.25">
      <c r="A120" s="8">
        <v>46184</v>
      </c>
      <c r="B120" s="9" t="s">
        <v>3</v>
      </c>
      <c r="C120" s="10">
        <v>300</v>
      </c>
      <c r="D120" s="10">
        <f t="shared" si="3"/>
        <v>2590</v>
      </c>
    </row>
    <row r="121" spans="1:4" x14ac:dyDescent="0.25">
      <c r="A121" s="8">
        <v>46184</v>
      </c>
      <c r="B121" s="9" t="s">
        <v>178</v>
      </c>
      <c r="C121" s="10">
        <v>-2590</v>
      </c>
      <c r="D121" s="10">
        <f t="shared" si="3"/>
        <v>0</v>
      </c>
    </row>
    <row r="122" spans="1:4" x14ac:dyDescent="0.25">
      <c r="A122" s="8">
        <v>46188</v>
      </c>
      <c r="B122" s="9" t="s">
        <v>3</v>
      </c>
      <c r="C122" s="10">
        <v>1840</v>
      </c>
      <c r="D122" s="10">
        <f t="shared" si="3"/>
        <v>1840</v>
      </c>
    </row>
    <row r="123" spans="1:4" x14ac:dyDescent="0.25">
      <c r="A123" s="8">
        <v>46192</v>
      </c>
      <c r="B123" s="9" t="s">
        <v>3</v>
      </c>
      <c r="C123" s="10">
        <v>1450</v>
      </c>
      <c r="D123" s="10">
        <f t="shared" si="3"/>
        <v>3290</v>
      </c>
    </row>
    <row r="124" spans="1:4" x14ac:dyDescent="0.25">
      <c r="A124" s="8">
        <v>46198</v>
      </c>
      <c r="B124" s="9" t="s">
        <v>3</v>
      </c>
      <c r="C124" s="10">
        <f>600+300+350+170+250+120+150+80</f>
        <v>2020</v>
      </c>
      <c r="D124" s="10">
        <f t="shared" si="3"/>
        <v>5310</v>
      </c>
    </row>
    <row r="125" spans="1:4" x14ac:dyDescent="0.25">
      <c r="A125" s="8">
        <v>46198</v>
      </c>
      <c r="B125" s="9" t="s">
        <v>178</v>
      </c>
      <c r="C125" s="10">
        <v>-4000</v>
      </c>
      <c r="D125" s="10">
        <f t="shared" si="3"/>
        <v>1310</v>
      </c>
    </row>
    <row r="126" spans="1:4" x14ac:dyDescent="0.25">
      <c r="A126" s="8">
        <v>46202</v>
      </c>
      <c r="B126" s="9" t="s">
        <v>459</v>
      </c>
      <c r="C126" s="10">
        <v>770</v>
      </c>
      <c r="D126" s="10">
        <f t="shared" si="3"/>
        <v>2080</v>
      </c>
    </row>
    <row r="127" spans="1:4" x14ac:dyDescent="0.25">
      <c r="A127" s="8">
        <v>46202</v>
      </c>
      <c r="B127" s="9" t="s">
        <v>178</v>
      </c>
      <c r="C127" s="10">
        <v>-770</v>
      </c>
      <c r="D127" s="10">
        <f t="shared" si="3"/>
        <v>1310</v>
      </c>
    </row>
    <row r="128" spans="1:4" x14ac:dyDescent="0.25">
      <c r="A128" s="8">
        <v>46205</v>
      </c>
      <c r="B128" s="9" t="s">
        <v>3</v>
      </c>
      <c r="C128" s="10">
        <v>1750</v>
      </c>
      <c r="D128" s="10">
        <f t="shared" si="3"/>
        <v>3060</v>
      </c>
    </row>
    <row r="129" spans="1:4" x14ac:dyDescent="0.25">
      <c r="A129" s="8">
        <v>46205</v>
      </c>
      <c r="B129" s="9" t="s">
        <v>178</v>
      </c>
      <c r="C129" s="10">
        <v>3060</v>
      </c>
      <c r="D129" s="10">
        <v>0</v>
      </c>
    </row>
    <row r="130" spans="1:4" x14ac:dyDescent="0.25">
      <c r="A130" s="8">
        <v>46209</v>
      </c>
      <c r="B130" s="9" t="s">
        <v>3</v>
      </c>
      <c r="C130" s="10">
        <v>2030</v>
      </c>
      <c r="D130" s="10">
        <f t="shared" si="3"/>
        <v>2030</v>
      </c>
    </row>
    <row r="131" spans="1:4" x14ac:dyDescent="0.25">
      <c r="A131" s="8">
        <v>46209</v>
      </c>
      <c r="B131" s="9" t="s">
        <v>178</v>
      </c>
      <c r="C131" s="10">
        <v>-2030</v>
      </c>
      <c r="D131" s="10">
        <f t="shared" si="3"/>
        <v>0</v>
      </c>
    </row>
    <row r="132" spans="1:4" x14ac:dyDescent="0.25">
      <c r="A132" s="8">
        <v>46216</v>
      </c>
      <c r="B132" s="9" t="s">
        <v>3</v>
      </c>
      <c r="C132" s="10">
        <v>2000</v>
      </c>
      <c r="D132" s="10">
        <f t="shared" si="3"/>
        <v>2000</v>
      </c>
    </row>
    <row r="133" spans="1:4" x14ac:dyDescent="0.25">
      <c r="A133" s="8">
        <v>46216</v>
      </c>
      <c r="B133" s="9" t="s">
        <v>178</v>
      </c>
      <c r="C133" s="10">
        <v>-2000</v>
      </c>
      <c r="D133" s="10">
        <f t="shared" si="3"/>
        <v>0</v>
      </c>
    </row>
    <row r="134" spans="1:4" x14ac:dyDescent="0.25">
      <c r="A134" s="8">
        <v>46219</v>
      </c>
      <c r="B134" s="9" t="s">
        <v>3</v>
      </c>
      <c r="C134" s="10">
        <v>620</v>
      </c>
      <c r="D134" s="10">
        <f t="shared" si="3"/>
        <v>620</v>
      </c>
    </row>
    <row r="135" spans="1:4" x14ac:dyDescent="0.25">
      <c r="A135" s="8">
        <v>46219</v>
      </c>
      <c r="B135" s="9" t="s">
        <v>178</v>
      </c>
      <c r="C135" s="10">
        <v>-620</v>
      </c>
      <c r="D135" s="10">
        <f t="shared" si="3"/>
        <v>0</v>
      </c>
    </row>
    <row r="136" spans="1:4" x14ac:dyDescent="0.25">
      <c r="A136" s="8">
        <v>46223</v>
      </c>
      <c r="B136" s="9" t="s">
        <v>3</v>
      </c>
      <c r="C136" s="10">
        <v>2160</v>
      </c>
      <c r="D136" s="10">
        <f t="shared" si="3"/>
        <v>2160</v>
      </c>
    </row>
    <row r="137" spans="1:4" x14ac:dyDescent="0.25">
      <c r="A137" s="8">
        <v>46223</v>
      </c>
      <c r="B137" s="9" t="s">
        <v>178</v>
      </c>
      <c r="C137" s="10">
        <v>-2160</v>
      </c>
      <c r="D137" s="10">
        <f t="shared" si="3"/>
        <v>0</v>
      </c>
    </row>
    <row r="138" spans="1:4" x14ac:dyDescent="0.25">
      <c r="A138" s="8">
        <v>46233</v>
      </c>
      <c r="B138" s="9" t="s">
        <v>459</v>
      </c>
      <c r="C138" s="10">
        <v>1020</v>
      </c>
      <c r="D138" s="10">
        <f t="shared" si="3"/>
        <v>1020</v>
      </c>
    </row>
    <row r="139" spans="1:4" x14ac:dyDescent="0.25">
      <c r="A139" s="8">
        <v>46233</v>
      </c>
      <c r="B139" s="9" t="s">
        <v>178</v>
      </c>
      <c r="C139" s="10">
        <v>-1020</v>
      </c>
      <c r="D139" s="10">
        <f t="shared" si="3"/>
        <v>0</v>
      </c>
    </row>
    <row r="140" spans="1:4" x14ac:dyDescent="0.25">
      <c r="A140" s="8">
        <v>46249</v>
      </c>
      <c r="B140" s="9" t="s">
        <v>129</v>
      </c>
      <c r="C140" s="10">
        <v>900</v>
      </c>
      <c r="D140" s="10">
        <f t="shared" si="3"/>
        <v>900</v>
      </c>
    </row>
    <row r="141" spans="1:4" x14ac:dyDescent="0.25">
      <c r="A141" s="8">
        <v>46249</v>
      </c>
      <c r="B141" s="9" t="s">
        <v>261</v>
      </c>
      <c r="C141" s="10">
        <v>-900</v>
      </c>
      <c r="D141" s="10">
        <f t="shared" si="3"/>
        <v>0</v>
      </c>
    </row>
    <row r="142" spans="1:4" x14ac:dyDescent="0.25">
      <c r="A142" s="8">
        <v>46261</v>
      </c>
      <c r="B142" s="9" t="s">
        <v>3</v>
      </c>
      <c r="C142" s="10">
        <v>1620</v>
      </c>
      <c r="D142" s="10">
        <f t="shared" si="3"/>
        <v>1620</v>
      </c>
    </row>
    <row r="143" spans="1:4" x14ac:dyDescent="0.25">
      <c r="A143" s="8">
        <v>46261</v>
      </c>
      <c r="B143" s="9" t="s">
        <v>178</v>
      </c>
      <c r="C143" s="10">
        <v>-1620</v>
      </c>
      <c r="D143" s="10">
        <f t="shared" si="3"/>
        <v>0</v>
      </c>
    </row>
    <row r="144" spans="1:4" x14ac:dyDescent="0.25">
      <c r="A144" s="8">
        <v>46268</v>
      </c>
      <c r="B144" s="9" t="s">
        <v>459</v>
      </c>
      <c r="C144" s="10">
        <v>2890</v>
      </c>
      <c r="D144" s="10">
        <f t="shared" si="3"/>
        <v>2890</v>
      </c>
    </row>
    <row r="145" spans="1:4" x14ac:dyDescent="0.25">
      <c r="A145" s="8">
        <v>46268</v>
      </c>
      <c r="B145" s="9" t="s">
        <v>178</v>
      </c>
      <c r="C145" s="10">
        <v>-2890</v>
      </c>
      <c r="D145" s="10">
        <f t="shared" si="3"/>
        <v>0</v>
      </c>
    </row>
    <row r="146" spans="1:4" x14ac:dyDescent="0.25">
      <c r="A146" s="8">
        <v>46270</v>
      </c>
      <c r="B146" s="9" t="s">
        <v>575</v>
      </c>
      <c r="C146" s="10">
        <v>1970</v>
      </c>
      <c r="D146" s="10">
        <f t="shared" si="3"/>
        <v>1970</v>
      </c>
    </row>
    <row r="147" spans="1:4" x14ac:dyDescent="0.25">
      <c r="A147" s="8">
        <v>46275</v>
      </c>
      <c r="B147" s="9" t="s">
        <v>3</v>
      </c>
      <c r="C147" s="10">
        <v>-1970</v>
      </c>
      <c r="D147" s="10">
        <f t="shared" si="3"/>
        <v>0</v>
      </c>
    </row>
    <row r="148" spans="1:4" x14ac:dyDescent="0.25">
      <c r="A148" s="8">
        <v>46281</v>
      </c>
      <c r="B148" s="9" t="s">
        <v>148</v>
      </c>
      <c r="C148" s="10">
        <v>1960</v>
      </c>
      <c r="D148" s="10">
        <f t="shared" si="3"/>
        <v>1960</v>
      </c>
    </row>
    <row r="149" spans="1:4" x14ac:dyDescent="0.25">
      <c r="A149" s="8">
        <v>46282</v>
      </c>
      <c r="B149" s="9" t="s">
        <v>3</v>
      </c>
      <c r="C149" s="10">
        <v>1110</v>
      </c>
      <c r="D149" s="10">
        <f t="shared" si="3"/>
        <v>3070</v>
      </c>
    </row>
    <row r="150" spans="1:4" x14ac:dyDescent="0.25">
      <c r="A150" s="8">
        <v>46282</v>
      </c>
      <c r="B150" s="9" t="s">
        <v>178</v>
      </c>
      <c r="C150" s="10">
        <v>-3070</v>
      </c>
      <c r="D150" s="10">
        <f t="shared" si="3"/>
        <v>0</v>
      </c>
    </row>
    <row r="151" spans="1:4" x14ac:dyDescent="0.25">
      <c r="A151" s="8">
        <v>46284</v>
      </c>
      <c r="B151" s="9" t="s">
        <v>129</v>
      </c>
      <c r="C151" s="10">
        <v>3790</v>
      </c>
      <c r="D151" s="10">
        <f t="shared" ref="D151:D154" si="4">D150+C151</f>
        <v>3790</v>
      </c>
    </row>
    <row r="152" spans="1:4" x14ac:dyDescent="0.25">
      <c r="A152" s="8">
        <v>46293</v>
      </c>
      <c r="B152" s="9" t="s">
        <v>3</v>
      </c>
      <c r="C152" s="10">
        <v>1520</v>
      </c>
      <c r="D152" s="10">
        <f t="shared" si="4"/>
        <v>5310</v>
      </c>
    </row>
    <row r="153" spans="1:4" x14ac:dyDescent="0.25">
      <c r="A153" s="8">
        <v>46296</v>
      </c>
      <c r="B153" s="9" t="s">
        <v>3</v>
      </c>
      <c r="C153" s="10">
        <v>2690</v>
      </c>
      <c r="D153" s="10">
        <f t="shared" si="4"/>
        <v>8000</v>
      </c>
    </row>
    <row r="154" spans="1:4" x14ac:dyDescent="0.25">
      <c r="A154" s="8">
        <v>46296</v>
      </c>
      <c r="B154" s="9" t="s">
        <v>178</v>
      </c>
      <c r="C154" s="10">
        <v>-8000</v>
      </c>
      <c r="D154" s="10">
        <f t="shared" si="4"/>
        <v>0</v>
      </c>
    </row>
    <row r="155" spans="1:4" x14ac:dyDescent="0.25">
      <c r="A155" s="9"/>
      <c r="B155" s="9"/>
      <c r="C155" s="10"/>
      <c r="D155" s="10">
        <f t="shared" ref="D155" si="5">D154+C155</f>
        <v>0</v>
      </c>
    </row>
    <row r="156" spans="1:4" x14ac:dyDescent="0.25">
      <c r="A156" s="9"/>
      <c r="B156" s="9"/>
      <c r="C156" s="10"/>
      <c r="D156" s="10"/>
    </row>
    <row r="157" spans="1:4" x14ac:dyDescent="0.25">
      <c r="A157" s="9"/>
      <c r="B157" s="9"/>
      <c r="C157" s="10"/>
      <c r="D157" s="10"/>
    </row>
    <row r="158" spans="1:4" x14ac:dyDescent="0.25">
      <c r="A158" s="9"/>
      <c r="B158" s="9"/>
      <c r="C158" s="10"/>
      <c r="D158" s="10"/>
    </row>
    <row r="159" spans="1:4" x14ac:dyDescent="0.25">
      <c r="A159" s="9"/>
      <c r="B159" s="9"/>
      <c r="C159" s="10"/>
      <c r="D159" s="10"/>
    </row>
    <row r="160" spans="1:4" x14ac:dyDescent="0.25">
      <c r="A160" s="9"/>
      <c r="B160" s="9"/>
      <c r="C160" s="10"/>
      <c r="D160" s="10"/>
    </row>
    <row r="161" spans="1:4" x14ac:dyDescent="0.25">
      <c r="A161" s="9"/>
      <c r="B161" s="9"/>
      <c r="C161" s="10"/>
      <c r="D161" s="10"/>
    </row>
    <row r="162" spans="1:4" x14ac:dyDescent="0.25">
      <c r="A162" s="9"/>
      <c r="B162" s="9"/>
      <c r="C162" s="10"/>
      <c r="D162" s="10"/>
    </row>
    <row r="163" spans="1:4" x14ac:dyDescent="0.25">
      <c r="A163" s="9"/>
      <c r="B163" s="9"/>
      <c r="C163" s="10"/>
      <c r="D163" s="10"/>
    </row>
    <row r="164" spans="1:4" x14ac:dyDescent="0.25">
      <c r="A164" s="9"/>
      <c r="B164" s="9"/>
      <c r="C164" s="10"/>
      <c r="D164" s="10"/>
    </row>
    <row r="165" spans="1:4" x14ac:dyDescent="0.25">
      <c r="A165" s="9"/>
      <c r="B165" s="9"/>
      <c r="C165" s="10"/>
      <c r="D165" s="10"/>
    </row>
    <row r="166" spans="1:4" x14ac:dyDescent="0.25">
      <c r="A166" s="9"/>
      <c r="B166" s="9"/>
      <c r="C166" s="10"/>
      <c r="D166" s="10"/>
    </row>
    <row r="167" spans="1:4" x14ac:dyDescent="0.25">
      <c r="A167" s="9"/>
      <c r="B167" s="9"/>
      <c r="C167" s="10"/>
      <c r="D167" s="10"/>
    </row>
    <row r="168" spans="1:4" x14ac:dyDescent="0.25">
      <c r="A168" s="9"/>
      <c r="B168" s="9"/>
      <c r="C168" s="10"/>
      <c r="D168" s="10"/>
    </row>
    <row r="169" spans="1:4" x14ac:dyDescent="0.25">
      <c r="A169" s="9"/>
      <c r="B169" s="9"/>
      <c r="C169" s="10"/>
      <c r="D169" s="10"/>
    </row>
    <row r="170" spans="1:4" x14ac:dyDescent="0.25">
      <c r="A170" s="9"/>
      <c r="B170" s="9"/>
      <c r="C170" s="10"/>
      <c r="D170" s="10"/>
    </row>
    <row r="171" spans="1:4" x14ac:dyDescent="0.25">
      <c r="A171" s="9"/>
      <c r="B171" s="9"/>
      <c r="C171" s="10"/>
      <c r="D171" s="10"/>
    </row>
    <row r="172" spans="1:4" x14ac:dyDescent="0.25">
      <c r="A172" s="9"/>
      <c r="B172" s="9"/>
      <c r="C172" s="10"/>
      <c r="D172" s="10"/>
    </row>
    <row r="173" spans="1:4" x14ac:dyDescent="0.25">
      <c r="A173" s="9"/>
      <c r="B173" s="9"/>
      <c r="C173" s="10"/>
      <c r="D173" s="10"/>
    </row>
    <row r="174" spans="1:4" x14ac:dyDescent="0.25">
      <c r="A174" s="9"/>
      <c r="B174" s="9"/>
      <c r="C174" s="10"/>
      <c r="D174" s="10"/>
    </row>
    <row r="175" spans="1:4" x14ac:dyDescent="0.25">
      <c r="A175" s="9"/>
      <c r="B175" s="9"/>
      <c r="C175" s="10"/>
      <c r="D175" s="10"/>
    </row>
    <row r="176" spans="1:4" x14ac:dyDescent="0.25">
      <c r="A176" s="9"/>
      <c r="B176" s="9"/>
      <c r="C176" s="10"/>
      <c r="D176" s="10"/>
    </row>
    <row r="177" spans="1:4" x14ac:dyDescent="0.25">
      <c r="A177" s="9"/>
      <c r="B177" s="9"/>
      <c r="C177" s="10"/>
      <c r="D177" s="10"/>
    </row>
    <row r="178" spans="1:4" x14ac:dyDescent="0.25">
      <c r="A178" s="9"/>
      <c r="B178" s="9"/>
      <c r="C178" s="10"/>
      <c r="D178" s="10"/>
    </row>
    <row r="179" spans="1:4" x14ac:dyDescent="0.25">
      <c r="A179" s="9"/>
      <c r="B179" s="9"/>
      <c r="C179" s="10"/>
      <c r="D179" s="10"/>
    </row>
    <row r="180" spans="1:4" x14ac:dyDescent="0.25">
      <c r="A180" s="9"/>
      <c r="B180" s="9"/>
      <c r="C180" s="10"/>
      <c r="D180" s="10"/>
    </row>
    <row r="181" spans="1:4" x14ac:dyDescent="0.25">
      <c r="A181" s="9"/>
      <c r="B181" s="9"/>
      <c r="C181" s="10"/>
      <c r="D181" s="10"/>
    </row>
    <row r="182" spans="1:4" x14ac:dyDescent="0.25">
      <c r="A182" s="9"/>
      <c r="B182" s="9"/>
      <c r="C182" s="10"/>
      <c r="D182" s="10"/>
    </row>
    <row r="183" spans="1:4" x14ac:dyDescent="0.25">
      <c r="A183" s="9"/>
      <c r="B183" s="9"/>
      <c r="C183" s="10"/>
      <c r="D183" s="10"/>
    </row>
    <row r="184" spans="1:4" x14ac:dyDescent="0.25">
      <c r="A184" s="9"/>
      <c r="B184" s="9"/>
      <c r="C184" s="10"/>
      <c r="D184" s="10"/>
    </row>
    <row r="185" spans="1:4" x14ac:dyDescent="0.25">
      <c r="A185" s="9"/>
      <c r="B185" s="9"/>
      <c r="C185" s="10"/>
      <c r="D185" s="10"/>
    </row>
    <row r="186" spans="1:4" x14ac:dyDescent="0.25">
      <c r="A186" s="9"/>
      <c r="B186" s="9"/>
      <c r="C186" s="10"/>
      <c r="D186" s="10"/>
    </row>
    <row r="187" spans="1:4" x14ac:dyDescent="0.25">
      <c r="A187" s="9"/>
      <c r="B187" s="9"/>
      <c r="C187" s="10"/>
      <c r="D187" s="10"/>
    </row>
    <row r="188" spans="1:4" x14ac:dyDescent="0.25">
      <c r="A188" s="9"/>
      <c r="B188" s="9"/>
      <c r="C188" s="10"/>
      <c r="D188" s="10"/>
    </row>
    <row r="189" spans="1:4" x14ac:dyDescent="0.25">
      <c r="A189" s="9"/>
      <c r="B189" s="9"/>
      <c r="C189" s="10"/>
      <c r="D189" s="10"/>
    </row>
    <row r="190" spans="1:4" x14ac:dyDescent="0.25">
      <c r="A190" s="9"/>
      <c r="B190" s="9"/>
      <c r="C190" s="10"/>
      <c r="D190" s="10"/>
    </row>
    <row r="191" spans="1:4" x14ac:dyDescent="0.25">
      <c r="A191" s="9"/>
      <c r="B191" s="9"/>
      <c r="C191" s="10"/>
      <c r="D191" s="10"/>
    </row>
    <row r="192" spans="1:4" x14ac:dyDescent="0.25">
      <c r="A192" s="9"/>
      <c r="B192" s="9"/>
      <c r="C192" s="10"/>
      <c r="D192" s="10"/>
    </row>
    <row r="193" spans="1:4" x14ac:dyDescent="0.25">
      <c r="A193" s="9"/>
      <c r="B193" s="9"/>
      <c r="C193" s="10"/>
      <c r="D193" s="10"/>
    </row>
    <row r="194" spans="1:4" x14ac:dyDescent="0.25">
      <c r="A194" s="9"/>
      <c r="B194" s="9"/>
      <c r="C194" s="10"/>
      <c r="D194" s="10"/>
    </row>
    <row r="195" spans="1:4" x14ac:dyDescent="0.25">
      <c r="A195" s="9"/>
      <c r="B195" s="9"/>
      <c r="C195" s="10"/>
      <c r="D195" s="10"/>
    </row>
    <row r="196" spans="1:4" x14ac:dyDescent="0.25">
      <c r="A196" s="9"/>
      <c r="B196" s="9"/>
      <c r="C196" s="10"/>
      <c r="D196" s="10"/>
    </row>
    <row r="197" spans="1:4" x14ac:dyDescent="0.25">
      <c r="A197" s="9"/>
      <c r="B197" s="9"/>
      <c r="C197" s="10"/>
      <c r="D197" s="10"/>
    </row>
  </sheetData>
  <mergeCells count="2">
    <mergeCell ref="A4:D4"/>
    <mergeCell ref="B6:D6"/>
  </mergeCells>
  <phoneticPr fontId="6" type="noConversion"/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91CC7-4246-4340-9330-C1D4000C0A54}">
  <sheetPr>
    <tabColor rgb="FF00B0F0"/>
  </sheetPr>
  <dimension ref="A4:K184"/>
  <sheetViews>
    <sheetView topLeftCell="A99" workbookViewId="0">
      <selection activeCell="I120" sqref="I120"/>
    </sheetView>
  </sheetViews>
  <sheetFormatPr baseColWidth="10" defaultRowHeight="15" x14ac:dyDescent="0.25"/>
  <cols>
    <col min="1" max="1" width="28.28515625" customWidth="1"/>
    <col min="2" max="2" width="27.140625" customWidth="1"/>
    <col min="3" max="3" width="23.42578125" style="6" customWidth="1"/>
    <col min="4" max="4" width="21.85546875" style="6" customWidth="1"/>
    <col min="7" max="7" width="17.85546875" customWidth="1"/>
    <col min="8" max="8" width="19.42578125" customWidth="1"/>
    <col min="9" max="9" width="21" customWidth="1"/>
  </cols>
  <sheetData>
    <row r="4" spans="1:11" ht="18" x14ac:dyDescent="0.25">
      <c r="A4" s="98" t="s">
        <v>0</v>
      </c>
      <c r="B4" s="98"/>
      <c r="C4" s="98"/>
      <c r="D4" s="98"/>
      <c r="E4" s="1"/>
      <c r="F4" s="1"/>
      <c r="G4" s="1"/>
    </row>
    <row r="5" spans="1:11" x14ac:dyDescent="0.25">
      <c r="I5" s="6"/>
      <c r="J5" s="6"/>
    </row>
    <row r="6" spans="1:11" x14ac:dyDescent="0.25">
      <c r="A6" s="2" t="s">
        <v>1</v>
      </c>
      <c r="B6" s="96" t="s">
        <v>93</v>
      </c>
      <c r="C6" s="97"/>
      <c r="D6" s="97"/>
      <c r="I6" s="6"/>
      <c r="J6" s="6"/>
    </row>
    <row r="7" spans="1:11" ht="18" x14ac:dyDescent="0.25">
      <c r="A7" s="3" t="s">
        <v>11</v>
      </c>
      <c r="B7" s="4" t="s">
        <v>27</v>
      </c>
      <c r="C7" s="4"/>
      <c r="D7" s="4"/>
      <c r="G7" s="98" t="s">
        <v>0</v>
      </c>
      <c r="H7" s="98"/>
      <c r="I7" s="98"/>
      <c r="J7" s="98"/>
      <c r="K7" s="1"/>
    </row>
    <row r="8" spans="1:11" x14ac:dyDescent="0.25">
      <c r="B8" s="5"/>
      <c r="I8" s="6"/>
      <c r="J8" s="6"/>
    </row>
    <row r="9" spans="1:11" x14ac:dyDescent="0.25">
      <c r="A9" s="2" t="s">
        <v>2</v>
      </c>
      <c r="B9" s="2" t="s">
        <v>3</v>
      </c>
      <c r="C9" s="7" t="s">
        <v>4</v>
      </c>
      <c r="D9" s="7" t="s">
        <v>5</v>
      </c>
      <c r="G9" s="2" t="s">
        <v>1</v>
      </c>
      <c r="H9" s="96" t="s">
        <v>67</v>
      </c>
      <c r="I9" s="97"/>
      <c r="J9" s="97"/>
    </row>
    <row r="10" spans="1:11" x14ac:dyDescent="0.25">
      <c r="A10" s="8">
        <v>45852</v>
      </c>
      <c r="B10" s="9" t="s">
        <v>3</v>
      </c>
      <c r="C10" s="10">
        <v>3380</v>
      </c>
      <c r="D10" s="10">
        <f>C10</f>
        <v>3380</v>
      </c>
      <c r="G10" s="3" t="s">
        <v>11</v>
      </c>
      <c r="H10" s="4" t="s">
        <v>27</v>
      </c>
      <c r="I10" s="4"/>
      <c r="J10" s="4"/>
    </row>
    <row r="11" spans="1:11" x14ac:dyDescent="0.25">
      <c r="A11" s="8">
        <v>45855</v>
      </c>
      <c r="B11" s="9" t="s">
        <v>7</v>
      </c>
      <c r="C11" s="10">
        <v>-3380</v>
      </c>
      <c r="D11" s="10">
        <f>D10+C11</f>
        <v>0</v>
      </c>
      <c r="H11" s="5"/>
      <c r="I11" s="6"/>
      <c r="J11" s="6"/>
    </row>
    <row r="12" spans="1:11" x14ac:dyDescent="0.25">
      <c r="A12" s="8">
        <v>45855</v>
      </c>
      <c r="B12" s="9" t="s">
        <v>3</v>
      </c>
      <c r="C12" s="10">
        <v>1410</v>
      </c>
      <c r="D12" s="10">
        <f>D11+C12</f>
        <v>1410</v>
      </c>
      <c r="G12" s="2" t="s">
        <v>2</v>
      </c>
      <c r="H12" s="2" t="s">
        <v>3</v>
      </c>
      <c r="I12" s="7" t="s">
        <v>4</v>
      </c>
      <c r="J12" s="7" t="s">
        <v>5</v>
      </c>
    </row>
    <row r="13" spans="1:11" x14ac:dyDescent="0.25">
      <c r="A13" s="8">
        <v>45859</v>
      </c>
      <c r="B13" s="9" t="s">
        <v>7</v>
      </c>
      <c r="C13" s="10">
        <v>-1410</v>
      </c>
      <c r="D13" s="10">
        <f t="shared" ref="D13:D76" si="0">D12+C13</f>
        <v>0</v>
      </c>
      <c r="G13" s="8">
        <v>45834</v>
      </c>
      <c r="H13" s="9" t="s">
        <v>6</v>
      </c>
      <c r="I13" s="10">
        <v>11860</v>
      </c>
      <c r="J13" s="10">
        <f>I13</f>
        <v>11860</v>
      </c>
    </row>
    <row r="14" spans="1:11" x14ac:dyDescent="0.25">
      <c r="A14" s="8">
        <v>45862</v>
      </c>
      <c r="B14" s="9" t="s">
        <v>3</v>
      </c>
      <c r="C14" s="10">
        <v>2040</v>
      </c>
      <c r="D14" s="10">
        <f t="shared" si="0"/>
        <v>2040</v>
      </c>
      <c r="G14" s="8"/>
      <c r="H14" s="9"/>
      <c r="I14" s="10">
        <v>0</v>
      </c>
      <c r="J14" s="10">
        <f>J13+I14</f>
        <v>11860</v>
      </c>
    </row>
    <row r="15" spans="1:11" x14ac:dyDescent="0.25">
      <c r="A15" s="8">
        <v>45866</v>
      </c>
      <c r="B15" s="9" t="s">
        <v>3</v>
      </c>
      <c r="C15" s="10">
        <v>1060</v>
      </c>
      <c r="D15" s="11">
        <f t="shared" si="0"/>
        <v>3100</v>
      </c>
      <c r="G15" s="8"/>
      <c r="H15" s="9"/>
      <c r="I15" s="10">
        <v>0</v>
      </c>
      <c r="J15" s="10">
        <f>J14+I15</f>
        <v>11860</v>
      </c>
    </row>
    <row r="16" spans="1:11" x14ac:dyDescent="0.25">
      <c r="A16" s="8">
        <v>45866</v>
      </c>
      <c r="B16" s="9" t="s">
        <v>7</v>
      </c>
      <c r="C16" s="10">
        <v>-1040</v>
      </c>
      <c r="D16" s="10">
        <f t="shared" si="0"/>
        <v>2060</v>
      </c>
      <c r="G16" s="8"/>
      <c r="H16" s="9"/>
      <c r="I16" s="10">
        <v>0</v>
      </c>
      <c r="J16" s="10">
        <f t="shared" ref="J16:J29" si="1">J15+I16</f>
        <v>11860</v>
      </c>
    </row>
    <row r="17" spans="1:10" x14ac:dyDescent="0.25">
      <c r="A17" s="8">
        <v>45873</v>
      </c>
      <c r="B17" s="9" t="s">
        <v>86</v>
      </c>
      <c r="C17" s="10">
        <v>2320</v>
      </c>
      <c r="D17" s="10">
        <f t="shared" si="0"/>
        <v>4380</v>
      </c>
      <c r="G17" s="8"/>
      <c r="H17" s="9"/>
      <c r="I17" s="10">
        <v>0</v>
      </c>
      <c r="J17" s="10">
        <f t="shared" si="1"/>
        <v>11860</v>
      </c>
    </row>
    <row r="18" spans="1:10" x14ac:dyDescent="0.25">
      <c r="A18" s="8">
        <v>45873</v>
      </c>
      <c r="B18" s="9" t="s">
        <v>3</v>
      </c>
      <c r="C18" s="10">
        <v>-2900</v>
      </c>
      <c r="D18" s="10">
        <f t="shared" si="0"/>
        <v>1480</v>
      </c>
      <c r="G18" s="8"/>
      <c r="H18" s="9"/>
      <c r="I18" s="10">
        <v>0</v>
      </c>
      <c r="J18" s="11">
        <f t="shared" si="1"/>
        <v>11860</v>
      </c>
    </row>
    <row r="19" spans="1:10" x14ac:dyDescent="0.25">
      <c r="A19" s="8">
        <v>45876</v>
      </c>
      <c r="B19" s="9" t="s">
        <v>55</v>
      </c>
      <c r="C19" s="10">
        <v>-2020</v>
      </c>
      <c r="D19" s="10">
        <f t="shared" si="0"/>
        <v>-540</v>
      </c>
      <c r="G19" s="8"/>
      <c r="H19" s="9"/>
      <c r="I19" s="10"/>
      <c r="J19" s="10">
        <f t="shared" si="1"/>
        <v>11860</v>
      </c>
    </row>
    <row r="20" spans="1:10" x14ac:dyDescent="0.25">
      <c r="A20" s="8">
        <v>45876</v>
      </c>
      <c r="B20" s="9" t="s">
        <v>3</v>
      </c>
      <c r="C20" s="10">
        <v>2180</v>
      </c>
      <c r="D20" s="10">
        <f t="shared" si="0"/>
        <v>1640</v>
      </c>
      <c r="G20" s="8"/>
      <c r="H20" s="9"/>
      <c r="I20" s="10"/>
      <c r="J20" s="10">
        <f t="shared" si="1"/>
        <v>11860</v>
      </c>
    </row>
    <row r="21" spans="1:10" x14ac:dyDescent="0.25">
      <c r="A21" s="8">
        <v>45880</v>
      </c>
      <c r="B21" s="9" t="s">
        <v>3</v>
      </c>
      <c r="C21" s="10">
        <v>1790</v>
      </c>
      <c r="D21" s="10">
        <f t="shared" si="0"/>
        <v>3430</v>
      </c>
      <c r="G21" s="8"/>
      <c r="H21" s="9"/>
      <c r="I21" s="10"/>
      <c r="J21" s="10">
        <f t="shared" si="1"/>
        <v>11860</v>
      </c>
    </row>
    <row r="22" spans="1:10" x14ac:dyDescent="0.25">
      <c r="A22" s="8">
        <v>45880</v>
      </c>
      <c r="B22" s="9" t="s">
        <v>55</v>
      </c>
      <c r="C22" s="10">
        <v>-1700</v>
      </c>
      <c r="D22" s="10">
        <f t="shared" si="0"/>
        <v>1730</v>
      </c>
      <c r="G22" s="8"/>
      <c r="H22" s="9"/>
      <c r="I22" s="10"/>
      <c r="J22" s="10">
        <f t="shared" si="1"/>
        <v>11860</v>
      </c>
    </row>
    <row r="23" spans="1:10" x14ac:dyDescent="0.25">
      <c r="A23" s="8">
        <v>45887</v>
      </c>
      <c r="B23" s="9" t="s">
        <v>46</v>
      </c>
      <c r="C23" s="10">
        <v>-2000</v>
      </c>
      <c r="D23" s="10">
        <f t="shared" si="0"/>
        <v>-270</v>
      </c>
      <c r="G23" s="8"/>
      <c r="H23" s="9"/>
      <c r="I23" s="10"/>
      <c r="J23" s="10">
        <f t="shared" si="1"/>
        <v>11860</v>
      </c>
    </row>
    <row r="24" spans="1:10" x14ac:dyDescent="0.25">
      <c r="A24" s="8">
        <v>45887</v>
      </c>
      <c r="B24" s="9" t="s">
        <v>3</v>
      </c>
      <c r="C24" s="10">
        <v>1830</v>
      </c>
      <c r="D24" s="10">
        <f t="shared" si="0"/>
        <v>1560</v>
      </c>
      <c r="G24" s="8"/>
      <c r="H24" s="9"/>
      <c r="I24" s="10"/>
      <c r="J24" s="10">
        <f t="shared" si="1"/>
        <v>11860</v>
      </c>
    </row>
    <row r="25" spans="1:10" x14ac:dyDescent="0.25">
      <c r="A25" s="8">
        <v>45890</v>
      </c>
      <c r="B25" s="9" t="s">
        <v>94</v>
      </c>
      <c r="C25" s="10">
        <v>-2230</v>
      </c>
      <c r="D25" s="10">
        <f t="shared" si="0"/>
        <v>-670</v>
      </c>
      <c r="G25" s="8"/>
      <c r="H25" s="9"/>
      <c r="I25" s="10"/>
      <c r="J25" s="10">
        <f t="shared" si="1"/>
        <v>11860</v>
      </c>
    </row>
    <row r="26" spans="1:10" x14ac:dyDescent="0.25">
      <c r="A26" s="8">
        <v>45890</v>
      </c>
      <c r="B26" s="9" t="s">
        <v>3</v>
      </c>
      <c r="C26" s="10">
        <v>1550</v>
      </c>
      <c r="D26" s="10">
        <f t="shared" si="0"/>
        <v>880</v>
      </c>
      <c r="G26" s="8"/>
      <c r="H26" s="9"/>
      <c r="I26" s="10"/>
      <c r="J26" s="10">
        <f t="shared" si="1"/>
        <v>11860</v>
      </c>
    </row>
    <row r="27" spans="1:10" x14ac:dyDescent="0.25">
      <c r="A27" s="8">
        <v>45894</v>
      </c>
      <c r="B27" s="9" t="s">
        <v>3</v>
      </c>
      <c r="C27" s="10">
        <v>990</v>
      </c>
      <c r="D27" s="10">
        <f t="shared" si="0"/>
        <v>1870</v>
      </c>
      <c r="G27" s="8"/>
      <c r="H27" s="9"/>
      <c r="I27" s="10"/>
      <c r="J27" s="10">
        <f t="shared" si="1"/>
        <v>11860</v>
      </c>
    </row>
    <row r="28" spans="1:10" x14ac:dyDescent="0.25">
      <c r="A28" s="8">
        <v>45894</v>
      </c>
      <c r="B28" s="9" t="s">
        <v>46</v>
      </c>
      <c r="C28" s="10">
        <v>-1000</v>
      </c>
      <c r="D28" s="10">
        <f t="shared" si="0"/>
        <v>870</v>
      </c>
      <c r="G28" s="8"/>
      <c r="H28" s="9"/>
      <c r="I28" s="10"/>
      <c r="J28" s="10">
        <f t="shared" si="1"/>
        <v>11860</v>
      </c>
    </row>
    <row r="29" spans="1:10" x14ac:dyDescent="0.25">
      <c r="A29" s="8">
        <v>45897</v>
      </c>
      <c r="B29" s="9" t="s">
        <v>3</v>
      </c>
      <c r="C29" s="10">
        <v>1390</v>
      </c>
      <c r="D29" s="10">
        <f t="shared" si="0"/>
        <v>2260</v>
      </c>
      <c r="G29" s="8"/>
      <c r="H29" s="9"/>
      <c r="I29" s="10"/>
      <c r="J29" s="10">
        <f t="shared" si="1"/>
        <v>11860</v>
      </c>
    </row>
    <row r="30" spans="1:10" x14ac:dyDescent="0.25">
      <c r="A30" s="8">
        <v>45897</v>
      </c>
      <c r="B30" s="9" t="s">
        <v>55</v>
      </c>
      <c r="C30" s="10">
        <v>-1540</v>
      </c>
      <c r="D30" s="10">
        <f t="shared" si="0"/>
        <v>720</v>
      </c>
    </row>
    <row r="31" spans="1:10" x14ac:dyDescent="0.25">
      <c r="A31" s="8">
        <v>45901</v>
      </c>
      <c r="B31" s="9" t="s">
        <v>3</v>
      </c>
      <c r="C31" s="10">
        <v>1700</v>
      </c>
      <c r="D31" s="10">
        <f t="shared" si="0"/>
        <v>2420</v>
      </c>
    </row>
    <row r="32" spans="1:10" x14ac:dyDescent="0.25">
      <c r="A32" s="8">
        <v>45901</v>
      </c>
      <c r="B32" s="9" t="s">
        <v>75</v>
      </c>
      <c r="C32" s="10">
        <v>-700</v>
      </c>
      <c r="D32" s="10">
        <f t="shared" si="0"/>
        <v>1720</v>
      </c>
    </row>
    <row r="33" spans="1:4" x14ac:dyDescent="0.25">
      <c r="A33" s="8">
        <v>45908</v>
      </c>
      <c r="B33" s="9" t="s">
        <v>3</v>
      </c>
      <c r="C33" s="10">
        <v>1620</v>
      </c>
      <c r="D33" s="10">
        <f t="shared" si="0"/>
        <v>3340</v>
      </c>
    </row>
    <row r="34" spans="1:4" x14ac:dyDescent="0.25">
      <c r="A34" s="8">
        <v>45908</v>
      </c>
      <c r="B34" s="9" t="s">
        <v>75</v>
      </c>
      <c r="C34" s="10">
        <v>-1800</v>
      </c>
      <c r="D34" s="10">
        <f t="shared" si="0"/>
        <v>1540</v>
      </c>
    </row>
    <row r="35" spans="1:4" x14ac:dyDescent="0.25">
      <c r="A35" s="8">
        <v>45911</v>
      </c>
      <c r="B35" s="9" t="s">
        <v>3</v>
      </c>
      <c r="C35" s="10">
        <v>1620</v>
      </c>
      <c r="D35" s="10">
        <f t="shared" si="0"/>
        <v>3160</v>
      </c>
    </row>
    <row r="36" spans="1:4" x14ac:dyDescent="0.25">
      <c r="A36" s="8">
        <v>45918</v>
      </c>
      <c r="B36" s="9" t="s">
        <v>46</v>
      </c>
      <c r="C36" s="10">
        <v>-1070</v>
      </c>
      <c r="D36" s="10">
        <f t="shared" si="0"/>
        <v>2090</v>
      </c>
    </row>
    <row r="37" spans="1:4" x14ac:dyDescent="0.25">
      <c r="A37" s="8">
        <v>45922</v>
      </c>
      <c r="B37" s="9" t="s">
        <v>3</v>
      </c>
      <c r="C37" s="10">
        <v>1270</v>
      </c>
      <c r="D37" s="10">
        <f t="shared" si="0"/>
        <v>3360</v>
      </c>
    </row>
    <row r="38" spans="1:4" x14ac:dyDescent="0.25">
      <c r="A38" s="8">
        <v>45922</v>
      </c>
      <c r="B38" s="9" t="s">
        <v>46</v>
      </c>
      <c r="C38" s="10">
        <v>-1590</v>
      </c>
      <c r="D38" s="10">
        <f t="shared" si="0"/>
        <v>1770</v>
      </c>
    </row>
    <row r="39" spans="1:4" x14ac:dyDescent="0.25">
      <c r="A39" s="8">
        <v>45925</v>
      </c>
      <c r="B39" s="9" t="s">
        <v>3</v>
      </c>
      <c r="C39" s="10">
        <v>590</v>
      </c>
      <c r="D39" s="10">
        <f t="shared" si="0"/>
        <v>2360</v>
      </c>
    </row>
    <row r="40" spans="1:4" x14ac:dyDescent="0.25">
      <c r="A40" s="8">
        <v>45929</v>
      </c>
      <c r="B40" s="9" t="s">
        <v>3</v>
      </c>
      <c r="C40" s="10">
        <v>1470</v>
      </c>
      <c r="D40" s="10">
        <f t="shared" si="0"/>
        <v>3830</v>
      </c>
    </row>
    <row r="41" spans="1:4" x14ac:dyDescent="0.25">
      <c r="A41" s="13">
        <v>45936</v>
      </c>
      <c r="B41" s="9" t="s">
        <v>3</v>
      </c>
      <c r="C41" s="10">
        <v>2120</v>
      </c>
      <c r="D41" s="10">
        <f t="shared" si="0"/>
        <v>5950</v>
      </c>
    </row>
    <row r="42" spans="1:4" x14ac:dyDescent="0.25">
      <c r="A42" s="8">
        <v>45936</v>
      </c>
      <c r="B42" s="9" t="s">
        <v>92</v>
      </c>
      <c r="C42" s="10">
        <v>-1440</v>
      </c>
      <c r="D42" s="10">
        <f t="shared" si="0"/>
        <v>4510</v>
      </c>
    </row>
    <row r="43" spans="1:4" x14ac:dyDescent="0.25">
      <c r="A43" s="8">
        <v>45939</v>
      </c>
      <c r="B43" s="9" t="s">
        <v>3</v>
      </c>
      <c r="C43" s="10">
        <v>420</v>
      </c>
      <c r="D43" s="10">
        <f t="shared" si="0"/>
        <v>4930</v>
      </c>
    </row>
    <row r="44" spans="1:4" x14ac:dyDescent="0.25">
      <c r="A44" s="8">
        <v>45939</v>
      </c>
      <c r="B44" s="9" t="s">
        <v>196</v>
      </c>
      <c r="C44" s="10">
        <v>-1620</v>
      </c>
      <c r="D44" s="10">
        <f t="shared" si="0"/>
        <v>3310</v>
      </c>
    </row>
    <row r="45" spans="1:4" x14ac:dyDescent="0.25">
      <c r="A45" s="8">
        <v>45950</v>
      </c>
      <c r="B45" s="9" t="s">
        <v>3</v>
      </c>
      <c r="C45" s="10">
        <v>1060</v>
      </c>
      <c r="D45" s="10">
        <f t="shared" si="0"/>
        <v>4370</v>
      </c>
    </row>
    <row r="46" spans="1:4" x14ac:dyDescent="0.25">
      <c r="A46" s="8">
        <v>45950</v>
      </c>
      <c r="B46" s="9" t="s">
        <v>196</v>
      </c>
      <c r="C46" s="10">
        <v>-500</v>
      </c>
      <c r="D46" s="10">
        <f t="shared" si="0"/>
        <v>3870</v>
      </c>
    </row>
    <row r="47" spans="1:4" x14ac:dyDescent="0.25">
      <c r="A47" s="8">
        <v>45953</v>
      </c>
      <c r="B47" s="9" t="s">
        <v>3</v>
      </c>
      <c r="C47" s="10">
        <v>770</v>
      </c>
      <c r="D47" s="10">
        <f t="shared" si="0"/>
        <v>4640</v>
      </c>
    </row>
    <row r="48" spans="1:4" x14ac:dyDescent="0.25">
      <c r="A48" s="8">
        <v>45953</v>
      </c>
      <c r="B48" s="9" t="s">
        <v>196</v>
      </c>
      <c r="C48" s="10">
        <v>-1060</v>
      </c>
      <c r="D48" s="10">
        <f t="shared" si="0"/>
        <v>3580</v>
      </c>
    </row>
    <row r="49" spans="1:4" x14ac:dyDescent="0.25">
      <c r="A49" s="8">
        <v>45964</v>
      </c>
      <c r="B49" s="9" t="s">
        <v>3</v>
      </c>
      <c r="C49" s="10">
        <v>780</v>
      </c>
      <c r="D49" s="10">
        <f t="shared" si="0"/>
        <v>4360</v>
      </c>
    </row>
    <row r="50" spans="1:4" x14ac:dyDescent="0.25">
      <c r="A50" s="8">
        <v>45964</v>
      </c>
      <c r="B50" s="9" t="s">
        <v>92</v>
      </c>
      <c r="C50" s="10">
        <v>-770</v>
      </c>
      <c r="D50" s="10">
        <f t="shared" si="0"/>
        <v>3590</v>
      </c>
    </row>
    <row r="51" spans="1:4" x14ac:dyDescent="0.25">
      <c r="A51" s="8">
        <v>45971</v>
      </c>
      <c r="B51" s="9" t="s">
        <v>3</v>
      </c>
      <c r="C51" s="10">
        <v>920</v>
      </c>
      <c r="D51" s="10">
        <f t="shared" si="0"/>
        <v>4510</v>
      </c>
    </row>
    <row r="52" spans="1:4" x14ac:dyDescent="0.25">
      <c r="A52" s="8">
        <v>45971</v>
      </c>
      <c r="B52" s="9" t="s">
        <v>92</v>
      </c>
      <c r="C52" s="10">
        <v>-780</v>
      </c>
      <c r="D52" s="10">
        <f t="shared" si="0"/>
        <v>3730</v>
      </c>
    </row>
    <row r="53" spans="1:4" x14ac:dyDescent="0.25">
      <c r="A53" s="8">
        <v>45974</v>
      </c>
      <c r="B53" s="9" t="s">
        <v>3</v>
      </c>
      <c r="C53" s="10">
        <v>2040</v>
      </c>
      <c r="D53" s="10">
        <f t="shared" si="0"/>
        <v>5770</v>
      </c>
    </row>
    <row r="54" spans="1:4" x14ac:dyDescent="0.25">
      <c r="A54" s="8">
        <v>45974</v>
      </c>
      <c r="B54" s="9" t="s">
        <v>92</v>
      </c>
      <c r="C54" s="10">
        <v>-920</v>
      </c>
      <c r="D54" s="10">
        <f t="shared" si="0"/>
        <v>4850</v>
      </c>
    </row>
    <row r="55" spans="1:4" x14ac:dyDescent="0.25">
      <c r="A55" s="8">
        <v>45978</v>
      </c>
      <c r="B55" s="9" t="s">
        <v>3</v>
      </c>
      <c r="C55" s="10">
        <v>990</v>
      </c>
      <c r="D55" s="10">
        <f t="shared" si="0"/>
        <v>5840</v>
      </c>
    </row>
    <row r="56" spans="1:4" x14ac:dyDescent="0.25">
      <c r="A56" s="8">
        <v>45978</v>
      </c>
      <c r="B56" s="9" t="s">
        <v>92</v>
      </c>
      <c r="C56" s="10">
        <v>-2440</v>
      </c>
      <c r="D56" s="10">
        <f t="shared" si="0"/>
        <v>3400</v>
      </c>
    </row>
    <row r="57" spans="1:4" x14ac:dyDescent="0.25">
      <c r="A57" s="8">
        <v>45981</v>
      </c>
      <c r="B57" s="9" t="s">
        <v>3</v>
      </c>
      <c r="C57" s="10">
        <v>620</v>
      </c>
      <c r="D57" s="10">
        <f t="shared" si="0"/>
        <v>4020</v>
      </c>
    </row>
    <row r="58" spans="1:4" x14ac:dyDescent="0.25">
      <c r="A58" s="8">
        <v>45981</v>
      </c>
      <c r="B58" s="9" t="s">
        <v>92</v>
      </c>
      <c r="C58" s="10">
        <v>-990</v>
      </c>
      <c r="D58" s="10">
        <f t="shared" si="0"/>
        <v>3030</v>
      </c>
    </row>
    <row r="59" spans="1:4" x14ac:dyDescent="0.25">
      <c r="A59" s="8">
        <v>45985</v>
      </c>
      <c r="B59" s="9" t="s">
        <v>3</v>
      </c>
      <c r="C59" s="10">
        <v>890</v>
      </c>
      <c r="D59" s="10">
        <f t="shared" si="0"/>
        <v>3920</v>
      </c>
    </row>
    <row r="60" spans="1:4" x14ac:dyDescent="0.25">
      <c r="A60" s="8">
        <v>45985</v>
      </c>
      <c r="B60" s="9" t="s">
        <v>92</v>
      </c>
      <c r="C60" s="10">
        <v>-620</v>
      </c>
      <c r="D60" s="10">
        <f t="shared" si="0"/>
        <v>3300</v>
      </c>
    </row>
    <row r="61" spans="1:4" x14ac:dyDescent="0.25">
      <c r="A61" s="8">
        <v>45995</v>
      </c>
      <c r="B61" s="9" t="s">
        <v>3</v>
      </c>
      <c r="C61" s="10">
        <v>940</v>
      </c>
      <c r="D61" s="10">
        <f t="shared" si="0"/>
        <v>4240</v>
      </c>
    </row>
    <row r="62" spans="1:4" x14ac:dyDescent="0.25">
      <c r="A62" s="8">
        <v>46002</v>
      </c>
      <c r="B62" s="9" t="s">
        <v>7</v>
      </c>
      <c r="C62" s="10">
        <v>-1830</v>
      </c>
      <c r="D62" s="10">
        <f t="shared" si="0"/>
        <v>2410</v>
      </c>
    </row>
    <row r="63" spans="1:4" x14ac:dyDescent="0.25">
      <c r="A63" s="8">
        <v>46002</v>
      </c>
      <c r="B63" s="9" t="s">
        <v>3</v>
      </c>
      <c r="C63" s="10">
        <v>490</v>
      </c>
      <c r="D63" s="10">
        <f t="shared" si="0"/>
        <v>2900</v>
      </c>
    </row>
    <row r="64" spans="1:4" x14ac:dyDescent="0.25">
      <c r="A64" s="8">
        <v>46020</v>
      </c>
      <c r="B64" s="9" t="s">
        <v>3</v>
      </c>
      <c r="C64" s="10">
        <v>1850</v>
      </c>
      <c r="D64" s="10">
        <f t="shared" si="0"/>
        <v>4750</v>
      </c>
    </row>
    <row r="65" spans="1:4" x14ac:dyDescent="0.25">
      <c r="A65" s="8">
        <v>46020</v>
      </c>
      <c r="B65" s="9" t="s">
        <v>92</v>
      </c>
      <c r="C65" s="10">
        <v>-2420</v>
      </c>
      <c r="D65" s="10">
        <f t="shared" si="0"/>
        <v>2330</v>
      </c>
    </row>
    <row r="66" spans="1:4" x14ac:dyDescent="0.25">
      <c r="A66" s="8">
        <v>46024</v>
      </c>
      <c r="B66" s="9" t="s">
        <v>3</v>
      </c>
      <c r="C66" s="10">
        <v>1240</v>
      </c>
      <c r="D66" s="10">
        <f t="shared" si="0"/>
        <v>3570</v>
      </c>
    </row>
    <row r="67" spans="1:4" x14ac:dyDescent="0.25">
      <c r="A67" s="8">
        <v>46024</v>
      </c>
      <c r="B67" s="9" t="s">
        <v>266</v>
      </c>
      <c r="C67" s="10">
        <v>-2000</v>
      </c>
      <c r="D67" s="10">
        <f t="shared" si="0"/>
        <v>1570</v>
      </c>
    </row>
    <row r="68" spans="1:4" x14ac:dyDescent="0.25">
      <c r="A68" s="8">
        <v>46030</v>
      </c>
      <c r="B68" s="9" t="s">
        <v>3</v>
      </c>
      <c r="C68" s="10">
        <v>1810</v>
      </c>
      <c r="D68" s="10">
        <f t="shared" si="0"/>
        <v>3380</v>
      </c>
    </row>
    <row r="69" spans="1:4" x14ac:dyDescent="0.25">
      <c r="A69" s="8">
        <v>46030</v>
      </c>
      <c r="B69" s="9" t="s">
        <v>92</v>
      </c>
      <c r="C69" s="10">
        <v>-4160</v>
      </c>
      <c r="D69" s="10">
        <f t="shared" si="0"/>
        <v>-780</v>
      </c>
    </row>
    <row r="70" spans="1:4" x14ac:dyDescent="0.25">
      <c r="A70" s="8">
        <v>46034</v>
      </c>
      <c r="B70" s="9" t="s">
        <v>3</v>
      </c>
      <c r="C70" s="10">
        <v>1560</v>
      </c>
      <c r="D70" s="10">
        <f t="shared" si="0"/>
        <v>780</v>
      </c>
    </row>
    <row r="71" spans="1:4" x14ac:dyDescent="0.25">
      <c r="A71" s="8">
        <v>46034</v>
      </c>
      <c r="B71" s="9" t="s">
        <v>196</v>
      </c>
      <c r="C71" s="10">
        <v>-1560</v>
      </c>
      <c r="D71" s="10">
        <f t="shared" si="0"/>
        <v>-780</v>
      </c>
    </row>
    <row r="72" spans="1:4" x14ac:dyDescent="0.25">
      <c r="A72" s="23" t="s">
        <v>299</v>
      </c>
      <c r="B72" s="9" t="s">
        <v>3</v>
      </c>
      <c r="C72" s="10">
        <v>2040</v>
      </c>
      <c r="D72" s="10">
        <f t="shared" si="0"/>
        <v>1260</v>
      </c>
    </row>
    <row r="73" spans="1:4" x14ac:dyDescent="0.25">
      <c r="A73" s="8">
        <v>46037</v>
      </c>
      <c r="B73" s="9" t="s">
        <v>196</v>
      </c>
      <c r="C73" s="10">
        <v>-2040</v>
      </c>
      <c r="D73" s="10">
        <f t="shared" si="0"/>
        <v>-780</v>
      </c>
    </row>
    <row r="74" spans="1:4" x14ac:dyDescent="0.25">
      <c r="A74" s="8">
        <v>46041</v>
      </c>
      <c r="B74" s="9" t="s">
        <v>3</v>
      </c>
      <c r="C74" s="10">
        <v>1060</v>
      </c>
      <c r="D74" s="10">
        <f t="shared" si="0"/>
        <v>280</v>
      </c>
    </row>
    <row r="75" spans="1:4" x14ac:dyDescent="0.25">
      <c r="A75" s="8">
        <v>46041</v>
      </c>
      <c r="B75" s="9" t="s">
        <v>179</v>
      </c>
      <c r="C75" s="10">
        <v>-1060</v>
      </c>
      <c r="D75" s="10">
        <f t="shared" si="0"/>
        <v>-780</v>
      </c>
    </row>
    <row r="76" spans="1:4" x14ac:dyDescent="0.25">
      <c r="A76" s="8">
        <v>46055</v>
      </c>
      <c r="B76" s="9" t="s">
        <v>3</v>
      </c>
      <c r="C76" s="10">
        <v>670</v>
      </c>
      <c r="D76" s="10">
        <f t="shared" si="0"/>
        <v>-110</v>
      </c>
    </row>
    <row r="77" spans="1:4" x14ac:dyDescent="0.25">
      <c r="A77" s="8">
        <v>46083</v>
      </c>
      <c r="B77" s="9" t="s">
        <v>3</v>
      </c>
      <c r="C77" s="10">
        <v>1430</v>
      </c>
      <c r="D77" s="10">
        <f t="shared" ref="D77:D140" si="2">D76+C77</f>
        <v>1320</v>
      </c>
    </row>
    <row r="78" spans="1:4" x14ac:dyDescent="0.25">
      <c r="A78" s="8">
        <v>46083</v>
      </c>
      <c r="B78" s="9" t="s">
        <v>178</v>
      </c>
      <c r="C78" s="10">
        <v>-1430</v>
      </c>
      <c r="D78" s="10">
        <f t="shared" si="2"/>
        <v>-110</v>
      </c>
    </row>
    <row r="79" spans="1:4" x14ac:dyDescent="0.25">
      <c r="A79" s="8">
        <v>46093</v>
      </c>
      <c r="B79" s="9" t="s">
        <v>3</v>
      </c>
      <c r="C79" s="10">
        <v>350</v>
      </c>
      <c r="D79" s="10">
        <f t="shared" si="2"/>
        <v>240</v>
      </c>
    </row>
    <row r="80" spans="1:4" x14ac:dyDescent="0.25">
      <c r="A80" s="8">
        <v>46093</v>
      </c>
      <c r="B80" s="9" t="s">
        <v>127</v>
      </c>
      <c r="C80" s="10">
        <v>-350</v>
      </c>
      <c r="D80" s="10">
        <f t="shared" si="2"/>
        <v>-110</v>
      </c>
    </row>
    <row r="81" spans="1:4" x14ac:dyDescent="0.25">
      <c r="A81" s="8">
        <v>46097</v>
      </c>
      <c r="B81" s="9" t="s">
        <v>3</v>
      </c>
      <c r="C81" s="10">
        <v>350</v>
      </c>
      <c r="D81" s="10">
        <f t="shared" si="2"/>
        <v>240</v>
      </c>
    </row>
    <row r="82" spans="1:4" x14ac:dyDescent="0.25">
      <c r="A82" s="8">
        <v>46097</v>
      </c>
      <c r="B82" s="9" t="s">
        <v>178</v>
      </c>
      <c r="C82" s="10">
        <v>-350</v>
      </c>
      <c r="D82" s="10">
        <f t="shared" si="2"/>
        <v>-110</v>
      </c>
    </row>
    <row r="83" spans="1:4" x14ac:dyDescent="0.25">
      <c r="A83" s="8">
        <v>46125</v>
      </c>
      <c r="B83" s="9" t="s">
        <v>3</v>
      </c>
      <c r="C83" s="10">
        <v>1200</v>
      </c>
      <c r="D83" s="10">
        <f t="shared" si="2"/>
        <v>1090</v>
      </c>
    </row>
    <row r="84" spans="1:4" x14ac:dyDescent="0.25">
      <c r="A84" s="8">
        <v>46125</v>
      </c>
      <c r="B84" s="9" t="s">
        <v>178</v>
      </c>
      <c r="C84" s="10">
        <v>-1200</v>
      </c>
      <c r="D84" s="10">
        <f t="shared" si="2"/>
        <v>-110</v>
      </c>
    </row>
    <row r="85" spans="1:4" x14ac:dyDescent="0.25">
      <c r="A85" s="8">
        <v>46128</v>
      </c>
      <c r="B85" s="9" t="s">
        <v>3</v>
      </c>
      <c r="C85" s="10">
        <v>480</v>
      </c>
      <c r="D85" s="10">
        <f t="shared" si="2"/>
        <v>370</v>
      </c>
    </row>
    <row r="86" spans="1:4" x14ac:dyDescent="0.25">
      <c r="A86" s="8">
        <v>46128</v>
      </c>
      <c r="B86" s="9" t="s">
        <v>196</v>
      </c>
      <c r="C86" s="10">
        <v>-480</v>
      </c>
      <c r="D86" s="10">
        <f t="shared" si="2"/>
        <v>-110</v>
      </c>
    </row>
    <row r="87" spans="1:4" x14ac:dyDescent="0.25">
      <c r="A87" s="8">
        <v>46156</v>
      </c>
      <c r="B87" s="9" t="s">
        <v>3</v>
      </c>
      <c r="C87" s="10">
        <v>1000</v>
      </c>
      <c r="D87" s="10">
        <f t="shared" si="2"/>
        <v>890</v>
      </c>
    </row>
    <row r="88" spans="1:4" x14ac:dyDescent="0.25">
      <c r="A88" s="8">
        <v>46156</v>
      </c>
      <c r="B88" s="9" t="s">
        <v>178</v>
      </c>
      <c r="C88" s="10">
        <v>-1000</v>
      </c>
      <c r="D88" s="10">
        <f t="shared" si="2"/>
        <v>-110</v>
      </c>
    </row>
    <row r="89" spans="1:4" x14ac:dyDescent="0.25">
      <c r="A89" s="8">
        <v>46163</v>
      </c>
      <c r="B89" s="9" t="s">
        <v>3</v>
      </c>
      <c r="C89" s="10">
        <v>420</v>
      </c>
      <c r="D89" s="10">
        <f t="shared" si="2"/>
        <v>310</v>
      </c>
    </row>
    <row r="90" spans="1:4" x14ac:dyDescent="0.25">
      <c r="A90" s="8">
        <v>46163</v>
      </c>
      <c r="B90" s="9" t="s">
        <v>178</v>
      </c>
      <c r="C90" s="10">
        <v>-420</v>
      </c>
      <c r="D90" s="10">
        <f t="shared" si="2"/>
        <v>-110</v>
      </c>
    </row>
    <row r="91" spans="1:4" x14ac:dyDescent="0.25">
      <c r="A91" s="8">
        <v>46170</v>
      </c>
      <c r="B91" s="9" t="s">
        <v>3</v>
      </c>
      <c r="C91" s="10">
        <v>650</v>
      </c>
      <c r="D91" s="10">
        <f t="shared" si="2"/>
        <v>540</v>
      </c>
    </row>
    <row r="92" spans="1:4" x14ac:dyDescent="0.25">
      <c r="A92" s="8">
        <v>46170</v>
      </c>
      <c r="B92" s="9" t="s">
        <v>178</v>
      </c>
      <c r="C92" s="10">
        <v>-650</v>
      </c>
      <c r="D92" s="10">
        <f t="shared" si="2"/>
        <v>-110</v>
      </c>
    </row>
    <row r="93" spans="1:4" x14ac:dyDescent="0.25">
      <c r="A93" s="8">
        <v>46212</v>
      </c>
      <c r="B93" s="9" t="s">
        <v>3</v>
      </c>
      <c r="C93" s="10">
        <v>490</v>
      </c>
      <c r="D93" s="10">
        <f t="shared" si="2"/>
        <v>380</v>
      </c>
    </row>
    <row r="94" spans="1:4" x14ac:dyDescent="0.25">
      <c r="A94" s="8">
        <v>46212</v>
      </c>
      <c r="B94" s="9" t="s">
        <v>178</v>
      </c>
      <c r="C94" s="10">
        <v>-490</v>
      </c>
      <c r="D94" s="10">
        <f t="shared" si="2"/>
        <v>-110</v>
      </c>
    </row>
    <row r="95" spans="1:4" x14ac:dyDescent="0.25">
      <c r="A95" s="8">
        <v>46233</v>
      </c>
      <c r="B95" s="9" t="s">
        <v>3</v>
      </c>
      <c r="C95" s="10">
        <v>730</v>
      </c>
      <c r="D95" s="10">
        <f t="shared" si="2"/>
        <v>620</v>
      </c>
    </row>
    <row r="96" spans="1:4" x14ac:dyDescent="0.25">
      <c r="A96" s="8">
        <v>46233</v>
      </c>
      <c r="B96" s="9" t="s">
        <v>178</v>
      </c>
      <c r="C96" s="10">
        <v>-730</v>
      </c>
      <c r="D96" s="10">
        <f t="shared" si="2"/>
        <v>-110</v>
      </c>
    </row>
    <row r="97" spans="1:4" x14ac:dyDescent="0.25">
      <c r="A97" s="8">
        <v>46237</v>
      </c>
      <c r="B97" s="9" t="s">
        <v>459</v>
      </c>
      <c r="C97" s="10">
        <v>500</v>
      </c>
      <c r="D97" s="10">
        <f t="shared" si="2"/>
        <v>390</v>
      </c>
    </row>
    <row r="98" spans="1:4" x14ac:dyDescent="0.25">
      <c r="A98" s="8">
        <v>46237</v>
      </c>
      <c r="B98" s="9" t="s">
        <v>178</v>
      </c>
      <c r="C98" s="10">
        <v>-500</v>
      </c>
      <c r="D98" s="10">
        <f t="shared" si="2"/>
        <v>-110</v>
      </c>
    </row>
    <row r="99" spans="1:4" x14ac:dyDescent="0.25">
      <c r="A99" s="8">
        <v>46247</v>
      </c>
      <c r="B99" s="9" t="s">
        <v>3</v>
      </c>
      <c r="C99" s="10">
        <v>890</v>
      </c>
      <c r="D99" s="10">
        <f t="shared" si="2"/>
        <v>780</v>
      </c>
    </row>
    <row r="100" spans="1:4" x14ac:dyDescent="0.25">
      <c r="A100" s="8">
        <v>46247</v>
      </c>
      <c r="B100" s="9" t="s">
        <v>178</v>
      </c>
      <c r="C100" s="10">
        <v>-890</v>
      </c>
      <c r="D100" s="10">
        <f t="shared" si="2"/>
        <v>-110</v>
      </c>
    </row>
    <row r="101" spans="1:4" x14ac:dyDescent="0.25">
      <c r="A101" s="8">
        <v>46251</v>
      </c>
      <c r="B101" s="9" t="s">
        <v>3</v>
      </c>
      <c r="C101" s="10">
        <v>1850</v>
      </c>
      <c r="D101" s="10">
        <f t="shared" si="2"/>
        <v>1740</v>
      </c>
    </row>
    <row r="102" spans="1:4" x14ac:dyDescent="0.25">
      <c r="A102" s="8">
        <v>46251</v>
      </c>
      <c r="B102" s="9" t="s">
        <v>196</v>
      </c>
      <c r="C102" s="10">
        <v>-1850</v>
      </c>
      <c r="D102" s="10">
        <f t="shared" si="2"/>
        <v>-110</v>
      </c>
    </row>
    <row r="103" spans="1:4" x14ac:dyDescent="0.25">
      <c r="A103" s="8">
        <v>46254</v>
      </c>
      <c r="B103" s="9" t="s">
        <v>3</v>
      </c>
      <c r="C103" s="10">
        <v>1090</v>
      </c>
      <c r="D103" s="10">
        <f t="shared" si="2"/>
        <v>980</v>
      </c>
    </row>
    <row r="104" spans="1:4" x14ac:dyDescent="0.25">
      <c r="A104" s="8">
        <v>46254</v>
      </c>
      <c r="B104" s="9" t="s">
        <v>178</v>
      </c>
      <c r="C104" s="10">
        <v>-1090</v>
      </c>
      <c r="D104" s="10">
        <f t="shared" si="2"/>
        <v>-110</v>
      </c>
    </row>
    <row r="105" spans="1:4" x14ac:dyDescent="0.25">
      <c r="A105" s="8">
        <v>46261</v>
      </c>
      <c r="B105" s="9" t="s">
        <v>565</v>
      </c>
      <c r="C105" s="10">
        <v>1330</v>
      </c>
      <c r="D105" s="10">
        <f t="shared" si="2"/>
        <v>1220</v>
      </c>
    </row>
    <row r="106" spans="1:4" x14ac:dyDescent="0.25">
      <c r="A106" s="8">
        <v>46261</v>
      </c>
      <c r="B106" s="9" t="s">
        <v>178</v>
      </c>
      <c r="C106" s="10">
        <v>-1220</v>
      </c>
      <c r="D106" s="10">
        <f t="shared" si="2"/>
        <v>0</v>
      </c>
    </row>
    <row r="107" spans="1:4" x14ac:dyDescent="0.25">
      <c r="A107" s="8">
        <v>46265</v>
      </c>
      <c r="B107" s="9" t="s">
        <v>3</v>
      </c>
      <c r="C107" s="10">
        <v>1080</v>
      </c>
      <c r="D107" s="10">
        <f t="shared" si="2"/>
        <v>1080</v>
      </c>
    </row>
    <row r="108" spans="1:4" x14ac:dyDescent="0.25">
      <c r="A108" s="8">
        <v>46265</v>
      </c>
      <c r="B108" s="9" t="s">
        <v>196</v>
      </c>
      <c r="C108" s="10">
        <v>-1080</v>
      </c>
      <c r="D108" s="10">
        <f t="shared" si="2"/>
        <v>0</v>
      </c>
    </row>
    <row r="109" spans="1:4" x14ac:dyDescent="0.25">
      <c r="A109" s="8">
        <v>47364</v>
      </c>
      <c r="B109" s="9" t="s">
        <v>3</v>
      </c>
      <c r="C109" s="10">
        <v>1740</v>
      </c>
      <c r="D109" s="10">
        <f t="shared" si="2"/>
        <v>1740</v>
      </c>
    </row>
    <row r="110" spans="1:4" x14ac:dyDescent="0.25">
      <c r="A110" s="8">
        <v>46268</v>
      </c>
      <c r="B110" s="9" t="s">
        <v>178</v>
      </c>
      <c r="C110" s="10">
        <v>-1740</v>
      </c>
      <c r="D110" s="10">
        <f t="shared" si="2"/>
        <v>0</v>
      </c>
    </row>
    <row r="111" spans="1:4" x14ac:dyDescent="0.25">
      <c r="A111" s="8">
        <v>46275</v>
      </c>
      <c r="B111" s="9" t="s">
        <v>3</v>
      </c>
      <c r="C111" s="10">
        <v>1380</v>
      </c>
      <c r="D111" s="10">
        <f t="shared" si="2"/>
        <v>1380</v>
      </c>
    </row>
    <row r="112" spans="1:4" x14ac:dyDescent="0.25">
      <c r="A112" s="8">
        <v>46275</v>
      </c>
      <c r="B112" s="9" t="s">
        <v>178</v>
      </c>
      <c r="C112" s="10">
        <v>-1380</v>
      </c>
      <c r="D112" s="10">
        <f t="shared" si="2"/>
        <v>0</v>
      </c>
    </row>
    <row r="113" spans="1:4" x14ac:dyDescent="0.25">
      <c r="A113" s="8">
        <v>46289</v>
      </c>
      <c r="B113" s="9" t="s">
        <v>3</v>
      </c>
      <c r="C113" s="10">
        <v>2590</v>
      </c>
      <c r="D113" s="10">
        <f t="shared" si="2"/>
        <v>2590</v>
      </c>
    </row>
    <row r="114" spans="1:4" x14ac:dyDescent="0.25">
      <c r="A114" s="8">
        <v>46289</v>
      </c>
      <c r="B114" s="9" t="s">
        <v>178</v>
      </c>
      <c r="C114" s="10">
        <v>-2590</v>
      </c>
      <c r="D114" s="10">
        <f t="shared" si="2"/>
        <v>0</v>
      </c>
    </row>
    <row r="115" spans="1:4" x14ac:dyDescent="0.25">
      <c r="A115" s="8">
        <v>46293</v>
      </c>
      <c r="B115" s="9" t="s">
        <v>3</v>
      </c>
      <c r="C115" s="10">
        <v>950</v>
      </c>
      <c r="D115" s="10">
        <f t="shared" si="2"/>
        <v>950</v>
      </c>
    </row>
    <row r="116" spans="1:4" x14ac:dyDescent="0.25">
      <c r="A116" s="8">
        <v>46293</v>
      </c>
      <c r="B116" s="9" t="s">
        <v>178</v>
      </c>
      <c r="C116" s="10">
        <v>-950</v>
      </c>
      <c r="D116" s="10">
        <f t="shared" si="2"/>
        <v>0</v>
      </c>
    </row>
    <row r="117" spans="1:4" x14ac:dyDescent="0.25">
      <c r="A117" s="8">
        <v>46296</v>
      </c>
      <c r="B117" s="9" t="s">
        <v>3</v>
      </c>
      <c r="C117" s="10">
        <v>1490</v>
      </c>
      <c r="D117" s="10">
        <f t="shared" si="2"/>
        <v>1490</v>
      </c>
    </row>
    <row r="118" spans="1:4" x14ac:dyDescent="0.25">
      <c r="A118" s="8">
        <v>46296</v>
      </c>
      <c r="B118" s="9" t="s">
        <v>178</v>
      </c>
      <c r="C118" s="10">
        <v>-1490</v>
      </c>
      <c r="D118" s="10">
        <f t="shared" si="2"/>
        <v>0</v>
      </c>
    </row>
    <row r="119" spans="1:4" x14ac:dyDescent="0.25">
      <c r="A119" s="8">
        <v>46300</v>
      </c>
      <c r="B119" s="9" t="s">
        <v>178</v>
      </c>
      <c r="C119" s="10">
        <v>1190</v>
      </c>
      <c r="D119" s="10">
        <f t="shared" si="2"/>
        <v>1190</v>
      </c>
    </row>
    <row r="120" spans="1:4" x14ac:dyDescent="0.25">
      <c r="A120" s="8">
        <v>46300</v>
      </c>
      <c r="B120" s="9" t="s">
        <v>3</v>
      </c>
      <c r="C120" s="10">
        <v>-1190</v>
      </c>
      <c r="D120" s="10">
        <f t="shared" si="2"/>
        <v>0</v>
      </c>
    </row>
    <row r="121" spans="1:4" x14ac:dyDescent="0.25">
      <c r="A121" s="9"/>
      <c r="B121" s="9"/>
      <c r="C121" s="10"/>
      <c r="D121" s="10">
        <f t="shared" si="2"/>
        <v>0</v>
      </c>
    </row>
    <row r="122" spans="1:4" x14ac:dyDescent="0.25">
      <c r="A122" s="9"/>
      <c r="B122" s="9"/>
      <c r="C122" s="10"/>
      <c r="D122" s="10">
        <f t="shared" si="2"/>
        <v>0</v>
      </c>
    </row>
    <row r="123" spans="1:4" x14ac:dyDescent="0.25">
      <c r="A123" s="9"/>
      <c r="B123" s="9"/>
      <c r="C123" s="10"/>
      <c r="D123" s="10">
        <f t="shared" si="2"/>
        <v>0</v>
      </c>
    </row>
    <row r="124" spans="1:4" x14ac:dyDescent="0.25">
      <c r="A124" s="9"/>
      <c r="B124" s="9"/>
      <c r="C124" s="10"/>
      <c r="D124" s="10">
        <f t="shared" si="2"/>
        <v>0</v>
      </c>
    </row>
    <row r="125" spans="1:4" x14ac:dyDescent="0.25">
      <c r="A125" s="9"/>
      <c r="B125" s="9"/>
      <c r="C125" s="10"/>
      <c r="D125" s="10">
        <f t="shared" si="2"/>
        <v>0</v>
      </c>
    </row>
    <row r="126" spans="1:4" x14ac:dyDescent="0.25">
      <c r="A126" s="9"/>
      <c r="B126" s="9"/>
      <c r="C126" s="10"/>
      <c r="D126" s="10">
        <f t="shared" si="2"/>
        <v>0</v>
      </c>
    </row>
    <row r="127" spans="1:4" x14ac:dyDescent="0.25">
      <c r="A127" s="9"/>
      <c r="B127" s="9"/>
      <c r="C127" s="10"/>
      <c r="D127" s="10">
        <f t="shared" si="2"/>
        <v>0</v>
      </c>
    </row>
    <row r="128" spans="1:4" x14ac:dyDescent="0.25">
      <c r="A128" s="9"/>
      <c r="B128" s="9"/>
      <c r="C128" s="10"/>
      <c r="D128" s="10">
        <f t="shared" si="2"/>
        <v>0</v>
      </c>
    </row>
    <row r="129" spans="1:4" x14ac:dyDescent="0.25">
      <c r="A129" s="9"/>
      <c r="B129" s="9"/>
      <c r="C129" s="10"/>
      <c r="D129" s="10">
        <f t="shared" si="2"/>
        <v>0</v>
      </c>
    </row>
    <row r="130" spans="1:4" x14ac:dyDescent="0.25">
      <c r="A130" s="9"/>
      <c r="B130" s="9"/>
      <c r="C130" s="10"/>
      <c r="D130" s="10">
        <f t="shared" si="2"/>
        <v>0</v>
      </c>
    </row>
    <row r="131" spans="1:4" x14ac:dyDescent="0.25">
      <c r="A131" s="9"/>
      <c r="B131" s="9"/>
      <c r="C131" s="10"/>
      <c r="D131" s="10">
        <f t="shared" si="2"/>
        <v>0</v>
      </c>
    </row>
    <row r="132" spans="1:4" x14ac:dyDescent="0.25">
      <c r="A132" s="9"/>
      <c r="B132" s="9"/>
      <c r="C132" s="10"/>
      <c r="D132" s="10">
        <f t="shared" si="2"/>
        <v>0</v>
      </c>
    </row>
    <row r="133" spans="1:4" x14ac:dyDescent="0.25">
      <c r="A133" s="9"/>
      <c r="B133" s="9"/>
      <c r="C133" s="10"/>
      <c r="D133" s="10">
        <f t="shared" si="2"/>
        <v>0</v>
      </c>
    </row>
    <row r="134" spans="1:4" x14ac:dyDescent="0.25">
      <c r="A134" s="9"/>
      <c r="B134" s="9"/>
      <c r="C134" s="10"/>
      <c r="D134" s="10">
        <f t="shared" si="2"/>
        <v>0</v>
      </c>
    </row>
    <row r="135" spans="1:4" x14ac:dyDescent="0.25">
      <c r="A135" s="9"/>
      <c r="B135" s="9"/>
      <c r="C135" s="10"/>
      <c r="D135" s="10">
        <f t="shared" si="2"/>
        <v>0</v>
      </c>
    </row>
    <row r="136" spans="1:4" x14ac:dyDescent="0.25">
      <c r="A136" s="9"/>
      <c r="B136" s="9"/>
      <c r="C136" s="10"/>
      <c r="D136" s="10">
        <f t="shared" si="2"/>
        <v>0</v>
      </c>
    </row>
    <row r="137" spans="1:4" x14ac:dyDescent="0.25">
      <c r="A137" s="9"/>
      <c r="B137" s="9"/>
      <c r="C137" s="10"/>
      <c r="D137" s="10">
        <f t="shared" si="2"/>
        <v>0</v>
      </c>
    </row>
    <row r="138" spans="1:4" x14ac:dyDescent="0.25">
      <c r="A138" s="9"/>
      <c r="B138" s="9"/>
      <c r="C138" s="10"/>
      <c r="D138" s="10">
        <f t="shared" si="2"/>
        <v>0</v>
      </c>
    </row>
    <row r="139" spans="1:4" x14ac:dyDescent="0.25">
      <c r="A139" s="9"/>
      <c r="B139" s="9"/>
      <c r="C139" s="10"/>
      <c r="D139" s="10">
        <f t="shared" si="2"/>
        <v>0</v>
      </c>
    </row>
    <row r="140" spans="1:4" x14ac:dyDescent="0.25">
      <c r="A140" s="9"/>
      <c r="B140" s="9"/>
      <c r="C140" s="10"/>
      <c r="D140" s="10">
        <f t="shared" si="2"/>
        <v>0</v>
      </c>
    </row>
    <row r="141" spans="1:4" x14ac:dyDescent="0.25">
      <c r="A141" s="9"/>
      <c r="B141" s="9"/>
      <c r="C141" s="10"/>
      <c r="D141" s="10">
        <f t="shared" ref="D141:D176" si="3">D140+C141</f>
        <v>0</v>
      </c>
    </row>
    <row r="142" spans="1:4" x14ac:dyDescent="0.25">
      <c r="A142" s="9"/>
      <c r="B142" s="9"/>
      <c r="C142" s="10"/>
      <c r="D142" s="10">
        <f t="shared" si="3"/>
        <v>0</v>
      </c>
    </row>
    <row r="143" spans="1:4" x14ac:dyDescent="0.25">
      <c r="A143" s="9"/>
      <c r="B143" s="9"/>
      <c r="C143" s="10"/>
      <c r="D143" s="10">
        <f t="shared" si="3"/>
        <v>0</v>
      </c>
    </row>
    <row r="144" spans="1:4" x14ac:dyDescent="0.25">
      <c r="A144" s="9"/>
      <c r="B144" s="9"/>
      <c r="C144" s="10"/>
      <c r="D144" s="10">
        <f t="shared" si="3"/>
        <v>0</v>
      </c>
    </row>
    <row r="145" spans="1:4" x14ac:dyDescent="0.25">
      <c r="A145" s="9"/>
      <c r="B145" s="9"/>
      <c r="C145" s="10"/>
      <c r="D145" s="10">
        <f t="shared" si="3"/>
        <v>0</v>
      </c>
    </row>
    <row r="146" spans="1:4" x14ac:dyDescent="0.25">
      <c r="A146" s="9"/>
      <c r="B146" s="9"/>
      <c r="C146" s="10"/>
      <c r="D146" s="10">
        <f t="shared" si="3"/>
        <v>0</v>
      </c>
    </row>
    <row r="147" spans="1:4" x14ac:dyDescent="0.25">
      <c r="A147" s="9"/>
      <c r="B147" s="9"/>
      <c r="C147" s="10"/>
      <c r="D147" s="10">
        <f t="shared" si="3"/>
        <v>0</v>
      </c>
    </row>
    <row r="148" spans="1:4" x14ac:dyDescent="0.25">
      <c r="A148" s="9"/>
      <c r="B148" s="9"/>
      <c r="C148" s="10"/>
      <c r="D148" s="10">
        <f t="shared" si="3"/>
        <v>0</v>
      </c>
    </row>
    <row r="149" spans="1:4" x14ac:dyDescent="0.25">
      <c r="A149" s="9"/>
      <c r="B149" s="9"/>
      <c r="C149" s="10"/>
      <c r="D149" s="10">
        <f t="shared" si="3"/>
        <v>0</v>
      </c>
    </row>
    <row r="150" spans="1:4" x14ac:dyDescent="0.25">
      <c r="A150" s="9"/>
      <c r="B150" s="9"/>
      <c r="C150" s="10"/>
      <c r="D150" s="10">
        <f t="shared" si="3"/>
        <v>0</v>
      </c>
    </row>
    <row r="151" spans="1:4" x14ac:dyDescent="0.25">
      <c r="A151" s="9"/>
      <c r="B151" s="9"/>
      <c r="C151" s="10"/>
      <c r="D151" s="10">
        <f t="shared" si="3"/>
        <v>0</v>
      </c>
    </row>
    <row r="152" spans="1:4" x14ac:dyDescent="0.25">
      <c r="A152" s="9"/>
      <c r="B152" s="9"/>
      <c r="C152" s="10"/>
      <c r="D152" s="10">
        <f t="shared" si="3"/>
        <v>0</v>
      </c>
    </row>
    <row r="153" spans="1:4" x14ac:dyDescent="0.25">
      <c r="A153" s="9"/>
      <c r="B153" s="9"/>
      <c r="C153" s="10"/>
      <c r="D153" s="10">
        <f t="shared" si="3"/>
        <v>0</v>
      </c>
    </row>
    <row r="154" spans="1:4" x14ac:dyDescent="0.25">
      <c r="A154" s="9"/>
      <c r="B154" s="9"/>
      <c r="C154" s="10"/>
      <c r="D154" s="10">
        <f t="shared" si="3"/>
        <v>0</v>
      </c>
    </row>
    <row r="155" spans="1:4" x14ac:dyDescent="0.25">
      <c r="A155" s="9"/>
      <c r="B155" s="9"/>
      <c r="C155" s="10"/>
      <c r="D155" s="10">
        <f t="shared" si="3"/>
        <v>0</v>
      </c>
    </row>
    <row r="156" spans="1:4" x14ac:dyDescent="0.25">
      <c r="A156" s="9"/>
      <c r="B156" s="9"/>
      <c r="C156" s="10"/>
      <c r="D156" s="10">
        <f t="shared" si="3"/>
        <v>0</v>
      </c>
    </row>
    <row r="157" spans="1:4" x14ac:dyDescent="0.25">
      <c r="A157" s="9"/>
      <c r="B157" s="9"/>
      <c r="C157" s="10"/>
      <c r="D157" s="10">
        <f t="shared" si="3"/>
        <v>0</v>
      </c>
    </row>
    <row r="158" spans="1:4" x14ac:dyDescent="0.25">
      <c r="A158" s="9"/>
      <c r="B158" s="9"/>
      <c r="C158" s="10"/>
      <c r="D158" s="10">
        <f t="shared" si="3"/>
        <v>0</v>
      </c>
    </row>
    <row r="159" spans="1:4" x14ac:dyDescent="0.25">
      <c r="A159" s="9"/>
      <c r="B159" s="9"/>
      <c r="C159" s="10"/>
      <c r="D159" s="10">
        <f t="shared" si="3"/>
        <v>0</v>
      </c>
    </row>
    <row r="160" spans="1:4" x14ac:dyDescent="0.25">
      <c r="A160" s="9"/>
      <c r="B160" s="9"/>
      <c r="C160" s="10"/>
      <c r="D160" s="10">
        <f t="shared" si="3"/>
        <v>0</v>
      </c>
    </row>
    <row r="161" spans="1:4" x14ac:dyDescent="0.25">
      <c r="A161" s="9"/>
      <c r="B161" s="9"/>
      <c r="C161" s="10"/>
      <c r="D161" s="10">
        <f t="shared" si="3"/>
        <v>0</v>
      </c>
    </row>
    <row r="162" spans="1:4" x14ac:dyDescent="0.25">
      <c r="A162" s="9"/>
      <c r="B162" s="9"/>
      <c r="C162" s="10"/>
      <c r="D162" s="10">
        <f t="shared" si="3"/>
        <v>0</v>
      </c>
    </row>
    <row r="163" spans="1:4" x14ac:dyDescent="0.25">
      <c r="A163" s="9"/>
      <c r="B163" s="9"/>
      <c r="C163" s="10"/>
      <c r="D163" s="10">
        <f t="shared" si="3"/>
        <v>0</v>
      </c>
    </row>
    <row r="164" spans="1:4" x14ac:dyDescent="0.25">
      <c r="A164" s="9"/>
      <c r="B164" s="9"/>
      <c r="C164" s="10"/>
      <c r="D164" s="10">
        <f t="shared" si="3"/>
        <v>0</v>
      </c>
    </row>
    <row r="165" spans="1:4" x14ac:dyDescent="0.25">
      <c r="A165" s="9"/>
      <c r="B165" s="9"/>
      <c r="C165" s="10"/>
      <c r="D165" s="10">
        <f t="shared" si="3"/>
        <v>0</v>
      </c>
    </row>
    <row r="166" spans="1:4" x14ac:dyDescent="0.25">
      <c r="A166" s="9"/>
      <c r="B166" s="9"/>
      <c r="C166" s="10"/>
      <c r="D166" s="10">
        <f t="shared" si="3"/>
        <v>0</v>
      </c>
    </row>
    <row r="167" spans="1:4" x14ac:dyDescent="0.25">
      <c r="A167" s="9"/>
      <c r="B167" s="9"/>
      <c r="C167" s="10"/>
      <c r="D167" s="10">
        <f t="shared" si="3"/>
        <v>0</v>
      </c>
    </row>
    <row r="168" spans="1:4" x14ac:dyDescent="0.25">
      <c r="A168" s="9"/>
      <c r="B168" s="9"/>
      <c r="C168" s="10"/>
      <c r="D168" s="10">
        <f t="shared" si="3"/>
        <v>0</v>
      </c>
    </row>
    <row r="169" spans="1:4" x14ac:dyDescent="0.25">
      <c r="A169" s="9"/>
      <c r="B169" s="9"/>
      <c r="C169" s="10"/>
      <c r="D169" s="10">
        <f t="shared" si="3"/>
        <v>0</v>
      </c>
    </row>
    <row r="170" spans="1:4" x14ac:dyDescent="0.25">
      <c r="A170" s="9"/>
      <c r="B170" s="9"/>
      <c r="C170" s="10"/>
      <c r="D170" s="10">
        <f t="shared" si="3"/>
        <v>0</v>
      </c>
    </row>
    <row r="171" spans="1:4" x14ac:dyDescent="0.25">
      <c r="A171" s="9"/>
      <c r="B171" s="9"/>
      <c r="C171" s="10"/>
      <c r="D171" s="10">
        <f t="shared" si="3"/>
        <v>0</v>
      </c>
    </row>
    <row r="172" spans="1:4" x14ac:dyDescent="0.25">
      <c r="A172" s="9"/>
      <c r="B172" s="9"/>
      <c r="C172" s="10"/>
      <c r="D172" s="10">
        <f t="shared" si="3"/>
        <v>0</v>
      </c>
    </row>
    <row r="173" spans="1:4" x14ac:dyDescent="0.25">
      <c r="A173" s="9"/>
      <c r="B173" s="9"/>
      <c r="C173" s="10"/>
      <c r="D173" s="10">
        <f t="shared" si="3"/>
        <v>0</v>
      </c>
    </row>
    <row r="174" spans="1:4" x14ac:dyDescent="0.25">
      <c r="A174" s="9"/>
      <c r="B174" s="9"/>
      <c r="C174" s="10"/>
      <c r="D174" s="10">
        <f t="shared" si="3"/>
        <v>0</v>
      </c>
    </row>
    <row r="175" spans="1:4" x14ac:dyDescent="0.25">
      <c r="A175" s="9"/>
      <c r="B175" s="9"/>
      <c r="C175" s="10"/>
      <c r="D175" s="10">
        <f t="shared" si="3"/>
        <v>0</v>
      </c>
    </row>
    <row r="176" spans="1:4" x14ac:dyDescent="0.25">
      <c r="A176" s="9"/>
      <c r="B176" s="9"/>
      <c r="C176" s="10"/>
      <c r="D176" s="10">
        <f t="shared" si="3"/>
        <v>0</v>
      </c>
    </row>
    <row r="177" spans="1:4" x14ac:dyDescent="0.25">
      <c r="A177" s="9"/>
      <c r="B177" s="9"/>
      <c r="C177" s="10"/>
      <c r="D177" s="10"/>
    </row>
    <row r="178" spans="1:4" x14ac:dyDescent="0.25">
      <c r="A178" s="9"/>
      <c r="B178" s="9"/>
      <c r="C178" s="10"/>
      <c r="D178" s="10"/>
    </row>
    <row r="179" spans="1:4" x14ac:dyDescent="0.25">
      <c r="A179" s="9"/>
      <c r="B179" s="9"/>
      <c r="C179" s="10"/>
      <c r="D179" s="10"/>
    </row>
    <row r="180" spans="1:4" x14ac:dyDescent="0.25">
      <c r="A180" s="9"/>
      <c r="B180" s="9"/>
      <c r="C180" s="10"/>
      <c r="D180" s="10"/>
    </row>
    <row r="181" spans="1:4" x14ac:dyDescent="0.25">
      <c r="A181" s="9"/>
      <c r="B181" s="9"/>
      <c r="C181" s="10"/>
      <c r="D181" s="10"/>
    </row>
    <row r="182" spans="1:4" x14ac:dyDescent="0.25">
      <c r="A182" s="9"/>
      <c r="B182" s="9"/>
      <c r="C182" s="10"/>
      <c r="D182" s="10"/>
    </row>
    <row r="183" spans="1:4" x14ac:dyDescent="0.25">
      <c r="A183" s="9"/>
      <c r="B183" s="9"/>
      <c r="C183" s="10"/>
      <c r="D183" s="10"/>
    </row>
    <row r="184" spans="1:4" x14ac:dyDescent="0.25">
      <c r="A184" s="9"/>
      <c r="B184" s="9"/>
      <c r="C184" s="10"/>
      <c r="D184" s="10"/>
    </row>
  </sheetData>
  <mergeCells count="4">
    <mergeCell ref="A4:D4"/>
    <mergeCell ref="B6:D6"/>
    <mergeCell ref="G7:J7"/>
    <mergeCell ref="H9:J9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482B0-A05C-47D4-BDFD-B52E4451E58E}">
  <sheetPr>
    <tabColor theme="5" tint="0.79998168889431442"/>
  </sheetPr>
  <dimension ref="A4:G186"/>
  <sheetViews>
    <sheetView topLeftCell="A112" workbookViewId="0">
      <selection activeCell="F141" sqref="F141"/>
    </sheetView>
  </sheetViews>
  <sheetFormatPr baseColWidth="10" defaultRowHeight="15" x14ac:dyDescent="0.25"/>
  <cols>
    <col min="1" max="1" width="28.28515625" customWidth="1"/>
    <col min="2" max="2" width="27.140625" customWidth="1"/>
    <col min="3" max="3" width="23.42578125" style="6" customWidth="1"/>
    <col min="4" max="4" width="21.85546875" style="6" customWidth="1"/>
  </cols>
  <sheetData>
    <row r="4" spans="1:7" ht="18" x14ac:dyDescent="0.25">
      <c r="A4" s="98" t="s">
        <v>0</v>
      </c>
      <c r="B4" s="98"/>
      <c r="C4" s="98"/>
      <c r="D4" s="98"/>
      <c r="E4" s="1"/>
      <c r="F4" s="1"/>
      <c r="G4" s="1"/>
    </row>
    <row r="6" spans="1:7" x14ac:dyDescent="0.25">
      <c r="A6" s="2" t="s">
        <v>1</v>
      </c>
      <c r="B6" s="96" t="s">
        <v>29</v>
      </c>
      <c r="C6" s="97"/>
      <c r="D6" s="97"/>
    </row>
    <row r="7" spans="1:7" x14ac:dyDescent="0.25">
      <c r="A7" s="3" t="s">
        <v>11</v>
      </c>
      <c r="B7" s="4" t="s">
        <v>27</v>
      </c>
      <c r="C7" s="4"/>
      <c r="D7" s="4"/>
    </row>
    <row r="8" spans="1:7" x14ac:dyDescent="0.25">
      <c r="B8" s="5"/>
    </row>
    <row r="9" spans="1:7" x14ac:dyDescent="0.25">
      <c r="A9" s="2" t="s">
        <v>2</v>
      </c>
      <c r="B9" s="2" t="s">
        <v>3</v>
      </c>
      <c r="C9" s="7" t="s">
        <v>4</v>
      </c>
      <c r="D9" s="7" t="s">
        <v>5</v>
      </c>
    </row>
    <row r="10" spans="1:7" x14ac:dyDescent="0.25">
      <c r="A10" s="8">
        <v>45834</v>
      </c>
      <c r="B10" s="9" t="s">
        <v>6</v>
      </c>
      <c r="C10" s="10">
        <v>5450</v>
      </c>
      <c r="D10" s="10">
        <f>C10</f>
        <v>5450</v>
      </c>
    </row>
    <row r="11" spans="1:7" x14ac:dyDescent="0.25">
      <c r="A11" s="8">
        <v>45838</v>
      </c>
      <c r="B11" s="9" t="s">
        <v>6</v>
      </c>
      <c r="C11" s="10">
        <v>920</v>
      </c>
      <c r="D11" s="10">
        <f>D10+C11</f>
        <v>6370</v>
      </c>
    </row>
    <row r="12" spans="1:7" x14ac:dyDescent="0.25">
      <c r="A12" s="8">
        <v>45838</v>
      </c>
      <c r="B12" s="9" t="s">
        <v>7</v>
      </c>
      <c r="C12" s="10">
        <v>-4000</v>
      </c>
      <c r="D12" s="10">
        <f>D11+C12</f>
        <v>2370</v>
      </c>
    </row>
    <row r="13" spans="1:7" x14ac:dyDescent="0.25">
      <c r="A13" s="8">
        <v>45841</v>
      </c>
      <c r="B13" s="9" t="s">
        <v>6</v>
      </c>
      <c r="C13" s="10">
        <v>1730</v>
      </c>
      <c r="D13" s="10">
        <f t="shared" ref="D13:D75" si="0">D12+C13</f>
        <v>4100</v>
      </c>
    </row>
    <row r="14" spans="1:7" x14ac:dyDescent="0.25">
      <c r="A14" s="8">
        <v>45848</v>
      </c>
      <c r="B14" s="9" t="s">
        <v>7</v>
      </c>
      <c r="C14" s="10">
        <v>-2470</v>
      </c>
      <c r="D14" s="10">
        <f t="shared" si="0"/>
        <v>1630</v>
      </c>
    </row>
    <row r="15" spans="1:7" x14ac:dyDescent="0.25">
      <c r="A15" s="8">
        <v>45855</v>
      </c>
      <c r="B15" s="9" t="s">
        <v>6</v>
      </c>
      <c r="C15" s="10">
        <v>980</v>
      </c>
      <c r="D15" s="10">
        <f t="shared" si="0"/>
        <v>2610</v>
      </c>
    </row>
    <row r="16" spans="1:7" x14ac:dyDescent="0.25">
      <c r="A16" s="8">
        <v>45859</v>
      </c>
      <c r="B16" s="9" t="s">
        <v>7</v>
      </c>
      <c r="C16" s="10">
        <v>-4190</v>
      </c>
      <c r="D16" s="10">
        <f t="shared" si="0"/>
        <v>-1580</v>
      </c>
    </row>
    <row r="17" spans="1:4" x14ac:dyDescent="0.25">
      <c r="A17" s="8">
        <v>45862</v>
      </c>
      <c r="B17" s="9" t="s">
        <v>6</v>
      </c>
      <c r="C17" s="10">
        <v>2960</v>
      </c>
      <c r="D17" s="10">
        <f t="shared" si="0"/>
        <v>1380</v>
      </c>
    </row>
    <row r="18" spans="1:4" x14ac:dyDescent="0.25">
      <c r="A18" s="8">
        <v>45862</v>
      </c>
      <c r="B18" s="9" t="s">
        <v>74</v>
      </c>
      <c r="C18" s="10">
        <v>-2960</v>
      </c>
      <c r="D18" s="10">
        <f>D17+C18</f>
        <v>-1580</v>
      </c>
    </row>
    <row r="19" spans="1:4" x14ac:dyDescent="0.25">
      <c r="A19" s="8">
        <v>45866</v>
      </c>
      <c r="B19" s="9" t="s">
        <v>6</v>
      </c>
      <c r="C19" s="10">
        <v>1160</v>
      </c>
      <c r="D19" s="10">
        <f t="shared" si="0"/>
        <v>-420</v>
      </c>
    </row>
    <row r="20" spans="1:4" x14ac:dyDescent="0.25">
      <c r="A20" s="8">
        <v>45869</v>
      </c>
      <c r="B20" s="9" t="s">
        <v>6</v>
      </c>
      <c r="C20" s="10">
        <v>3200</v>
      </c>
      <c r="D20" s="10">
        <f t="shared" si="0"/>
        <v>2780</v>
      </c>
    </row>
    <row r="21" spans="1:4" x14ac:dyDescent="0.25">
      <c r="A21" s="8">
        <v>45869</v>
      </c>
      <c r="B21" s="9" t="s">
        <v>7</v>
      </c>
      <c r="C21" s="10">
        <v>-3200</v>
      </c>
      <c r="D21" s="10">
        <f t="shared" si="0"/>
        <v>-420</v>
      </c>
    </row>
    <row r="22" spans="1:4" x14ac:dyDescent="0.25">
      <c r="A22" s="8">
        <v>45873</v>
      </c>
      <c r="B22" s="9" t="s">
        <v>6</v>
      </c>
      <c r="C22" s="10">
        <v>1540</v>
      </c>
      <c r="D22" s="10">
        <f t="shared" si="0"/>
        <v>1120</v>
      </c>
    </row>
    <row r="23" spans="1:4" x14ac:dyDescent="0.25">
      <c r="A23" s="8">
        <v>45873</v>
      </c>
      <c r="B23" s="9" t="s">
        <v>74</v>
      </c>
      <c r="C23" s="10">
        <v>-1540</v>
      </c>
      <c r="D23" s="10">
        <f t="shared" si="0"/>
        <v>-420</v>
      </c>
    </row>
    <row r="24" spans="1:4" x14ac:dyDescent="0.25">
      <c r="A24" s="8">
        <v>45876</v>
      </c>
      <c r="B24" s="9" t="s">
        <v>6</v>
      </c>
      <c r="C24" s="10">
        <v>2740</v>
      </c>
      <c r="D24" s="10">
        <f t="shared" si="0"/>
        <v>2320</v>
      </c>
    </row>
    <row r="25" spans="1:4" x14ac:dyDescent="0.25">
      <c r="A25" s="8">
        <v>45876</v>
      </c>
      <c r="B25" s="9" t="s">
        <v>96</v>
      </c>
      <c r="C25" s="10">
        <v>-2740</v>
      </c>
      <c r="D25" s="10">
        <f t="shared" si="0"/>
        <v>-420</v>
      </c>
    </row>
    <row r="26" spans="1:4" x14ac:dyDescent="0.25">
      <c r="A26" s="8">
        <v>45883</v>
      </c>
      <c r="B26" s="9" t="s">
        <v>6</v>
      </c>
      <c r="C26" s="10">
        <v>1610</v>
      </c>
      <c r="D26" s="10">
        <f t="shared" si="0"/>
        <v>1190</v>
      </c>
    </row>
    <row r="27" spans="1:4" x14ac:dyDescent="0.25">
      <c r="A27" s="8">
        <v>45894</v>
      </c>
      <c r="B27" s="9" t="s">
        <v>6</v>
      </c>
      <c r="C27" s="10">
        <v>1390</v>
      </c>
      <c r="D27" s="10">
        <f t="shared" si="0"/>
        <v>2580</v>
      </c>
    </row>
    <row r="28" spans="1:4" x14ac:dyDescent="0.25">
      <c r="A28" s="8">
        <v>45894</v>
      </c>
      <c r="B28" s="9" t="s">
        <v>74</v>
      </c>
      <c r="C28" s="10">
        <v>-3000</v>
      </c>
      <c r="D28" s="10">
        <f t="shared" si="0"/>
        <v>-420</v>
      </c>
    </row>
    <row r="29" spans="1:4" x14ac:dyDescent="0.25">
      <c r="A29" s="8">
        <v>45897</v>
      </c>
      <c r="B29" s="9" t="s">
        <v>6</v>
      </c>
      <c r="C29" s="10">
        <v>2330</v>
      </c>
      <c r="D29" s="10">
        <f t="shared" si="0"/>
        <v>1910</v>
      </c>
    </row>
    <row r="30" spans="1:4" x14ac:dyDescent="0.25">
      <c r="A30" s="8">
        <v>45905</v>
      </c>
      <c r="B30" s="9" t="s">
        <v>6</v>
      </c>
      <c r="C30" s="10">
        <v>1470</v>
      </c>
      <c r="D30" s="10">
        <f t="shared" si="0"/>
        <v>3380</v>
      </c>
    </row>
    <row r="31" spans="1:4" x14ac:dyDescent="0.25">
      <c r="A31" s="8">
        <v>45905</v>
      </c>
      <c r="B31" s="9" t="s">
        <v>74</v>
      </c>
      <c r="C31" s="10">
        <v>-1470</v>
      </c>
      <c r="D31" s="10">
        <f t="shared" si="0"/>
        <v>1910</v>
      </c>
    </row>
    <row r="32" spans="1:4" x14ac:dyDescent="0.25">
      <c r="A32" s="8">
        <v>45911</v>
      </c>
      <c r="B32" s="9" t="s">
        <v>6</v>
      </c>
      <c r="C32" s="10">
        <v>2390</v>
      </c>
      <c r="D32" s="10">
        <f t="shared" si="0"/>
        <v>4300</v>
      </c>
    </row>
    <row r="33" spans="1:4" x14ac:dyDescent="0.25">
      <c r="A33" s="8">
        <v>45911</v>
      </c>
      <c r="B33" s="9" t="s">
        <v>114</v>
      </c>
      <c r="C33" s="10">
        <v>-2390</v>
      </c>
      <c r="D33" s="10">
        <f t="shared" si="0"/>
        <v>1910</v>
      </c>
    </row>
    <row r="34" spans="1:4" x14ac:dyDescent="0.25">
      <c r="A34" s="8">
        <v>45918</v>
      </c>
      <c r="B34" s="9" t="s">
        <v>6</v>
      </c>
      <c r="C34" s="10">
        <v>4200</v>
      </c>
      <c r="D34" s="10">
        <f t="shared" si="0"/>
        <v>6110</v>
      </c>
    </row>
    <row r="35" spans="1:4" x14ac:dyDescent="0.25">
      <c r="A35" s="8">
        <v>45925</v>
      </c>
      <c r="B35" s="9" t="s">
        <v>6</v>
      </c>
      <c r="C35" s="10">
        <v>1920</v>
      </c>
      <c r="D35" s="10">
        <f t="shared" si="0"/>
        <v>8030</v>
      </c>
    </row>
    <row r="36" spans="1:4" x14ac:dyDescent="0.25">
      <c r="A36" s="8">
        <v>45918</v>
      </c>
      <c r="B36" s="9" t="s">
        <v>55</v>
      </c>
      <c r="C36" s="10">
        <v>-2000</v>
      </c>
      <c r="D36" s="10">
        <f t="shared" si="0"/>
        <v>6030</v>
      </c>
    </row>
    <row r="37" spans="1:4" x14ac:dyDescent="0.25">
      <c r="A37" s="8">
        <v>45925</v>
      </c>
      <c r="B37" s="9" t="s">
        <v>145</v>
      </c>
      <c r="C37" s="10">
        <v>-5000</v>
      </c>
      <c r="D37" s="10">
        <f t="shared" si="0"/>
        <v>1030</v>
      </c>
    </row>
    <row r="38" spans="1:4" x14ac:dyDescent="0.25">
      <c r="A38" s="8">
        <v>45929</v>
      </c>
      <c r="B38" s="9" t="s">
        <v>7</v>
      </c>
      <c r="C38" s="10">
        <v>-1810</v>
      </c>
      <c r="D38" s="10">
        <f t="shared" si="0"/>
        <v>-780</v>
      </c>
    </row>
    <row r="39" spans="1:4" x14ac:dyDescent="0.25">
      <c r="A39" s="8">
        <v>45932</v>
      </c>
      <c r="B39" s="9" t="s">
        <v>6</v>
      </c>
      <c r="C39" s="10">
        <v>1140</v>
      </c>
      <c r="D39" s="10">
        <f t="shared" si="0"/>
        <v>360</v>
      </c>
    </row>
    <row r="40" spans="1:4" x14ac:dyDescent="0.25">
      <c r="A40" s="8">
        <v>45932</v>
      </c>
      <c r="B40" s="9" t="s">
        <v>146</v>
      </c>
      <c r="C40" s="10">
        <v>-2170</v>
      </c>
      <c r="D40" s="10">
        <f t="shared" si="0"/>
        <v>-1810</v>
      </c>
    </row>
    <row r="41" spans="1:4" x14ac:dyDescent="0.25">
      <c r="A41" s="8">
        <v>45932</v>
      </c>
      <c r="B41" s="9" t="s">
        <v>147</v>
      </c>
      <c r="C41" s="10">
        <v>-300</v>
      </c>
      <c r="D41" s="10">
        <f t="shared" si="0"/>
        <v>-2110</v>
      </c>
    </row>
    <row r="42" spans="1:4" x14ac:dyDescent="0.25">
      <c r="A42" s="8">
        <v>45936</v>
      </c>
      <c r="B42" s="9" t="s">
        <v>6</v>
      </c>
      <c r="C42" s="10">
        <v>900</v>
      </c>
      <c r="D42" s="10">
        <f t="shared" si="0"/>
        <v>-1210</v>
      </c>
    </row>
    <row r="43" spans="1:4" x14ac:dyDescent="0.25">
      <c r="A43" s="8">
        <v>45936</v>
      </c>
      <c r="B43" s="9" t="s">
        <v>92</v>
      </c>
      <c r="C43" s="10">
        <v>-1400</v>
      </c>
      <c r="D43" s="10">
        <f t="shared" si="0"/>
        <v>-2610</v>
      </c>
    </row>
    <row r="44" spans="1:4" x14ac:dyDescent="0.25">
      <c r="A44" s="8">
        <v>45943</v>
      </c>
      <c r="B44" s="9" t="s">
        <v>6</v>
      </c>
      <c r="C44" s="10">
        <v>620</v>
      </c>
      <c r="D44" s="10">
        <f t="shared" si="0"/>
        <v>-1990</v>
      </c>
    </row>
    <row r="45" spans="1:4" x14ac:dyDescent="0.25">
      <c r="A45" s="8">
        <v>45946</v>
      </c>
      <c r="B45" s="9" t="s">
        <v>6</v>
      </c>
      <c r="C45" s="10">
        <v>1950</v>
      </c>
      <c r="D45" s="10">
        <f t="shared" si="0"/>
        <v>-40</v>
      </c>
    </row>
    <row r="46" spans="1:4" x14ac:dyDescent="0.25">
      <c r="A46" s="8">
        <v>45946</v>
      </c>
      <c r="B46" s="9" t="s">
        <v>197</v>
      </c>
      <c r="C46" s="10">
        <v>-620</v>
      </c>
      <c r="D46" s="10">
        <f t="shared" si="0"/>
        <v>-660</v>
      </c>
    </row>
    <row r="47" spans="1:4" x14ac:dyDescent="0.25">
      <c r="A47" s="8">
        <v>45953</v>
      </c>
      <c r="B47" s="9" t="s">
        <v>6</v>
      </c>
      <c r="C47" s="10">
        <v>880</v>
      </c>
      <c r="D47" s="10">
        <f t="shared" si="0"/>
        <v>220</v>
      </c>
    </row>
    <row r="48" spans="1:4" x14ac:dyDescent="0.25">
      <c r="A48" s="8">
        <v>45953</v>
      </c>
      <c r="B48" s="9" t="s">
        <v>178</v>
      </c>
      <c r="C48" s="10">
        <v>-880</v>
      </c>
      <c r="D48" s="10">
        <f t="shared" si="0"/>
        <v>-660</v>
      </c>
    </row>
    <row r="49" spans="1:5" x14ac:dyDescent="0.25">
      <c r="A49" s="8">
        <v>45957</v>
      </c>
      <c r="B49" s="9" t="s">
        <v>6</v>
      </c>
      <c r="C49" s="10">
        <v>2560</v>
      </c>
      <c r="D49" s="10">
        <f t="shared" si="0"/>
        <v>1900</v>
      </c>
    </row>
    <row r="50" spans="1:5" x14ac:dyDescent="0.25">
      <c r="A50" s="8">
        <v>45957</v>
      </c>
      <c r="B50" s="9" t="s">
        <v>92</v>
      </c>
      <c r="C50" s="10">
        <v>-2560</v>
      </c>
      <c r="D50" s="10">
        <f t="shared" si="0"/>
        <v>-660</v>
      </c>
    </row>
    <row r="51" spans="1:5" x14ac:dyDescent="0.25">
      <c r="A51" s="8">
        <v>45958</v>
      </c>
      <c r="B51" s="9" t="s">
        <v>6</v>
      </c>
      <c r="C51" s="10">
        <v>1400</v>
      </c>
      <c r="D51" s="10">
        <f t="shared" si="0"/>
        <v>740</v>
      </c>
    </row>
    <row r="52" spans="1:5" x14ac:dyDescent="0.25">
      <c r="A52" s="8">
        <v>45960</v>
      </c>
      <c r="B52" s="9" t="s">
        <v>6</v>
      </c>
      <c r="C52" s="10">
        <v>4350</v>
      </c>
      <c r="D52" s="10">
        <f t="shared" si="0"/>
        <v>5090</v>
      </c>
    </row>
    <row r="53" spans="1:5" x14ac:dyDescent="0.25">
      <c r="A53" s="8">
        <v>45960</v>
      </c>
      <c r="B53" s="9" t="s">
        <v>92</v>
      </c>
      <c r="C53" s="10">
        <v>-2500</v>
      </c>
      <c r="D53" s="10">
        <f t="shared" si="0"/>
        <v>2590</v>
      </c>
    </row>
    <row r="54" spans="1:5" x14ac:dyDescent="0.25">
      <c r="A54" s="8">
        <v>45967</v>
      </c>
      <c r="B54" s="9" t="s">
        <v>6</v>
      </c>
      <c r="C54" s="10">
        <v>1720</v>
      </c>
      <c r="D54" s="10">
        <f t="shared" si="0"/>
        <v>4310</v>
      </c>
    </row>
    <row r="55" spans="1:5" x14ac:dyDescent="0.25">
      <c r="A55" s="8">
        <v>45967</v>
      </c>
      <c r="B55" s="9" t="s">
        <v>92</v>
      </c>
      <c r="C55" s="10">
        <v>-5000</v>
      </c>
      <c r="D55" s="10">
        <f t="shared" si="0"/>
        <v>-690</v>
      </c>
    </row>
    <row r="56" spans="1:5" x14ac:dyDescent="0.25">
      <c r="A56" s="8">
        <v>45974</v>
      </c>
      <c r="B56" s="9" t="s">
        <v>6</v>
      </c>
      <c r="C56" s="10">
        <v>1540</v>
      </c>
      <c r="D56" s="10">
        <f t="shared" si="0"/>
        <v>850</v>
      </c>
    </row>
    <row r="57" spans="1:5" x14ac:dyDescent="0.25">
      <c r="A57" s="8">
        <v>45982</v>
      </c>
      <c r="B57" s="9" t="s">
        <v>6</v>
      </c>
      <c r="C57" s="10">
        <v>1640</v>
      </c>
      <c r="D57" s="10">
        <f t="shared" si="0"/>
        <v>2490</v>
      </c>
    </row>
    <row r="58" spans="1:5" x14ac:dyDescent="0.25">
      <c r="A58" s="8">
        <v>45982</v>
      </c>
      <c r="B58" s="9" t="s">
        <v>92</v>
      </c>
      <c r="C58" s="10">
        <v>-1640</v>
      </c>
      <c r="D58" s="10">
        <f t="shared" si="0"/>
        <v>850</v>
      </c>
      <c r="E58" t="s">
        <v>247</v>
      </c>
    </row>
    <row r="59" spans="1:5" x14ac:dyDescent="0.25">
      <c r="A59" s="8">
        <v>46006</v>
      </c>
      <c r="B59" s="9" t="s">
        <v>6</v>
      </c>
      <c r="C59" s="10">
        <v>1270</v>
      </c>
      <c r="D59" s="10">
        <f t="shared" si="0"/>
        <v>2120</v>
      </c>
    </row>
    <row r="60" spans="1:5" x14ac:dyDescent="0.25">
      <c r="A60" s="8">
        <v>46006</v>
      </c>
      <c r="B60" s="9" t="s">
        <v>92</v>
      </c>
      <c r="C60" s="10">
        <v>-1270</v>
      </c>
      <c r="D60" s="10">
        <f t="shared" si="0"/>
        <v>850</v>
      </c>
    </row>
    <row r="61" spans="1:5" x14ac:dyDescent="0.25">
      <c r="A61" s="8">
        <v>46017</v>
      </c>
      <c r="B61" s="9" t="s">
        <v>6</v>
      </c>
      <c r="C61" s="10">
        <v>2360</v>
      </c>
      <c r="D61" s="10">
        <f t="shared" si="0"/>
        <v>3210</v>
      </c>
    </row>
    <row r="62" spans="1:5" x14ac:dyDescent="0.25">
      <c r="A62" s="8">
        <v>46017</v>
      </c>
      <c r="B62" s="9" t="s">
        <v>92</v>
      </c>
      <c r="C62" s="10">
        <v>-4500</v>
      </c>
      <c r="D62" s="10">
        <f t="shared" si="0"/>
        <v>-1290</v>
      </c>
    </row>
    <row r="63" spans="1:5" x14ac:dyDescent="0.25">
      <c r="A63" s="8">
        <v>46030</v>
      </c>
      <c r="B63" s="9" t="s">
        <v>6</v>
      </c>
      <c r="C63" s="10">
        <v>1430</v>
      </c>
      <c r="D63" s="10">
        <f t="shared" si="0"/>
        <v>140</v>
      </c>
    </row>
    <row r="64" spans="1:5" x14ac:dyDescent="0.25">
      <c r="A64" s="8">
        <v>46037</v>
      </c>
      <c r="B64" s="9" t="s">
        <v>178</v>
      </c>
      <c r="C64" s="10">
        <v>-1430</v>
      </c>
      <c r="D64" s="10">
        <f t="shared" si="0"/>
        <v>-1290</v>
      </c>
    </row>
    <row r="65" spans="1:5" x14ac:dyDescent="0.25">
      <c r="A65" s="8">
        <v>46044</v>
      </c>
      <c r="B65" s="9" t="s">
        <v>6</v>
      </c>
      <c r="C65" s="10">
        <v>1150</v>
      </c>
      <c r="D65" s="10">
        <f t="shared" si="0"/>
        <v>-140</v>
      </c>
    </row>
    <row r="66" spans="1:5" x14ac:dyDescent="0.25">
      <c r="A66" s="8">
        <v>46044</v>
      </c>
      <c r="B66" s="9" t="s">
        <v>178</v>
      </c>
      <c r="C66" s="10">
        <v>-1150</v>
      </c>
      <c r="D66" s="10">
        <f t="shared" si="0"/>
        <v>-1290</v>
      </c>
    </row>
    <row r="67" spans="1:5" x14ac:dyDescent="0.25">
      <c r="A67" s="8">
        <v>46048</v>
      </c>
      <c r="B67" s="9" t="s">
        <v>6</v>
      </c>
      <c r="C67" s="10">
        <v>4500</v>
      </c>
      <c r="D67" s="10">
        <f t="shared" si="0"/>
        <v>3210</v>
      </c>
    </row>
    <row r="68" spans="1:5" x14ac:dyDescent="0.25">
      <c r="A68" s="8">
        <v>46048</v>
      </c>
      <c r="B68" s="9" t="s">
        <v>179</v>
      </c>
      <c r="C68" s="10">
        <v>-4500</v>
      </c>
      <c r="D68" s="10">
        <f t="shared" si="0"/>
        <v>-1290</v>
      </c>
    </row>
    <row r="69" spans="1:5" x14ac:dyDescent="0.25">
      <c r="A69" s="8">
        <v>46059</v>
      </c>
      <c r="B69" s="9" t="s">
        <v>6</v>
      </c>
      <c r="C69" s="10">
        <v>2290</v>
      </c>
      <c r="D69" s="10">
        <f t="shared" si="0"/>
        <v>1000</v>
      </c>
    </row>
    <row r="70" spans="1:5" x14ac:dyDescent="0.25">
      <c r="A70" s="8">
        <v>46066</v>
      </c>
      <c r="B70" s="9" t="s">
        <v>178</v>
      </c>
      <c r="C70" s="10">
        <v>-1000</v>
      </c>
      <c r="D70" s="10">
        <f t="shared" si="0"/>
        <v>0</v>
      </c>
    </row>
    <row r="71" spans="1:5" x14ac:dyDescent="0.25">
      <c r="A71" s="8">
        <v>46066</v>
      </c>
      <c r="B71" s="9" t="s">
        <v>3</v>
      </c>
      <c r="C71" s="10"/>
      <c r="D71" s="10">
        <f t="shared" si="0"/>
        <v>0</v>
      </c>
    </row>
    <row r="72" spans="1:5" x14ac:dyDescent="0.25">
      <c r="A72" s="8">
        <v>46065</v>
      </c>
      <c r="B72" s="9" t="s">
        <v>3</v>
      </c>
      <c r="C72" s="10">
        <v>6820</v>
      </c>
      <c r="D72" s="10">
        <f t="shared" si="0"/>
        <v>6820</v>
      </c>
    </row>
    <row r="73" spans="1:5" x14ac:dyDescent="0.25">
      <c r="A73" s="8">
        <v>46066</v>
      </c>
      <c r="B73" s="9" t="s">
        <v>325</v>
      </c>
      <c r="C73" s="10">
        <v>-6820</v>
      </c>
      <c r="D73" s="10">
        <f t="shared" si="0"/>
        <v>0</v>
      </c>
      <c r="E73" t="s">
        <v>326</v>
      </c>
    </row>
    <row r="74" spans="1:5" x14ac:dyDescent="0.25">
      <c r="A74" s="8">
        <v>46072</v>
      </c>
      <c r="B74" s="9" t="s">
        <v>3</v>
      </c>
      <c r="C74" s="10">
        <v>2530</v>
      </c>
      <c r="D74" s="10">
        <f t="shared" si="0"/>
        <v>2530</v>
      </c>
    </row>
    <row r="75" spans="1:5" x14ac:dyDescent="0.25">
      <c r="A75" s="8">
        <v>46072</v>
      </c>
      <c r="B75" s="9" t="s">
        <v>178</v>
      </c>
      <c r="C75" s="10">
        <v>-1000</v>
      </c>
      <c r="D75" s="10">
        <f t="shared" si="0"/>
        <v>1530</v>
      </c>
    </row>
    <row r="76" spans="1:5" x14ac:dyDescent="0.25">
      <c r="A76" s="8">
        <v>46083</v>
      </c>
      <c r="B76" s="9" t="s">
        <v>3</v>
      </c>
      <c r="C76" s="10">
        <v>680</v>
      </c>
      <c r="D76" s="10">
        <f t="shared" ref="D76:D139" si="1">D75+C76</f>
        <v>2210</v>
      </c>
    </row>
    <row r="77" spans="1:5" x14ac:dyDescent="0.25">
      <c r="A77" s="8">
        <v>46083</v>
      </c>
      <c r="B77" s="9" t="s">
        <v>178</v>
      </c>
      <c r="C77" s="10">
        <v>-2000</v>
      </c>
      <c r="D77" s="10">
        <f t="shared" si="1"/>
        <v>210</v>
      </c>
    </row>
    <row r="78" spans="1:5" x14ac:dyDescent="0.25">
      <c r="A78" s="8">
        <v>46086</v>
      </c>
      <c r="B78" s="9" t="s">
        <v>3</v>
      </c>
      <c r="C78" s="10">
        <v>1950</v>
      </c>
      <c r="D78" s="10">
        <f t="shared" si="1"/>
        <v>2160</v>
      </c>
    </row>
    <row r="79" spans="1:5" x14ac:dyDescent="0.25">
      <c r="A79" s="8">
        <v>46086</v>
      </c>
      <c r="B79" s="9" t="s">
        <v>178</v>
      </c>
      <c r="C79" s="10">
        <v>-2000</v>
      </c>
      <c r="D79" s="10">
        <f t="shared" si="1"/>
        <v>160</v>
      </c>
    </row>
    <row r="80" spans="1:5" x14ac:dyDescent="0.25">
      <c r="A80" s="8">
        <v>46093</v>
      </c>
      <c r="B80" s="9" t="s">
        <v>3</v>
      </c>
      <c r="C80" s="10">
        <v>830</v>
      </c>
      <c r="D80" s="10">
        <f t="shared" si="1"/>
        <v>990</v>
      </c>
    </row>
    <row r="81" spans="1:4" x14ac:dyDescent="0.25">
      <c r="A81" s="8">
        <v>46111</v>
      </c>
      <c r="B81" s="9" t="s">
        <v>3</v>
      </c>
      <c r="C81" s="10">
        <v>1540</v>
      </c>
      <c r="D81" s="10">
        <f t="shared" si="1"/>
        <v>2530</v>
      </c>
    </row>
    <row r="82" spans="1:4" x14ac:dyDescent="0.25">
      <c r="A82" s="8">
        <v>46111</v>
      </c>
      <c r="B82" s="9" t="s">
        <v>178</v>
      </c>
      <c r="C82" s="10">
        <v>-1540</v>
      </c>
      <c r="D82" s="10">
        <f t="shared" si="1"/>
        <v>990</v>
      </c>
    </row>
    <row r="83" spans="1:4" x14ac:dyDescent="0.25">
      <c r="A83" s="8">
        <v>46118</v>
      </c>
      <c r="B83" s="9" t="s">
        <v>3</v>
      </c>
      <c r="C83" s="10">
        <v>1590</v>
      </c>
      <c r="D83" s="10">
        <f t="shared" si="1"/>
        <v>2580</v>
      </c>
    </row>
    <row r="84" spans="1:4" x14ac:dyDescent="0.25">
      <c r="A84" s="8">
        <v>46118</v>
      </c>
      <c r="B84" s="9" t="s">
        <v>178</v>
      </c>
      <c r="C84" s="10">
        <v>-1700</v>
      </c>
      <c r="D84" s="10">
        <f t="shared" si="1"/>
        <v>880</v>
      </c>
    </row>
    <row r="85" spans="1:4" x14ac:dyDescent="0.25">
      <c r="A85" s="8">
        <v>46121</v>
      </c>
      <c r="B85" s="9" t="s">
        <v>3</v>
      </c>
      <c r="C85" s="10">
        <v>1100</v>
      </c>
      <c r="D85" s="10">
        <f t="shared" si="1"/>
        <v>1980</v>
      </c>
    </row>
    <row r="86" spans="1:4" x14ac:dyDescent="0.25">
      <c r="A86" s="8">
        <v>46121</v>
      </c>
      <c r="B86" s="9" t="s">
        <v>178</v>
      </c>
      <c r="C86" s="10">
        <v>-1300</v>
      </c>
      <c r="D86" s="10">
        <f t="shared" si="1"/>
        <v>680</v>
      </c>
    </row>
    <row r="87" spans="1:4" x14ac:dyDescent="0.25">
      <c r="A87" s="8">
        <v>46125</v>
      </c>
      <c r="B87" s="9" t="s">
        <v>3</v>
      </c>
      <c r="C87" s="10">
        <v>1410</v>
      </c>
      <c r="D87" s="10">
        <f t="shared" si="1"/>
        <v>2090</v>
      </c>
    </row>
    <row r="88" spans="1:4" x14ac:dyDescent="0.25">
      <c r="A88" s="8">
        <v>46128</v>
      </c>
      <c r="B88" s="9" t="s">
        <v>3</v>
      </c>
      <c r="C88" s="10">
        <v>2010</v>
      </c>
      <c r="D88" s="10">
        <f t="shared" si="1"/>
        <v>4100</v>
      </c>
    </row>
    <row r="89" spans="1:4" x14ac:dyDescent="0.25">
      <c r="A89" s="8">
        <v>46128</v>
      </c>
      <c r="B89" s="9" t="s">
        <v>178</v>
      </c>
      <c r="C89" s="10">
        <v>-3420</v>
      </c>
      <c r="D89" s="10">
        <f t="shared" si="1"/>
        <v>680</v>
      </c>
    </row>
    <row r="90" spans="1:4" x14ac:dyDescent="0.25">
      <c r="A90" s="8">
        <v>46139</v>
      </c>
      <c r="B90" s="9" t="s">
        <v>3</v>
      </c>
      <c r="C90" s="10">
        <v>1030</v>
      </c>
      <c r="D90" s="10">
        <f t="shared" si="1"/>
        <v>1710</v>
      </c>
    </row>
    <row r="91" spans="1:4" x14ac:dyDescent="0.25">
      <c r="A91" s="8">
        <v>46139</v>
      </c>
      <c r="B91" s="9" t="s">
        <v>409</v>
      </c>
      <c r="C91" s="10">
        <v>-1030</v>
      </c>
      <c r="D91" s="10">
        <f t="shared" si="1"/>
        <v>680</v>
      </c>
    </row>
    <row r="92" spans="1:4" x14ac:dyDescent="0.25">
      <c r="A92" s="8">
        <v>46156</v>
      </c>
      <c r="B92" s="9" t="s">
        <v>3</v>
      </c>
      <c r="C92" s="10">
        <v>1210</v>
      </c>
      <c r="D92" s="10">
        <f t="shared" si="1"/>
        <v>1890</v>
      </c>
    </row>
    <row r="93" spans="1:4" x14ac:dyDescent="0.25">
      <c r="A93" s="8">
        <v>46157</v>
      </c>
      <c r="B93" s="9" t="s">
        <v>127</v>
      </c>
      <c r="C93" s="10">
        <v>-1640</v>
      </c>
      <c r="D93" s="10">
        <f t="shared" si="1"/>
        <v>250</v>
      </c>
    </row>
    <row r="94" spans="1:4" x14ac:dyDescent="0.25">
      <c r="A94" s="8">
        <v>46163</v>
      </c>
      <c r="B94" s="9" t="s">
        <v>3</v>
      </c>
      <c r="C94" s="10">
        <v>1290</v>
      </c>
      <c r="D94" s="10">
        <f t="shared" si="1"/>
        <v>1540</v>
      </c>
    </row>
    <row r="95" spans="1:4" x14ac:dyDescent="0.25">
      <c r="A95" s="8">
        <v>46163</v>
      </c>
      <c r="B95" s="9" t="s">
        <v>196</v>
      </c>
      <c r="C95" s="10">
        <v>-1540</v>
      </c>
      <c r="D95" s="10">
        <f t="shared" si="1"/>
        <v>0</v>
      </c>
    </row>
    <row r="96" spans="1:4" x14ac:dyDescent="0.25">
      <c r="A96" s="8">
        <v>46177</v>
      </c>
      <c r="B96" s="9" t="s">
        <v>3</v>
      </c>
      <c r="C96" s="10">
        <v>770</v>
      </c>
      <c r="D96" s="10">
        <f t="shared" si="1"/>
        <v>770</v>
      </c>
    </row>
    <row r="97" spans="1:4" x14ac:dyDescent="0.25">
      <c r="A97" s="8">
        <v>46177</v>
      </c>
      <c r="B97" s="9" t="s">
        <v>178</v>
      </c>
      <c r="C97" s="10">
        <v>-770</v>
      </c>
      <c r="D97" s="10">
        <f t="shared" si="1"/>
        <v>0</v>
      </c>
    </row>
    <row r="98" spans="1:4" x14ac:dyDescent="0.25">
      <c r="A98" s="8">
        <v>46184</v>
      </c>
      <c r="B98" s="9" t="s">
        <v>3</v>
      </c>
      <c r="C98" s="10">
        <v>940</v>
      </c>
      <c r="D98" s="10">
        <f t="shared" si="1"/>
        <v>940</v>
      </c>
    </row>
    <row r="99" spans="1:4" x14ac:dyDescent="0.25">
      <c r="A99" s="8">
        <v>46188</v>
      </c>
      <c r="B99" s="9" t="s">
        <v>3</v>
      </c>
      <c r="C99" s="10">
        <v>1170</v>
      </c>
      <c r="D99" s="10">
        <f t="shared" si="1"/>
        <v>2110</v>
      </c>
    </row>
    <row r="100" spans="1:4" x14ac:dyDescent="0.25">
      <c r="A100" s="8">
        <v>46188</v>
      </c>
      <c r="B100" s="9" t="s">
        <v>178</v>
      </c>
      <c r="C100" s="10">
        <v>-1130</v>
      </c>
      <c r="D100" s="10">
        <f t="shared" si="1"/>
        <v>980</v>
      </c>
    </row>
    <row r="101" spans="1:4" x14ac:dyDescent="0.25">
      <c r="A101" s="8">
        <v>46188</v>
      </c>
      <c r="B101" s="9" t="s">
        <v>127</v>
      </c>
      <c r="C101" s="10">
        <v>-980</v>
      </c>
      <c r="D101" s="10">
        <f t="shared" si="1"/>
        <v>0</v>
      </c>
    </row>
    <row r="102" spans="1:4" x14ac:dyDescent="0.25">
      <c r="A102" s="8">
        <v>46191</v>
      </c>
      <c r="B102" s="9" t="s">
        <v>3</v>
      </c>
      <c r="C102" s="10">
        <v>2230</v>
      </c>
      <c r="D102" s="10">
        <f t="shared" si="1"/>
        <v>2230</v>
      </c>
    </row>
    <row r="103" spans="1:4" x14ac:dyDescent="0.25">
      <c r="A103" s="8">
        <v>46198</v>
      </c>
      <c r="B103" s="9" t="s">
        <v>3</v>
      </c>
      <c r="C103" s="10">
        <v>950</v>
      </c>
      <c r="D103" s="10">
        <f t="shared" si="1"/>
        <v>3180</v>
      </c>
    </row>
    <row r="104" spans="1:4" x14ac:dyDescent="0.25">
      <c r="A104" s="8">
        <v>46198</v>
      </c>
      <c r="B104" s="9" t="s">
        <v>178</v>
      </c>
      <c r="C104" s="10">
        <v>-3180</v>
      </c>
      <c r="D104" s="10">
        <f t="shared" si="1"/>
        <v>0</v>
      </c>
    </row>
    <row r="105" spans="1:4" x14ac:dyDescent="0.25">
      <c r="A105" s="8">
        <v>46205</v>
      </c>
      <c r="B105" s="9" t="s">
        <v>3</v>
      </c>
      <c r="C105" s="10">
        <v>1000</v>
      </c>
      <c r="D105" s="10">
        <f t="shared" si="1"/>
        <v>1000</v>
      </c>
    </row>
    <row r="106" spans="1:4" x14ac:dyDescent="0.25">
      <c r="A106" s="8">
        <v>46205</v>
      </c>
      <c r="B106" s="9" t="s">
        <v>178</v>
      </c>
      <c r="C106" s="10">
        <v>-1000</v>
      </c>
      <c r="D106" s="10">
        <f t="shared" si="1"/>
        <v>0</v>
      </c>
    </row>
    <row r="107" spans="1:4" x14ac:dyDescent="0.25">
      <c r="A107" s="8">
        <v>46212</v>
      </c>
      <c r="B107" s="9" t="s">
        <v>3</v>
      </c>
      <c r="C107" s="10">
        <v>1030</v>
      </c>
      <c r="D107" s="10">
        <f t="shared" si="1"/>
        <v>1030</v>
      </c>
    </row>
    <row r="108" spans="1:4" x14ac:dyDescent="0.25">
      <c r="A108" s="8">
        <v>46212</v>
      </c>
      <c r="B108" s="9" t="s">
        <v>178</v>
      </c>
      <c r="C108" s="10">
        <v>-1030</v>
      </c>
      <c r="D108" s="10">
        <f t="shared" si="1"/>
        <v>0</v>
      </c>
    </row>
    <row r="109" spans="1:4" x14ac:dyDescent="0.25">
      <c r="A109" s="8">
        <v>46216</v>
      </c>
      <c r="B109" s="9" t="s">
        <v>3</v>
      </c>
      <c r="C109" s="10">
        <v>1820</v>
      </c>
      <c r="D109" s="10">
        <f t="shared" si="1"/>
        <v>1820</v>
      </c>
    </row>
    <row r="110" spans="1:4" x14ac:dyDescent="0.25">
      <c r="A110" s="8">
        <v>46216</v>
      </c>
      <c r="B110" s="9" t="s">
        <v>178</v>
      </c>
      <c r="C110" s="10">
        <v>-1820</v>
      </c>
      <c r="D110" s="10">
        <f t="shared" si="1"/>
        <v>0</v>
      </c>
    </row>
    <row r="111" spans="1:4" x14ac:dyDescent="0.25">
      <c r="A111" s="8">
        <v>46219</v>
      </c>
      <c r="B111" s="9" t="s">
        <v>3</v>
      </c>
      <c r="C111" s="10">
        <v>1990</v>
      </c>
      <c r="D111" s="10">
        <f t="shared" si="1"/>
        <v>1990</v>
      </c>
    </row>
    <row r="112" spans="1:4" x14ac:dyDescent="0.25">
      <c r="A112" s="8">
        <v>46219</v>
      </c>
      <c r="B112" s="9" t="s">
        <v>178</v>
      </c>
      <c r="C112" s="10">
        <v>-1990</v>
      </c>
      <c r="D112" s="10">
        <f t="shared" si="1"/>
        <v>0</v>
      </c>
    </row>
    <row r="113" spans="1:4" x14ac:dyDescent="0.25">
      <c r="A113" s="8">
        <v>46233</v>
      </c>
      <c r="B113" s="9" t="s">
        <v>3</v>
      </c>
      <c r="C113" s="10">
        <v>2440</v>
      </c>
      <c r="D113" s="10">
        <f t="shared" si="1"/>
        <v>2440</v>
      </c>
    </row>
    <row r="114" spans="1:4" x14ac:dyDescent="0.25">
      <c r="A114" s="8">
        <v>46233</v>
      </c>
      <c r="B114" s="9" t="s">
        <v>178</v>
      </c>
      <c r="C114" s="10">
        <v>-2440</v>
      </c>
      <c r="D114" s="10">
        <f t="shared" si="1"/>
        <v>0</v>
      </c>
    </row>
    <row r="115" spans="1:4" x14ac:dyDescent="0.25">
      <c r="A115" s="8">
        <v>46240</v>
      </c>
      <c r="B115" s="9" t="s">
        <v>3</v>
      </c>
      <c r="C115" s="10">
        <v>4010</v>
      </c>
      <c r="D115" s="10">
        <f t="shared" si="1"/>
        <v>4010</v>
      </c>
    </row>
    <row r="116" spans="1:4" x14ac:dyDescent="0.25">
      <c r="A116" s="8">
        <v>46240</v>
      </c>
      <c r="B116" s="9" t="s">
        <v>178</v>
      </c>
      <c r="C116" s="10">
        <v>-4010</v>
      </c>
      <c r="D116" s="10">
        <f t="shared" si="1"/>
        <v>0</v>
      </c>
    </row>
    <row r="117" spans="1:4" x14ac:dyDescent="0.25">
      <c r="A117" s="8">
        <v>46247</v>
      </c>
      <c r="B117" s="9" t="s">
        <v>3</v>
      </c>
      <c r="C117" s="10">
        <v>3870</v>
      </c>
      <c r="D117" s="10">
        <f t="shared" si="1"/>
        <v>3870</v>
      </c>
    </row>
    <row r="118" spans="1:4" x14ac:dyDescent="0.25">
      <c r="A118" s="8">
        <v>46251</v>
      </c>
      <c r="B118" s="9" t="s">
        <v>3</v>
      </c>
      <c r="C118" s="10">
        <v>1790</v>
      </c>
      <c r="D118" s="10">
        <f t="shared" si="1"/>
        <v>5660</v>
      </c>
    </row>
    <row r="119" spans="1:4" x14ac:dyDescent="0.25">
      <c r="A119" s="8">
        <v>46251</v>
      </c>
      <c r="B119" s="9" t="s">
        <v>178</v>
      </c>
      <c r="C119" s="10">
        <v>-4000</v>
      </c>
      <c r="D119" s="10">
        <f t="shared" si="1"/>
        <v>1660</v>
      </c>
    </row>
    <row r="120" spans="1:4" x14ac:dyDescent="0.25">
      <c r="A120" s="8">
        <v>46254</v>
      </c>
      <c r="B120" s="9" t="s">
        <v>3</v>
      </c>
      <c r="C120" s="10">
        <v>2530</v>
      </c>
      <c r="D120" s="10">
        <f t="shared" si="1"/>
        <v>4190</v>
      </c>
    </row>
    <row r="121" spans="1:4" x14ac:dyDescent="0.25">
      <c r="A121" s="8">
        <v>46254</v>
      </c>
      <c r="B121" s="9" t="s">
        <v>178</v>
      </c>
      <c r="C121" s="10">
        <v>-2500</v>
      </c>
      <c r="D121" s="10">
        <f t="shared" si="1"/>
        <v>1690</v>
      </c>
    </row>
    <row r="122" spans="1:4" x14ac:dyDescent="0.25">
      <c r="A122" s="8">
        <v>46261</v>
      </c>
      <c r="B122" s="9" t="s">
        <v>3</v>
      </c>
      <c r="C122" s="10">
        <v>1990</v>
      </c>
      <c r="D122" s="10">
        <f t="shared" si="1"/>
        <v>3680</v>
      </c>
    </row>
    <row r="123" spans="1:4" x14ac:dyDescent="0.25">
      <c r="A123" s="8">
        <v>46261</v>
      </c>
      <c r="B123" s="9" t="s">
        <v>178</v>
      </c>
      <c r="C123" s="10">
        <v>-2000</v>
      </c>
      <c r="D123" s="10">
        <f t="shared" si="1"/>
        <v>1680</v>
      </c>
    </row>
    <row r="124" spans="1:4" x14ac:dyDescent="0.25">
      <c r="A124" s="8">
        <v>46265</v>
      </c>
      <c r="B124" s="9" t="s">
        <v>3</v>
      </c>
      <c r="C124" s="10">
        <v>1050</v>
      </c>
      <c r="D124" s="10">
        <f t="shared" si="1"/>
        <v>2730</v>
      </c>
    </row>
    <row r="125" spans="1:4" x14ac:dyDescent="0.25">
      <c r="A125" s="8">
        <v>46265</v>
      </c>
      <c r="B125" s="9" t="s">
        <v>178</v>
      </c>
      <c r="C125" s="10">
        <v>-1500</v>
      </c>
      <c r="D125" s="10">
        <f t="shared" si="1"/>
        <v>1230</v>
      </c>
    </row>
    <row r="126" spans="1:4" x14ac:dyDescent="0.25">
      <c r="A126" s="8">
        <v>46275</v>
      </c>
      <c r="B126" s="9" t="s">
        <v>3</v>
      </c>
      <c r="C126" s="10">
        <v>1800</v>
      </c>
      <c r="D126" s="10">
        <f t="shared" si="1"/>
        <v>3030</v>
      </c>
    </row>
    <row r="127" spans="1:4" x14ac:dyDescent="0.25">
      <c r="A127" s="8">
        <v>46275</v>
      </c>
      <c r="B127" s="9" t="s">
        <v>178</v>
      </c>
      <c r="C127" s="10">
        <v>-1500</v>
      </c>
      <c r="D127" s="10">
        <f t="shared" si="1"/>
        <v>1530</v>
      </c>
    </row>
    <row r="128" spans="1:4" x14ac:dyDescent="0.25">
      <c r="A128" s="8">
        <v>46279</v>
      </c>
      <c r="B128" s="9" t="s">
        <v>3</v>
      </c>
      <c r="C128" s="10">
        <v>2290</v>
      </c>
      <c r="D128" s="10">
        <f t="shared" si="1"/>
        <v>3820</v>
      </c>
    </row>
    <row r="129" spans="1:4" x14ac:dyDescent="0.25">
      <c r="A129" s="8">
        <v>46279</v>
      </c>
      <c r="B129" s="9" t="s">
        <v>178</v>
      </c>
      <c r="C129" s="10">
        <v>-1530</v>
      </c>
      <c r="D129" s="10">
        <f t="shared" si="1"/>
        <v>2290</v>
      </c>
    </row>
    <row r="130" spans="1:4" x14ac:dyDescent="0.25">
      <c r="A130" s="8">
        <v>46282</v>
      </c>
      <c r="B130" s="9" t="s">
        <v>3</v>
      </c>
      <c r="C130" s="10">
        <v>3430</v>
      </c>
      <c r="D130" s="10">
        <f t="shared" si="1"/>
        <v>5720</v>
      </c>
    </row>
    <row r="131" spans="1:4" x14ac:dyDescent="0.25">
      <c r="A131" s="8">
        <v>46282</v>
      </c>
      <c r="B131" s="9" t="s">
        <v>178</v>
      </c>
      <c r="C131" s="10">
        <v>-2500</v>
      </c>
      <c r="D131" s="10">
        <f t="shared" si="1"/>
        <v>3220</v>
      </c>
    </row>
    <row r="132" spans="1:4" x14ac:dyDescent="0.25">
      <c r="A132" s="8">
        <v>46286</v>
      </c>
      <c r="B132" s="9" t="s">
        <v>3</v>
      </c>
      <c r="C132" s="10">
        <v>3050</v>
      </c>
      <c r="D132" s="10">
        <f t="shared" si="1"/>
        <v>6270</v>
      </c>
    </row>
    <row r="133" spans="1:4" x14ac:dyDescent="0.25">
      <c r="A133" s="8">
        <v>46286</v>
      </c>
      <c r="B133" s="9" t="s">
        <v>178</v>
      </c>
      <c r="C133" s="10">
        <v>-3000</v>
      </c>
      <c r="D133" s="10">
        <f t="shared" si="1"/>
        <v>3270</v>
      </c>
    </row>
    <row r="134" spans="1:4" x14ac:dyDescent="0.25">
      <c r="A134" s="8">
        <v>46289</v>
      </c>
      <c r="B134" s="9" t="s">
        <v>3</v>
      </c>
      <c r="C134" s="10">
        <v>1290</v>
      </c>
      <c r="D134" s="10">
        <f t="shared" si="1"/>
        <v>4560</v>
      </c>
    </row>
    <row r="135" spans="1:4" x14ac:dyDescent="0.25">
      <c r="A135" s="8">
        <v>46289</v>
      </c>
      <c r="B135" s="9" t="s">
        <v>178</v>
      </c>
      <c r="C135" s="10">
        <v>-3500</v>
      </c>
      <c r="D135" s="10">
        <f t="shared" si="1"/>
        <v>1060</v>
      </c>
    </row>
    <row r="136" spans="1:4" x14ac:dyDescent="0.25">
      <c r="A136" s="8">
        <v>46296</v>
      </c>
      <c r="B136" s="9" t="s">
        <v>589</v>
      </c>
      <c r="C136" s="10">
        <v>2710</v>
      </c>
      <c r="D136" s="10">
        <f t="shared" si="1"/>
        <v>3770</v>
      </c>
    </row>
    <row r="137" spans="1:4" x14ac:dyDescent="0.25">
      <c r="A137" s="8">
        <v>46297</v>
      </c>
      <c r="B137" s="9" t="s">
        <v>178</v>
      </c>
      <c r="C137" s="10">
        <v>-2000</v>
      </c>
      <c r="D137" s="10">
        <f t="shared" si="1"/>
        <v>1770</v>
      </c>
    </row>
    <row r="138" spans="1:4" x14ac:dyDescent="0.25">
      <c r="A138" s="8">
        <v>46300</v>
      </c>
      <c r="B138" s="9" t="s">
        <v>178</v>
      </c>
      <c r="C138" s="10">
        <v>-2710</v>
      </c>
      <c r="D138" s="10">
        <f t="shared" si="1"/>
        <v>-940</v>
      </c>
    </row>
    <row r="139" spans="1:4" x14ac:dyDescent="0.25">
      <c r="A139" s="8">
        <v>46300</v>
      </c>
      <c r="B139" s="9" t="s">
        <v>589</v>
      </c>
      <c r="C139" s="10">
        <v>2290</v>
      </c>
      <c r="D139" s="10">
        <f t="shared" si="1"/>
        <v>1350</v>
      </c>
    </row>
    <row r="140" spans="1:4" x14ac:dyDescent="0.25">
      <c r="A140" s="9"/>
      <c r="B140" s="9"/>
      <c r="C140" s="10"/>
      <c r="D140" s="10">
        <f t="shared" ref="D140:D141" si="2">D139+C140</f>
        <v>1350</v>
      </c>
    </row>
    <row r="141" spans="1:4" x14ac:dyDescent="0.25">
      <c r="A141" s="9"/>
      <c r="B141" s="9"/>
      <c r="C141" s="10"/>
      <c r="D141" s="10">
        <f t="shared" si="2"/>
        <v>1350</v>
      </c>
    </row>
    <row r="142" spans="1:4" x14ac:dyDescent="0.25">
      <c r="A142" s="9"/>
      <c r="B142" s="9"/>
      <c r="C142" s="10"/>
      <c r="D142" s="10"/>
    </row>
    <row r="143" spans="1:4" x14ac:dyDescent="0.25">
      <c r="A143" s="9"/>
      <c r="B143" s="9"/>
      <c r="C143" s="10"/>
      <c r="D143" s="10"/>
    </row>
    <row r="144" spans="1:4" x14ac:dyDescent="0.25">
      <c r="A144" s="9"/>
      <c r="B144" s="9"/>
      <c r="C144" s="10"/>
      <c r="D144" s="10"/>
    </row>
    <row r="145" spans="1:4" x14ac:dyDescent="0.25">
      <c r="A145" s="9"/>
      <c r="B145" s="9"/>
      <c r="C145" s="10"/>
      <c r="D145" s="10"/>
    </row>
    <row r="146" spans="1:4" x14ac:dyDescent="0.25">
      <c r="A146" s="9"/>
      <c r="B146" s="9"/>
      <c r="C146" s="10"/>
      <c r="D146" s="10"/>
    </row>
    <row r="147" spans="1:4" x14ac:dyDescent="0.25">
      <c r="A147" s="9"/>
      <c r="B147" s="9"/>
      <c r="C147" s="10"/>
      <c r="D147" s="10"/>
    </row>
    <row r="148" spans="1:4" x14ac:dyDescent="0.25">
      <c r="A148" s="9"/>
      <c r="B148" s="9"/>
      <c r="C148" s="10"/>
      <c r="D148" s="10"/>
    </row>
    <row r="149" spans="1:4" x14ac:dyDescent="0.25">
      <c r="A149" s="9"/>
      <c r="B149" s="9"/>
      <c r="C149" s="10"/>
      <c r="D149" s="10"/>
    </row>
    <row r="150" spans="1:4" x14ac:dyDescent="0.25">
      <c r="A150" s="9"/>
      <c r="B150" s="9"/>
      <c r="C150" s="10"/>
      <c r="D150" s="10"/>
    </row>
    <row r="151" spans="1:4" x14ac:dyDescent="0.25">
      <c r="A151" s="9"/>
      <c r="B151" s="9"/>
      <c r="C151" s="10"/>
      <c r="D151" s="10"/>
    </row>
    <row r="152" spans="1:4" x14ac:dyDescent="0.25">
      <c r="A152" s="9"/>
      <c r="B152" s="9"/>
      <c r="C152" s="10"/>
      <c r="D152" s="10"/>
    </row>
    <row r="153" spans="1:4" x14ac:dyDescent="0.25">
      <c r="A153" s="9"/>
      <c r="B153" s="9"/>
      <c r="C153" s="10"/>
      <c r="D153" s="10"/>
    </row>
    <row r="154" spans="1:4" x14ac:dyDescent="0.25">
      <c r="A154" s="9"/>
      <c r="B154" s="9"/>
      <c r="C154" s="10"/>
      <c r="D154" s="10"/>
    </row>
    <row r="155" spans="1:4" x14ac:dyDescent="0.25">
      <c r="A155" s="9"/>
      <c r="B155" s="9"/>
      <c r="C155" s="10"/>
      <c r="D155" s="10"/>
    </row>
    <row r="156" spans="1:4" x14ac:dyDescent="0.25">
      <c r="A156" s="9"/>
      <c r="B156" s="9"/>
      <c r="C156" s="10"/>
      <c r="D156" s="10"/>
    </row>
    <row r="157" spans="1:4" x14ac:dyDescent="0.25">
      <c r="A157" s="9"/>
      <c r="B157" s="9"/>
      <c r="C157" s="10"/>
      <c r="D157" s="10"/>
    </row>
    <row r="158" spans="1:4" x14ac:dyDescent="0.25">
      <c r="A158" s="9"/>
      <c r="B158" s="9"/>
      <c r="C158" s="10"/>
      <c r="D158" s="10"/>
    </row>
    <row r="159" spans="1:4" x14ac:dyDescent="0.25">
      <c r="A159" s="9"/>
      <c r="B159" s="9"/>
      <c r="C159" s="10"/>
      <c r="D159" s="10"/>
    </row>
    <row r="160" spans="1:4" x14ac:dyDescent="0.25">
      <c r="A160" s="9"/>
      <c r="B160" s="9"/>
      <c r="C160" s="10"/>
      <c r="D160" s="10"/>
    </row>
    <row r="161" spans="1:4" x14ac:dyDescent="0.25">
      <c r="A161" s="9"/>
      <c r="B161" s="9"/>
      <c r="C161" s="10"/>
      <c r="D161" s="10"/>
    </row>
    <row r="162" spans="1:4" x14ac:dyDescent="0.25">
      <c r="A162" s="9"/>
      <c r="B162" s="9"/>
      <c r="C162" s="10"/>
      <c r="D162" s="10"/>
    </row>
    <row r="163" spans="1:4" x14ac:dyDescent="0.25">
      <c r="A163" s="9"/>
      <c r="B163" s="9"/>
      <c r="C163" s="10"/>
      <c r="D163" s="10"/>
    </row>
    <row r="164" spans="1:4" x14ac:dyDescent="0.25">
      <c r="A164" s="9"/>
      <c r="B164" s="9"/>
      <c r="C164" s="10"/>
      <c r="D164" s="10"/>
    </row>
    <row r="165" spans="1:4" x14ac:dyDescent="0.25">
      <c r="A165" s="9"/>
      <c r="B165" s="9"/>
      <c r="C165" s="10"/>
      <c r="D165" s="10"/>
    </row>
    <row r="166" spans="1:4" x14ac:dyDescent="0.25">
      <c r="A166" s="9"/>
      <c r="B166" s="9"/>
      <c r="C166" s="10"/>
      <c r="D166" s="10"/>
    </row>
    <row r="167" spans="1:4" x14ac:dyDescent="0.25">
      <c r="A167" s="9"/>
      <c r="B167" s="9"/>
      <c r="C167" s="10"/>
      <c r="D167" s="10"/>
    </row>
    <row r="168" spans="1:4" x14ac:dyDescent="0.25">
      <c r="A168" s="9"/>
      <c r="B168" s="9"/>
      <c r="C168" s="10"/>
      <c r="D168" s="10"/>
    </row>
    <row r="169" spans="1:4" x14ac:dyDescent="0.25">
      <c r="A169" s="9"/>
      <c r="B169" s="9"/>
      <c r="C169" s="10"/>
      <c r="D169" s="10"/>
    </row>
    <row r="170" spans="1:4" x14ac:dyDescent="0.25">
      <c r="A170" s="9"/>
      <c r="B170" s="9"/>
      <c r="C170" s="10"/>
      <c r="D170" s="10"/>
    </row>
    <row r="171" spans="1:4" x14ac:dyDescent="0.25">
      <c r="A171" s="9"/>
      <c r="B171" s="9"/>
      <c r="C171" s="10"/>
      <c r="D171" s="10"/>
    </row>
    <row r="172" spans="1:4" x14ac:dyDescent="0.25">
      <c r="A172" s="9"/>
      <c r="B172" s="9"/>
      <c r="C172" s="10"/>
      <c r="D172" s="10"/>
    </row>
    <row r="173" spans="1:4" x14ac:dyDescent="0.25">
      <c r="A173" s="9"/>
      <c r="B173" s="9"/>
      <c r="C173" s="10"/>
      <c r="D173" s="10"/>
    </row>
    <row r="174" spans="1:4" x14ac:dyDescent="0.25">
      <c r="A174" s="9"/>
      <c r="B174" s="9"/>
      <c r="C174" s="10"/>
      <c r="D174" s="10"/>
    </row>
    <row r="175" spans="1:4" x14ac:dyDescent="0.25">
      <c r="A175" s="9"/>
      <c r="B175" s="9"/>
      <c r="C175" s="10"/>
      <c r="D175" s="10"/>
    </row>
    <row r="176" spans="1:4" x14ac:dyDescent="0.25">
      <c r="A176" s="9"/>
      <c r="B176" s="9"/>
      <c r="C176" s="10"/>
      <c r="D176" s="10"/>
    </row>
    <row r="177" spans="1:4" x14ac:dyDescent="0.25">
      <c r="A177" s="9"/>
      <c r="B177" s="9"/>
      <c r="C177" s="10"/>
      <c r="D177" s="10"/>
    </row>
    <row r="178" spans="1:4" x14ac:dyDescent="0.25">
      <c r="A178" s="9"/>
      <c r="B178" s="9"/>
      <c r="C178" s="10"/>
      <c r="D178" s="10"/>
    </row>
    <row r="179" spans="1:4" x14ac:dyDescent="0.25">
      <c r="A179" s="9"/>
      <c r="B179" s="9"/>
      <c r="C179" s="10"/>
      <c r="D179" s="10"/>
    </row>
    <row r="180" spans="1:4" x14ac:dyDescent="0.25">
      <c r="A180" s="9"/>
      <c r="B180" s="9"/>
      <c r="C180" s="10"/>
      <c r="D180" s="10"/>
    </row>
    <row r="181" spans="1:4" x14ac:dyDescent="0.25">
      <c r="A181" s="9"/>
      <c r="B181" s="9"/>
      <c r="C181" s="10"/>
      <c r="D181" s="10"/>
    </row>
    <row r="182" spans="1:4" x14ac:dyDescent="0.25">
      <c r="A182" s="9"/>
      <c r="B182" s="9"/>
      <c r="C182" s="10"/>
      <c r="D182" s="10"/>
    </row>
    <row r="183" spans="1:4" x14ac:dyDescent="0.25">
      <c r="A183" s="9"/>
      <c r="B183" s="9"/>
      <c r="C183" s="10"/>
      <c r="D183" s="10"/>
    </row>
    <row r="184" spans="1:4" x14ac:dyDescent="0.25">
      <c r="A184" s="9"/>
      <c r="B184" s="9"/>
      <c r="C184" s="10"/>
      <c r="D184" s="10"/>
    </row>
    <row r="185" spans="1:4" x14ac:dyDescent="0.25">
      <c r="A185" s="9"/>
      <c r="B185" s="9"/>
      <c r="C185" s="10"/>
      <c r="D185" s="10"/>
    </row>
    <row r="186" spans="1:4" x14ac:dyDescent="0.25">
      <c r="A186" s="9"/>
      <c r="B186" s="9"/>
      <c r="C186" s="10"/>
      <c r="D186" s="10"/>
    </row>
  </sheetData>
  <mergeCells count="2">
    <mergeCell ref="A4:D4"/>
    <mergeCell ref="B6:D6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A9392-4EB0-4EB2-9ABA-7ABA74808B96}">
  <sheetPr>
    <tabColor theme="2"/>
  </sheetPr>
  <dimension ref="A4:J219"/>
  <sheetViews>
    <sheetView topLeftCell="A190" workbookViewId="0">
      <selection activeCell="E216" sqref="E216"/>
    </sheetView>
  </sheetViews>
  <sheetFormatPr baseColWidth="10" defaultRowHeight="15" x14ac:dyDescent="0.25"/>
  <cols>
    <col min="1" max="1" width="28.28515625" customWidth="1"/>
    <col min="2" max="2" width="27.140625" customWidth="1"/>
    <col min="3" max="3" width="23.42578125" style="6" customWidth="1"/>
    <col min="4" max="4" width="21.85546875" style="6" customWidth="1"/>
  </cols>
  <sheetData>
    <row r="4" spans="1:7" ht="18" x14ac:dyDescent="0.25">
      <c r="A4" s="98" t="s">
        <v>0</v>
      </c>
      <c r="B4" s="98"/>
      <c r="C4" s="98"/>
      <c r="D4" s="98"/>
      <c r="E4" s="1"/>
      <c r="F4" s="1"/>
      <c r="G4" s="1"/>
    </row>
    <row r="6" spans="1:7" x14ac:dyDescent="0.25">
      <c r="A6" s="2" t="s">
        <v>1</v>
      </c>
      <c r="B6" s="96" t="s">
        <v>30</v>
      </c>
      <c r="C6" s="97"/>
      <c r="D6" s="97"/>
    </row>
    <row r="7" spans="1:7" x14ac:dyDescent="0.25">
      <c r="A7" s="3" t="s">
        <v>11</v>
      </c>
      <c r="B7" s="4" t="s">
        <v>27</v>
      </c>
      <c r="C7" s="4"/>
      <c r="D7" s="4"/>
    </row>
    <row r="8" spans="1:7" x14ac:dyDescent="0.25">
      <c r="B8" s="5"/>
    </row>
    <row r="9" spans="1:7" x14ac:dyDescent="0.25">
      <c r="A9" s="2" t="s">
        <v>2</v>
      </c>
      <c r="B9" s="2" t="s">
        <v>3</v>
      </c>
      <c r="C9" s="7" t="s">
        <v>4</v>
      </c>
      <c r="D9" s="7" t="s">
        <v>5</v>
      </c>
    </row>
    <row r="10" spans="1:7" x14ac:dyDescent="0.25">
      <c r="A10" s="8">
        <v>45834</v>
      </c>
      <c r="B10" s="9" t="s">
        <v>6</v>
      </c>
      <c r="C10" s="20">
        <v>7750</v>
      </c>
      <c r="D10" s="10">
        <f>C10</f>
        <v>7750</v>
      </c>
    </row>
    <row r="11" spans="1:7" x14ac:dyDescent="0.25">
      <c r="A11" s="8">
        <v>45838</v>
      </c>
      <c r="B11" s="9" t="s">
        <v>7</v>
      </c>
      <c r="C11" s="20">
        <v>-7750</v>
      </c>
      <c r="D11" s="10">
        <f>D10+C11</f>
        <v>0</v>
      </c>
    </row>
    <row r="12" spans="1:7" x14ac:dyDescent="0.25">
      <c r="A12" s="8">
        <v>45811</v>
      </c>
      <c r="B12" s="9" t="s">
        <v>6</v>
      </c>
      <c r="C12" s="10">
        <v>6260</v>
      </c>
      <c r="D12" s="10">
        <f t="shared" ref="D12:D31" si="0">D11+C12</f>
        <v>6260</v>
      </c>
    </row>
    <row r="13" spans="1:7" x14ac:dyDescent="0.25">
      <c r="A13" s="8">
        <v>45845</v>
      </c>
      <c r="B13" s="9" t="s">
        <v>7</v>
      </c>
      <c r="C13" s="10">
        <v>-6260</v>
      </c>
      <c r="D13" s="10">
        <f t="shared" si="0"/>
        <v>0</v>
      </c>
    </row>
    <row r="14" spans="1:7" x14ac:dyDescent="0.25">
      <c r="A14" s="8">
        <v>45848</v>
      </c>
      <c r="B14" s="9" t="s">
        <v>6</v>
      </c>
      <c r="C14" s="10">
        <v>1200</v>
      </c>
      <c r="D14" s="10">
        <f t="shared" si="0"/>
        <v>1200</v>
      </c>
    </row>
    <row r="15" spans="1:7" x14ac:dyDescent="0.25">
      <c r="A15" s="8">
        <v>45849</v>
      </c>
      <c r="B15" s="9" t="s">
        <v>68</v>
      </c>
      <c r="C15" s="10">
        <v>-1200</v>
      </c>
      <c r="D15" s="11">
        <f t="shared" si="0"/>
        <v>0</v>
      </c>
    </row>
    <row r="16" spans="1:7" x14ac:dyDescent="0.25">
      <c r="A16" s="8">
        <v>45852</v>
      </c>
      <c r="B16" s="9" t="s">
        <v>6</v>
      </c>
      <c r="C16" s="10">
        <v>2310</v>
      </c>
      <c r="D16" s="10">
        <f t="shared" si="0"/>
        <v>2310</v>
      </c>
    </row>
    <row r="17" spans="1:7" x14ac:dyDescent="0.25">
      <c r="A17" s="8">
        <v>45853</v>
      </c>
      <c r="B17" s="9" t="s">
        <v>56</v>
      </c>
      <c r="C17" s="10">
        <v>-2310</v>
      </c>
      <c r="D17" s="10">
        <f t="shared" si="0"/>
        <v>0</v>
      </c>
    </row>
    <row r="18" spans="1:7" x14ac:dyDescent="0.25">
      <c r="A18" s="8">
        <v>45855</v>
      </c>
      <c r="B18" s="9" t="s">
        <v>6</v>
      </c>
      <c r="C18" s="10">
        <v>250</v>
      </c>
      <c r="D18" s="10">
        <f t="shared" si="0"/>
        <v>250</v>
      </c>
    </row>
    <row r="19" spans="1:7" x14ac:dyDescent="0.25">
      <c r="A19" s="8">
        <v>45862</v>
      </c>
      <c r="B19" s="9" t="s">
        <v>6</v>
      </c>
      <c r="C19" s="10">
        <v>1260</v>
      </c>
      <c r="D19" s="10">
        <f t="shared" si="0"/>
        <v>1510</v>
      </c>
    </row>
    <row r="20" spans="1:7" x14ac:dyDescent="0.25">
      <c r="A20" s="8">
        <v>45862</v>
      </c>
      <c r="B20" s="9" t="s">
        <v>7</v>
      </c>
      <c r="C20" s="10">
        <v>-1510</v>
      </c>
      <c r="D20" s="10">
        <f t="shared" si="0"/>
        <v>0</v>
      </c>
    </row>
    <row r="21" spans="1:7" x14ac:dyDescent="0.25">
      <c r="A21" s="8">
        <v>45873</v>
      </c>
      <c r="B21" s="9" t="s">
        <v>6</v>
      </c>
      <c r="C21" s="10">
        <v>1030</v>
      </c>
      <c r="D21" s="10">
        <f t="shared" si="0"/>
        <v>1030</v>
      </c>
    </row>
    <row r="22" spans="1:7" x14ac:dyDescent="0.25">
      <c r="A22" s="8">
        <v>45876</v>
      </c>
      <c r="B22" s="9" t="s">
        <v>6</v>
      </c>
      <c r="C22" s="10">
        <v>1180</v>
      </c>
      <c r="D22" s="10">
        <f t="shared" si="0"/>
        <v>2210</v>
      </c>
    </row>
    <row r="23" spans="1:7" x14ac:dyDescent="0.25">
      <c r="A23" s="8">
        <v>45876</v>
      </c>
      <c r="B23" s="9" t="s">
        <v>87</v>
      </c>
      <c r="C23" s="10">
        <v>-1030</v>
      </c>
      <c r="D23" s="10">
        <f t="shared" si="0"/>
        <v>1180</v>
      </c>
    </row>
    <row r="24" spans="1:7" x14ac:dyDescent="0.25">
      <c r="A24" s="8">
        <v>45880</v>
      </c>
      <c r="B24" s="9" t="s">
        <v>6</v>
      </c>
      <c r="C24" s="10">
        <v>730</v>
      </c>
      <c r="D24" s="10">
        <f t="shared" si="0"/>
        <v>1910</v>
      </c>
    </row>
    <row r="25" spans="1:7" x14ac:dyDescent="0.25">
      <c r="A25" s="8">
        <v>45880</v>
      </c>
      <c r="B25" s="9" t="s">
        <v>87</v>
      </c>
      <c r="C25" s="10">
        <v>-1400</v>
      </c>
      <c r="D25" s="10">
        <f>D24+C25</f>
        <v>510</v>
      </c>
    </row>
    <row r="26" spans="1:7" x14ac:dyDescent="0.25">
      <c r="A26" s="8">
        <v>45883</v>
      </c>
      <c r="B26" s="9" t="s">
        <v>46</v>
      </c>
      <c r="C26" s="10">
        <v>-730</v>
      </c>
      <c r="D26" s="10">
        <f t="shared" si="0"/>
        <v>-220</v>
      </c>
    </row>
    <row r="27" spans="1:7" x14ac:dyDescent="0.25">
      <c r="A27" s="8">
        <v>45883</v>
      </c>
      <c r="B27" s="9" t="s">
        <v>6</v>
      </c>
      <c r="C27" s="10">
        <v>2410</v>
      </c>
      <c r="D27" s="10">
        <f t="shared" si="0"/>
        <v>2190</v>
      </c>
    </row>
    <row r="28" spans="1:7" x14ac:dyDescent="0.25">
      <c r="A28" s="8">
        <v>45887</v>
      </c>
      <c r="B28" s="9" t="s">
        <v>46</v>
      </c>
      <c r="C28" s="10">
        <v>-2410</v>
      </c>
      <c r="D28" s="10">
        <f t="shared" si="0"/>
        <v>-220</v>
      </c>
    </row>
    <row r="29" spans="1:7" x14ac:dyDescent="0.25">
      <c r="A29" s="8">
        <v>45887</v>
      </c>
      <c r="B29" s="9" t="s">
        <v>97</v>
      </c>
      <c r="C29" s="10">
        <v>800</v>
      </c>
      <c r="D29" s="10">
        <f t="shared" si="0"/>
        <v>580</v>
      </c>
    </row>
    <row r="30" spans="1:7" x14ac:dyDescent="0.25">
      <c r="A30" s="8">
        <v>45890</v>
      </c>
      <c r="B30" s="9" t="s">
        <v>7</v>
      </c>
      <c r="C30" s="10">
        <v>-800</v>
      </c>
      <c r="D30" s="10">
        <f t="shared" si="0"/>
        <v>-220</v>
      </c>
      <c r="E30" s="18"/>
      <c r="F30" s="18"/>
      <c r="G30" s="18"/>
    </row>
    <row r="31" spans="1:7" x14ac:dyDescent="0.25">
      <c r="A31" s="8">
        <v>45890</v>
      </c>
      <c r="B31" s="9" t="s">
        <v>3</v>
      </c>
      <c r="C31" s="25">
        <v>1180</v>
      </c>
      <c r="D31" s="10">
        <f t="shared" si="0"/>
        <v>960</v>
      </c>
    </row>
    <row r="32" spans="1:7" x14ac:dyDescent="0.25">
      <c r="A32" s="8">
        <v>45894</v>
      </c>
      <c r="B32" s="9" t="s">
        <v>46</v>
      </c>
      <c r="C32" s="10">
        <v>-1180</v>
      </c>
      <c r="D32" s="10">
        <f>D31+C32</f>
        <v>-220</v>
      </c>
    </row>
    <row r="33" spans="1:10" x14ac:dyDescent="0.25">
      <c r="A33" s="8">
        <v>45901</v>
      </c>
      <c r="B33" s="9" t="s">
        <v>3</v>
      </c>
      <c r="C33" s="10">
        <v>350</v>
      </c>
      <c r="D33" s="10">
        <f t="shared" ref="D33:D96" si="1">D32+C33</f>
        <v>130</v>
      </c>
    </row>
    <row r="34" spans="1:10" x14ac:dyDescent="0.25">
      <c r="A34" s="8">
        <v>45901</v>
      </c>
      <c r="B34" s="9" t="s">
        <v>55</v>
      </c>
      <c r="C34" s="10">
        <v>-1370</v>
      </c>
      <c r="D34" s="10">
        <f t="shared" si="1"/>
        <v>-1240</v>
      </c>
    </row>
    <row r="35" spans="1:10" x14ac:dyDescent="0.25">
      <c r="A35" s="8">
        <v>45904</v>
      </c>
      <c r="B35" s="9" t="s">
        <v>3</v>
      </c>
      <c r="C35" s="10">
        <v>3700</v>
      </c>
      <c r="D35" s="10">
        <f t="shared" si="1"/>
        <v>2460</v>
      </c>
    </row>
    <row r="36" spans="1:10" x14ac:dyDescent="0.25">
      <c r="A36" s="8">
        <v>45905</v>
      </c>
      <c r="B36" s="9" t="s">
        <v>55</v>
      </c>
      <c r="C36" s="10">
        <v>-2110</v>
      </c>
      <c r="D36" s="10">
        <f t="shared" si="1"/>
        <v>350</v>
      </c>
      <c r="F36" s="18"/>
      <c r="G36" s="18"/>
      <c r="H36" s="18"/>
      <c r="I36" s="18"/>
    </row>
    <row r="37" spans="1:10" x14ac:dyDescent="0.25">
      <c r="A37" s="8">
        <v>45905</v>
      </c>
      <c r="B37" s="9" t="s">
        <v>3</v>
      </c>
      <c r="C37" s="10">
        <v>280</v>
      </c>
      <c r="D37" s="10">
        <f t="shared" si="1"/>
        <v>630</v>
      </c>
      <c r="F37" s="18"/>
      <c r="G37" s="18"/>
      <c r="H37" s="18"/>
      <c r="I37" s="18"/>
    </row>
    <row r="38" spans="1:10" x14ac:dyDescent="0.25">
      <c r="A38" s="8">
        <v>45908</v>
      </c>
      <c r="B38" s="9" t="s">
        <v>3</v>
      </c>
      <c r="C38" s="10">
        <v>970</v>
      </c>
      <c r="D38" s="10">
        <f t="shared" si="1"/>
        <v>1600</v>
      </c>
      <c r="F38" s="18"/>
      <c r="G38" s="18"/>
      <c r="H38" s="18"/>
      <c r="I38" s="18"/>
    </row>
    <row r="39" spans="1:10" x14ac:dyDescent="0.25">
      <c r="A39" s="8">
        <v>45908</v>
      </c>
      <c r="B39" s="9" t="s">
        <v>55</v>
      </c>
      <c r="C39" s="10">
        <v>-630</v>
      </c>
      <c r="D39" s="10">
        <f t="shared" si="1"/>
        <v>970</v>
      </c>
      <c r="F39" s="18"/>
      <c r="G39" s="18"/>
      <c r="H39" s="18"/>
      <c r="I39" s="18"/>
    </row>
    <row r="40" spans="1:10" x14ac:dyDescent="0.25">
      <c r="A40" s="8">
        <v>45911</v>
      </c>
      <c r="B40" s="9" t="s">
        <v>3</v>
      </c>
      <c r="C40" s="10">
        <v>1630</v>
      </c>
      <c r="D40" s="10">
        <f t="shared" si="1"/>
        <v>2600</v>
      </c>
    </row>
    <row r="41" spans="1:10" x14ac:dyDescent="0.25">
      <c r="A41" s="8">
        <v>45911</v>
      </c>
      <c r="B41" s="9" t="s">
        <v>74</v>
      </c>
      <c r="C41" s="10">
        <v>-1270</v>
      </c>
      <c r="D41" s="10">
        <f t="shared" si="1"/>
        <v>1330</v>
      </c>
      <c r="J41" s="16"/>
    </row>
    <row r="42" spans="1:10" x14ac:dyDescent="0.25">
      <c r="A42" s="8">
        <v>45920</v>
      </c>
      <c r="B42" s="9" t="s">
        <v>148</v>
      </c>
      <c r="C42" s="10">
        <v>1530</v>
      </c>
      <c r="D42" s="10">
        <f t="shared" si="1"/>
        <v>2860</v>
      </c>
      <c r="J42" s="16"/>
    </row>
    <row r="43" spans="1:10" x14ac:dyDescent="0.25">
      <c r="A43" s="8">
        <v>45922</v>
      </c>
      <c r="B43" s="9" t="s">
        <v>46</v>
      </c>
      <c r="C43" s="10">
        <v>-2860</v>
      </c>
      <c r="D43" s="10">
        <f t="shared" si="1"/>
        <v>0</v>
      </c>
    </row>
    <row r="44" spans="1:10" x14ac:dyDescent="0.25">
      <c r="A44" s="8">
        <v>45922</v>
      </c>
      <c r="B44" s="9" t="s">
        <v>3</v>
      </c>
      <c r="C44" s="10">
        <v>2670</v>
      </c>
      <c r="D44" s="10">
        <f t="shared" si="1"/>
        <v>2670</v>
      </c>
    </row>
    <row r="45" spans="1:10" x14ac:dyDescent="0.25">
      <c r="A45" s="8">
        <v>45925</v>
      </c>
      <c r="B45" s="9" t="s">
        <v>3</v>
      </c>
      <c r="C45" s="10">
        <v>2330</v>
      </c>
      <c r="D45" s="10">
        <f t="shared" si="1"/>
        <v>5000</v>
      </c>
    </row>
    <row r="46" spans="1:10" x14ac:dyDescent="0.25">
      <c r="A46" s="8">
        <v>45925</v>
      </c>
      <c r="B46" s="9" t="s">
        <v>92</v>
      </c>
      <c r="C46" s="10">
        <v>-2330</v>
      </c>
      <c r="D46" s="10">
        <f t="shared" si="1"/>
        <v>2670</v>
      </c>
    </row>
    <row r="47" spans="1:10" x14ac:dyDescent="0.25">
      <c r="A47" s="8">
        <v>45929</v>
      </c>
      <c r="B47" s="9" t="s">
        <v>3</v>
      </c>
      <c r="C47" s="10">
        <v>1760</v>
      </c>
      <c r="D47" s="10">
        <f t="shared" si="1"/>
        <v>4430</v>
      </c>
    </row>
    <row r="48" spans="1:10" x14ac:dyDescent="0.25">
      <c r="A48" s="8">
        <v>45929</v>
      </c>
      <c r="B48" s="9" t="s">
        <v>46</v>
      </c>
      <c r="C48" s="10">
        <v>-2330</v>
      </c>
      <c r="D48" s="10">
        <f t="shared" si="1"/>
        <v>2100</v>
      </c>
    </row>
    <row r="49" spans="1:4" x14ac:dyDescent="0.25">
      <c r="A49" s="8">
        <v>45932</v>
      </c>
      <c r="B49" s="9" t="s">
        <v>3</v>
      </c>
      <c r="C49" s="10">
        <v>1080</v>
      </c>
      <c r="D49" s="10">
        <f t="shared" si="1"/>
        <v>3180</v>
      </c>
    </row>
    <row r="50" spans="1:4" x14ac:dyDescent="0.25">
      <c r="A50" s="8">
        <v>45932</v>
      </c>
      <c r="B50" s="9" t="s">
        <v>92</v>
      </c>
      <c r="C50" s="10">
        <v>-1760</v>
      </c>
      <c r="D50" s="10">
        <f t="shared" si="1"/>
        <v>1420</v>
      </c>
    </row>
    <row r="51" spans="1:4" x14ac:dyDescent="0.25">
      <c r="A51" s="8">
        <v>45936</v>
      </c>
      <c r="B51" s="9" t="s">
        <v>3</v>
      </c>
      <c r="C51" s="10">
        <v>610</v>
      </c>
      <c r="D51" s="10">
        <f t="shared" si="1"/>
        <v>2030</v>
      </c>
    </row>
    <row r="52" spans="1:4" x14ac:dyDescent="0.25">
      <c r="A52" s="8">
        <v>45936</v>
      </c>
      <c r="B52" s="9" t="s">
        <v>92</v>
      </c>
      <c r="C52" s="10">
        <v>-1080</v>
      </c>
      <c r="D52" s="10">
        <f t="shared" si="1"/>
        <v>950</v>
      </c>
    </row>
    <row r="53" spans="1:4" x14ac:dyDescent="0.25">
      <c r="A53" s="8">
        <v>45939</v>
      </c>
      <c r="B53" s="9" t="s">
        <v>3</v>
      </c>
      <c r="C53" s="10">
        <v>660</v>
      </c>
      <c r="D53" s="10">
        <f t="shared" si="1"/>
        <v>1610</v>
      </c>
    </row>
    <row r="54" spans="1:4" x14ac:dyDescent="0.25">
      <c r="A54" s="8">
        <v>45939</v>
      </c>
      <c r="B54" s="9" t="s">
        <v>178</v>
      </c>
      <c r="C54" s="10">
        <v>-610</v>
      </c>
      <c r="D54" s="10">
        <f t="shared" si="1"/>
        <v>1000</v>
      </c>
    </row>
    <row r="55" spans="1:4" x14ac:dyDescent="0.25">
      <c r="A55" s="8">
        <v>45943</v>
      </c>
      <c r="B55" s="9" t="s">
        <v>3</v>
      </c>
      <c r="C55" s="10">
        <v>580</v>
      </c>
      <c r="D55" s="10">
        <f t="shared" si="1"/>
        <v>1580</v>
      </c>
    </row>
    <row r="56" spans="1:4" x14ac:dyDescent="0.25">
      <c r="A56" s="8">
        <v>45943</v>
      </c>
      <c r="B56" s="9" t="s">
        <v>178</v>
      </c>
      <c r="C56" s="10">
        <v>-660</v>
      </c>
      <c r="D56" s="10">
        <f t="shared" si="1"/>
        <v>920</v>
      </c>
    </row>
    <row r="57" spans="1:4" x14ac:dyDescent="0.25">
      <c r="A57" s="8">
        <v>45946</v>
      </c>
      <c r="B57" s="9" t="s">
        <v>3</v>
      </c>
      <c r="C57" s="10">
        <v>350</v>
      </c>
      <c r="D57" s="10">
        <f t="shared" si="1"/>
        <v>1270</v>
      </c>
    </row>
    <row r="58" spans="1:4" x14ac:dyDescent="0.25">
      <c r="A58" s="8">
        <v>45946</v>
      </c>
      <c r="B58" s="9" t="s">
        <v>178</v>
      </c>
      <c r="C58" s="10">
        <v>-580</v>
      </c>
      <c r="D58" s="10">
        <f t="shared" si="1"/>
        <v>690</v>
      </c>
    </row>
    <row r="59" spans="1:4" x14ac:dyDescent="0.25">
      <c r="A59" s="8">
        <v>45953</v>
      </c>
      <c r="B59" s="9" t="s">
        <v>3</v>
      </c>
      <c r="C59" s="10">
        <v>280</v>
      </c>
      <c r="D59" s="10">
        <f t="shared" si="1"/>
        <v>970</v>
      </c>
    </row>
    <row r="60" spans="1:4" x14ac:dyDescent="0.25">
      <c r="A60" s="8">
        <v>45953</v>
      </c>
      <c r="B60" s="9" t="s">
        <v>178</v>
      </c>
      <c r="C60" s="10">
        <v>-350</v>
      </c>
      <c r="D60" s="10">
        <f t="shared" si="1"/>
        <v>620</v>
      </c>
    </row>
    <row r="61" spans="1:4" x14ac:dyDescent="0.25">
      <c r="A61" s="8">
        <v>45957</v>
      </c>
      <c r="B61" s="9" t="s">
        <v>3</v>
      </c>
      <c r="C61" s="10">
        <v>1450</v>
      </c>
      <c r="D61" s="10">
        <f t="shared" si="1"/>
        <v>2070</v>
      </c>
    </row>
    <row r="62" spans="1:4" x14ac:dyDescent="0.25">
      <c r="A62" s="8">
        <v>45960</v>
      </c>
      <c r="B62" s="9" t="s">
        <v>3</v>
      </c>
      <c r="C62" s="10">
        <v>260</v>
      </c>
      <c r="D62" s="10">
        <f t="shared" si="1"/>
        <v>2330</v>
      </c>
    </row>
    <row r="63" spans="1:4" x14ac:dyDescent="0.25">
      <c r="A63" s="8">
        <v>45960</v>
      </c>
      <c r="B63" s="9" t="s">
        <v>178</v>
      </c>
      <c r="C63" s="10">
        <v>-1460</v>
      </c>
      <c r="D63" s="10">
        <f t="shared" si="1"/>
        <v>870</v>
      </c>
    </row>
    <row r="64" spans="1:4" x14ac:dyDescent="0.25">
      <c r="A64" s="8">
        <v>45936</v>
      </c>
      <c r="B64" s="9" t="s">
        <v>3</v>
      </c>
      <c r="C64" s="10">
        <v>1210</v>
      </c>
      <c r="D64" s="10">
        <f t="shared" si="1"/>
        <v>2080</v>
      </c>
    </row>
    <row r="65" spans="1:4" x14ac:dyDescent="0.25">
      <c r="A65" s="8">
        <v>45967</v>
      </c>
      <c r="B65" s="9" t="s">
        <v>178</v>
      </c>
      <c r="C65" s="10">
        <v>-350</v>
      </c>
      <c r="D65" s="10">
        <f t="shared" si="1"/>
        <v>1730</v>
      </c>
    </row>
    <row r="66" spans="1:4" x14ac:dyDescent="0.25">
      <c r="A66" s="8">
        <v>45971</v>
      </c>
      <c r="B66" s="9" t="s">
        <v>3</v>
      </c>
      <c r="C66" s="10">
        <v>350</v>
      </c>
      <c r="D66" s="10">
        <f t="shared" si="1"/>
        <v>2080</v>
      </c>
    </row>
    <row r="67" spans="1:4" x14ac:dyDescent="0.25">
      <c r="A67" s="8">
        <v>45971</v>
      </c>
      <c r="B67" s="9" t="s">
        <v>178</v>
      </c>
      <c r="C67" s="10">
        <v>-1220</v>
      </c>
      <c r="D67" s="10">
        <f t="shared" si="1"/>
        <v>860</v>
      </c>
    </row>
    <row r="68" spans="1:4" x14ac:dyDescent="0.25">
      <c r="A68" s="8">
        <v>45974</v>
      </c>
      <c r="B68" s="9" t="s">
        <v>97</v>
      </c>
      <c r="C68" s="10">
        <v>750</v>
      </c>
      <c r="D68" s="10">
        <f t="shared" si="1"/>
        <v>1610</v>
      </c>
    </row>
    <row r="69" spans="1:4" x14ac:dyDescent="0.25">
      <c r="A69" s="8">
        <v>45974</v>
      </c>
      <c r="B69" s="9" t="s">
        <v>92</v>
      </c>
      <c r="C69" s="10">
        <v>-350</v>
      </c>
      <c r="D69" s="10">
        <f t="shared" si="1"/>
        <v>1260</v>
      </c>
    </row>
    <row r="70" spans="1:4" x14ac:dyDescent="0.25">
      <c r="A70" s="8">
        <v>45978</v>
      </c>
      <c r="B70" s="9" t="s">
        <v>92</v>
      </c>
      <c r="C70" s="10">
        <v>-1250</v>
      </c>
      <c r="D70" s="10">
        <f t="shared" si="1"/>
        <v>10</v>
      </c>
    </row>
    <row r="71" spans="1:4" x14ac:dyDescent="0.25">
      <c r="A71" s="8">
        <v>45978</v>
      </c>
      <c r="B71" s="9" t="s">
        <v>3</v>
      </c>
      <c r="C71" s="10">
        <v>520</v>
      </c>
      <c r="D71" s="10">
        <f t="shared" si="1"/>
        <v>530</v>
      </c>
    </row>
    <row r="72" spans="1:4" x14ac:dyDescent="0.25">
      <c r="A72" s="8">
        <v>45981</v>
      </c>
      <c r="B72" s="9" t="s">
        <v>92</v>
      </c>
      <c r="C72" s="10">
        <v>-530</v>
      </c>
      <c r="D72" s="10">
        <f t="shared" si="1"/>
        <v>0</v>
      </c>
    </row>
    <row r="73" spans="1:4" x14ac:dyDescent="0.25">
      <c r="A73" s="8">
        <v>45981</v>
      </c>
      <c r="B73" s="9" t="s">
        <v>3</v>
      </c>
      <c r="C73" s="10">
        <v>760</v>
      </c>
      <c r="D73" s="10">
        <f t="shared" si="1"/>
        <v>760</v>
      </c>
    </row>
    <row r="74" spans="1:4" x14ac:dyDescent="0.25">
      <c r="A74" s="8">
        <v>45985</v>
      </c>
      <c r="B74" s="9" t="s">
        <v>92</v>
      </c>
      <c r="C74" s="10">
        <v>-760</v>
      </c>
      <c r="D74" s="10">
        <f t="shared" si="1"/>
        <v>0</v>
      </c>
    </row>
    <row r="75" spans="1:4" x14ac:dyDescent="0.25">
      <c r="A75" s="8">
        <v>45985</v>
      </c>
      <c r="B75" s="9" t="s">
        <v>3</v>
      </c>
      <c r="C75" s="10">
        <v>350</v>
      </c>
      <c r="D75" s="10">
        <f t="shared" si="1"/>
        <v>350</v>
      </c>
    </row>
    <row r="76" spans="1:4" x14ac:dyDescent="0.25">
      <c r="A76" s="8">
        <v>45988</v>
      </c>
      <c r="B76" s="9" t="s">
        <v>92</v>
      </c>
      <c r="C76" s="10">
        <v>-350</v>
      </c>
      <c r="D76" s="10">
        <f t="shared" si="1"/>
        <v>0</v>
      </c>
    </row>
    <row r="77" spans="1:4" x14ac:dyDescent="0.25">
      <c r="A77" s="8">
        <v>45988</v>
      </c>
      <c r="B77" s="9" t="s">
        <v>3</v>
      </c>
      <c r="C77" s="10">
        <v>1450</v>
      </c>
      <c r="D77" s="10">
        <f t="shared" si="1"/>
        <v>1450</v>
      </c>
    </row>
    <row r="78" spans="1:4" x14ac:dyDescent="0.25">
      <c r="A78" s="8">
        <v>45992</v>
      </c>
      <c r="B78" s="9" t="s">
        <v>7</v>
      </c>
      <c r="C78" s="10">
        <v>-1000</v>
      </c>
      <c r="D78" s="10">
        <f t="shared" si="1"/>
        <v>450</v>
      </c>
    </row>
    <row r="79" spans="1:4" x14ac:dyDescent="0.25">
      <c r="A79" s="8">
        <v>45992</v>
      </c>
      <c r="B79" s="9" t="s">
        <v>3</v>
      </c>
      <c r="C79" s="10">
        <v>800</v>
      </c>
      <c r="D79" s="10">
        <f t="shared" si="1"/>
        <v>1250</v>
      </c>
    </row>
    <row r="80" spans="1:4" x14ac:dyDescent="0.25">
      <c r="A80" s="8">
        <v>45995</v>
      </c>
      <c r="B80" s="9" t="s">
        <v>3</v>
      </c>
      <c r="C80" s="10">
        <v>6190</v>
      </c>
      <c r="D80" s="10">
        <f t="shared" si="1"/>
        <v>7440</v>
      </c>
    </row>
    <row r="81" spans="1:4" x14ac:dyDescent="0.25">
      <c r="A81" s="8">
        <v>45999</v>
      </c>
      <c r="B81" s="9" t="s">
        <v>92</v>
      </c>
      <c r="C81" s="10">
        <v>-6190</v>
      </c>
      <c r="D81" s="10">
        <f t="shared" si="1"/>
        <v>1250</v>
      </c>
    </row>
    <row r="82" spans="1:4" x14ac:dyDescent="0.25">
      <c r="A82" s="8">
        <v>46002</v>
      </c>
      <c r="B82" s="9" t="s">
        <v>3</v>
      </c>
      <c r="C82" s="10">
        <v>1400</v>
      </c>
      <c r="D82" s="10">
        <f t="shared" si="1"/>
        <v>2650</v>
      </c>
    </row>
    <row r="83" spans="1:4" x14ac:dyDescent="0.25">
      <c r="A83" s="8">
        <v>46006</v>
      </c>
      <c r="B83" s="9" t="s">
        <v>3</v>
      </c>
      <c r="C83" s="10">
        <v>3060</v>
      </c>
      <c r="D83" s="10">
        <f t="shared" si="1"/>
        <v>5710</v>
      </c>
    </row>
    <row r="84" spans="1:4" x14ac:dyDescent="0.25">
      <c r="A84" s="8">
        <v>46006</v>
      </c>
      <c r="B84" s="9" t="s">
        <v>92</v>
      </c>
      <c r="C84" s="10">
        <v>-1400</v>
      </c>
      <c r="D84" s="10">
        <f t="shared" si="1"/>
        <v>4310</v>
      </c>
    </row>
    <row r="85" spans="1:4" x14ac:dyDescent="0.25">
      <c r="A85" s="8">
        <v>46009</v>
      </c>
      <c r="B85" s="9" t="s">
        <v>7</v>
      </c>
      <c r="C85" s="10">
        <v>-3060</v>
      </c>
      <c r="D85" s="10">
        <f t="shared" si="1"/>
        <v>1250</v>
      </c>
    </row>
    <row r="86" spans="1:4" x14ac:dyDescent="0.25">
      <c r="A86" s="8">
        <v>46009</v>
      </c>
      <c r="B86" s="9" t="s">
        <v>3</v>
      </c>
      <c r="C86" s="10">
        <v>3890</v>
      </c>
      <c r="D86" s="10">
        <f t="shared" si="1"/>
        <v>5140</v>
      </c>
    </row>
    <row r="87" spans="1:4" x14ac:dyDescent="0.25">
      <c r="A87" s="8">
        <v>46013</v>
      </c>
      <c r="B87" s="9" t="s">
        <v>3</v>
      </c>
      <c r="C87" s="10">
        <v>1430</v>
      </c>
      <c r="D87" s="10">
        <f t="shared" si="1"/>
        <v>6570</v>
      </c>
    </row>
    <row r="88" spans="1:4" x14ac:dyDescent="0.25">
      <c r="A88" s="8">
        <v>46013</v>
      </c>
      <c r="B88" s="9"/>
      <c r="C88" s="10">
        <v>-3890</v>
      </c>
      <c r="D88" s="10">
        <f t="shared" si="1"/>
        <v>2680</v>
      </c>
    </row>
    <row r="89" spans="1:4" x14ac:dyDescent="0.25">
      <c r="A89" s="8">
        <v>46020</v>
      </c>
      <c r="B89" s="9" t="s">
        <v>178</v>
      </c>
      <c r="C89" s="10">
        <v>-2680</v>
      </c>
      <c r="D89" s="10">
        <f t="shared" si="1"/>
        <v>0</v>
      </c>
    </row>
    <row r="90" spans="1:4" x14ac:dyDescent="0.25">
      <c r="A90" s="8">
        <v>46024</v>
      </c>
      <c r="B90" s="9" t="s">
        <v>3</v>
      </c>
      <c r="C90" s="10">
        <v>2610</v>
      </c>
      <c r="D90" s="10">
        <f t="shared" si="1"/>
        <v>2610</v>
      </c>
    </row>
    <row r="91" spans="1:4" x14ac:dyDescent="0.25">
      <c r="A91" s="8">
        <v>46027</v>
      </c>
      <c r="B91" s="9" t="s">
        <v>178</v>
      </c>
      <c r="C91" s="10">
        <v>-2610</v>
      </c>
      <c r="D91" s="10">
        <f t="shared" si="1"/>
        <v>0</v>
      </c>
    </row>
    <row r="92" spans="1:4" x14ac:dyDescent="0.25">
      <c r="A92" s="8">
        <v>46034</v>
      </c>
      <c r="B92" s="9" t="s">
        <v>3</v>
      </c>
      <c r="C92" s="10">
        <v>830</v>
      </c>
      <c r="D92" s="10">
        <f t="shared" si="1"/>
        <v>830</v>
      </c>
    </row>
    <row r="93" spans="1:4" x14ac:dyDescent="0.25">
      <c r="A93" s="8">
        <v>46037</v>
      </c>
      <c r="B93" s="9" t="s">
        <v>3</v>
      </c>
      <c r="C93" s="10">
        <v>2600</v>
      </c>
      <c r="D93" s="10">
        <f t="shared" si="1"/>
        <v>3430</v>
      </c>
    </row>
    <row r="94" spans="1:4" x14ac:dyDescent="0.25">
      <c r="A94" s="8">
        <v>46037</v>
      </c>
      <c r="B94" s="9" t="s">
        <v>178</v>
      </c>
      <c r="C94" s="10">
        <v>-1050</v>
      </c>
      <c r="D94" s="10">
        <f t="shared" si="1"/>
        <v>2380</v>
      </c>
    </row>
    <row r="95" spans="1:4" x14ac:dyDescent="0.25">
      <c r="A95" s="8">
        <v>46041</v>
      </c>
      <c r="B95" s="9" t="s">
        <v>3</v>
      </c>
      <c r="C95" s="10">
        <v>1270</v>
      </c>
      <c r="D95" s="10">
        <f t="shared" si="1"/>
        <v>3650</v>
      </c>
    </row>
    <row r="96" spans="1:4" x14ac:dyDescent="0.25">
      <c r="A96" s="8">
        <v>46041</v>
      </c>
      <c r="B96" s="9" t="s">
        <v>178</v>
      </c>
      <c r="C96" s="10">
        <v>-2600</v>
      </c>
      <c r="D96" s="10">
        <f t="shared" si="1"/>
        <v>1050</v>
      </c>
    </row>
    <row r="97" spans="1:4" x14ac:dyDescent="0.25">
      <c r="A97" s="8">
        <v>46044</v>
      </c>
      <c r="B97" s="9" t="s">
        <v>3</v>
      </c>
      <c r="C97" s="10">
        <v>1390</v>
      </c>
      <c r="D97" s="10">
        <f t="shared" ref="D97:D160" si="2">D96+C97</f>
        <v>2440</v>
      </c>
    </row>
    <row r="98" spans="1:4" x14ac:dyDescent="0.25">
      <c r="A98" s="8">
        <v>46048</v>
      </c>
      <c r="B98" s="9" t="s">
        <v>3</v>
      </c>
      <c r="C98" s="10">
        <v>-2660</v>
      </c>
      <c r="D98" s="10">
        <f t="shared" si="2"/>
        <v>-220</v>
      </c>
    </row>
    <row r="99" spans="1:4" x14ac:dyDescent="0.25">
      <c r="A99" s="8">
        <v>46048</v>
      </c>
      <c r="B99" s="9" t="s">
        <v>3</v>
      </c>
      <c r="C99" s="10">
        <v>350</v>
      </c>
      <c r="D99" s="10">
        <f t="shared" si="2"/>
        <v>130</v>
      </c>
    </row>
    <row r="100" spans="1:4" x14ac:dyDescent="0.25">
      <c r="A100" s="8">
        <v>46051</v>
      </c>
      <c r="B100" s="9" t="s">
        <v>3</v>
      </c>
      <c r="C100" s="10">
        <v>3040</v>
      </c>
      <c r="D100" s="10">
        <f t="shared" si="2"/>
        <v>3170</v>
      </c>
    </row>
    <row r="101" spans="1:4" x14ac:dyDescent="0.25">
      <c r="A101" s="8">
        <v>46051</v>
      </c>
      <c r="B101" s="9" t="s">
        <v>178</v>
      </c>
      <c r="C101" s="10">
        <v>-350</v>
      </c>
      <c r="D101" s="10">
        <f t="shared" si="2"/>
        <v>2820</v>
      </c>
    </row>
    <row r="102" spans="1:4" x14ac:dyDescent="0.25">
      <c r="A102" s="8">
        <v>46055</v>
      </c>
      <c r="B102" s="9" t="s">
        <v>3</v>
      </c>
      <c r="C102" s="10">
        <v>1530</v>
      </c>
      <c r="D102" s="10">
        <f t="shared" si="2"/>
        <v>4350</v>
      </c>
    </row>
    <row r="103" spans="1:4" x14ac:dyDescent="0.25">
      <c r="A103" s="8">
        <v>46055</v>
      </c>
      <c r="B103" s="9" t="s">
        <v>3</v>
      </c>
      <c r="C103" s="10">
        <v>1530</v>
      </c>
      <c r="D103" s="10">
        <f t="shared" si="2"/>
        <v>5880</v>
      </c>
    </row>
    <row r="104" spans="1:4" x14ac:dyDescent="0.25">
      <c r="A104" s="8">
        <v>46055</v>
      </c>
      <c r="B104" s="9" t="s">
        <v>178</v>
      </c>
      <c r="C104" s="10">
        <v>-3040</v>
      </c>
      <c r="D104" s="10">
        <f t="shared" si="2"/>
        <v>2840</v>
      </c>
    </row>
    <row r="105" spans="1:4" x14ac:dyDescent="0.25">
      <c r="A105" s="8">
        <v>46059</v>
      </c>
      <c r="B105" s="9" t="s">
        <v>178</v>
      </c>
      <c r="C105" s="10">
        <v>-1600</v>
      </c>
      <c r="D105" s="10">
        <f t="shared" si="2"/>
        <v>1240</v>
      </c>
    </row>
    <row r="106" spans="1:4" x14ac:dyDescent="0.25">
      <c r="A106" s="27">
        <v>46062</v>
      </c>
      <c r="B106" s="9"/>
      <c r="C106" s="10">
        <v>-1240</v>
      </c>
      <c r="D106" s="10">
        <f t="shared" si="2"/>
        <v>0</v>
      </c>
    </row>
    <row r="107" spans="1:4" x14ac:dyDescent="0.25">
      <c r="A107" s="8">
        <v>46065</v>
      </c>
      <c r="B107" s="9" t="s">
        <v>3</v>
      </c>
      <c r="C107" s="10">
        <v>10940</v>
      </c>
      <c r="D107" s="10">
        <f t="shared" si="2"/>
        <v>10940</v>
      </c>
    </row>
    <row r="108" spans="1:4" x14ac:dyDescent="0.25">
      <c r="A108" s="8">
        <v>46066</v>
      </c>
      <c r="B108" s="9" t="s">
        <v>178</v>
      </c>
      <c r="C108" s="10">
        <v>-10990</v>
      </c>
      <c r="D108" s="10">
        <f t="shared" si="2"/>
        <v>-50</v>
      </c>
    </row>
    <row r="109" spans="1:4" x14ac:dyDescent="0.25">
      <c r="A109" s="8">
        <v>46069</v>
      </c>
      <c r="B109" s="9" t="s">
        <v>3</v>
      </c>
      <c r="C109" s="10">
        <v>3450</v>
      </c>
      <c r="D109" s="10">
        <f t="shared" si="2"/>
        <v>3400</v>
      </c>
    </row>
    <row r="110" spans="1:4" x14ac:dyDescent="0.25">
      <c r="A110" s="8">
        <v>46069</v>
      </c>
      <c r="B110" s="9" t="s">
        <v>178</v>
      </c>
      <c r="C110" s="10">
        <v>-3450</v>
      </c>
      <c r="D110" s="10">
        <f t="shared" si="2"/>
        <v>-50</v>
      </c>
    </row>
    <row r="111" spans="1:4" x14ac:dyDescent="0.25">
      <c r="A111" s="8">
        <v>46072</v>
      </c>
      <c r="B111" s="9" t="s">
        <v>3</v>
      </c>
      <c r="C111" s="10">
        <v>2760</v>
      </c>
      <c r="D111" s="10">
        <f t="shared" si="2"/>
        <v>2710</v>
      </c>
    </row>
    <row r="112" spans="1:4" x14ac:dyDescent="0.25">
      <c r="A112" s="8">
        <v>46072</v>
      </c>
      <c r="B112" s="9" t="s">
        <v>178</v>
      </c>
      <c r="C112" s="10">
        <v>-2760</v>
      </c>
      <c r="D112" s="10">
        <f t="shared" si="2"/>
        <v>-50</v>
      </c>
    </row>
    <row r="113" spans="1:4" x14ac:dyDescent="0.25">
      <c r="A113" s="8">
        <v>46318</v>
      </c>
      <c r="B113" s="9" t="s">
        <v>3</v>
      </c>
      <c r="C113" s="10">
        <v>1960</v>
      </c>
      <c r="D113" s="10">
        <f t="shared" si="2"/>
        <v>1910</v>
      </c>
    </row>
    <row r="114" spans="1:4" x14ac:dyDescent="0.25">
      <c r="A114" s="8">
        <v>46076</v>
      </c>
      <c r="B114" s="9" t="s">
        <v>178</v>
      </c>
      <c r="C114" s="10">
        <v>-1960</v>
      </c>
      <c r="D114" s="10">
        <f t="shared" si="2"/>
        <v>-50</v>
      </c>
    </row>
    <row r="115" spans="1:4" x14ac:dyDescent="0.25">
      <c r="A115" s="8">
        <v>46079</v>
      </c>
      <c r="B115" s="9" t="s">
        <v>3</v>
      </c>
      <c r="C115" s="10">
        <v>1350</v>
      </c>
      <c r="D115" s="10">
        <f t="shared" si="2"/>
        <v>1300</v>
      </c>
    </row>
    <row r="116" spans="1:4" x14ac:dyDescent="0.25">
      <c r="A116" s="8">
        <v>46079</v>
      </c>
      <c r="B116" s="9" t="s">
        <v>178</v>
      </c>
      <c r="C116" s="10">
        <v>-1350</v>
      </c>
      <c r="D116" s="10">
        <f t="shared" si="2"/>
        <v>-50</v>
      </c>
    </row>
    <row r="117" spans="1:4" x14ac:dyDescent="0.25">
      <c r="A117" s="8">
        <v>46083</v>
      </c>
      <c r="B117" s="9" t="s">
        <v>3</v>
      </c>
      <c r="C117" s="10">
        <v>550</v>
      </c>
      <c r="D117" s="10">
        <f t="shared" si="2"/>
        <v>500</v>
      </c>
    </row>
    <row r="118" spans="1:4" x14ac:dyDescent="0.25">
      <c r="A118" s="8">
        <v>46086</v>
      </c>
      <c r="B118" s="9" t="s">
        <v>3</v>
      </c>
      <c r="C118" s="10">
        <v>1120</v>
      </c>
      <c r="D118" s="10">
        <f t="shared" si="2"/>
        <v>1620</v>
      </c>
    </row>
    <row r="119" spans="1:4" x14ac:dyDescent="0.25">
      <c r="A119" s="8">
        <v>46086</v>
      </c>
      <c r="B119" s="9" t="s">
        <v>178</v>
      </c>
      <c r="C119" s="10">
        <v>-500</v>
      </c>
      <c r="D119" s="10">
        <f t="shared" si="2"/>
        <v>1120</v>
      </c>
    </row>
    <row r="120" spans="1:4" x14ac:dyDescent="0.25">
      <c r="A120" s="8">
        <v>46304</v>
      </c>
      <c r="B120" s="9" t="s">
        <v>178</v>
      </c>
      <c r="C120" s="10">
        <v>-1120</v>
      </c>
      <c r="D120" s="10">
        <f t="shared" si="2"/>
        <v>0</v>
      </c>
    </row>
    <row r="121" spans="1:4" x14ac:dyDescent="0.25">
      <c r="A121" s="8">
        <v>46304</v>
      </c>
      <c r="B121" s="9" t="s">
        <v>3</v>
      </c>
      <c r="C121" s="10">
        <v>300</v>
      </c>
      <c r="D121" s="10">
        <f t="shared" si="2"/>
        <v>300</v>
      </c>
    </row>
    <row r="122" spans="1:4" x14ac:dyDescent="0.25">
      <c r="A122" s="8">
        <v>46093</v>
      </c>
      <c r="B122" s="9" t="s">
        <v>3</v>
      </c>
      <c r="C122" s="10">
        <v>590</v>
      </c>
      <c r="D122" s="10">
        <f t="shared" si="2"/>
        <v>890</v>
      </c>
    </row>
    <row r="123" spans="1:4" x14ac:dyDescent="0.25">
      <c r="A123" s="8">
        <v>46093</v>
      </c>
      <c r="B123" s="9" t="s">
        <v>178</v>
      </c>
      <c r="C123" s="10">
        <v>-300</v>
      </c>
      <c r="D123" s="10">
        <f t="shared" si="2"/>
        <v>590</v>
      </c>
    </row>
    <row r="124" spans="1:4" x14ac:dyDescent="0.25">
      <c r="A124" s="8">
        <v>46097</v>
      </c>
      <c r="B124" s="9" t="s">
        <v>178</v>
      </c>
      <c r="C124" s="10">
        <v>-590</v>
      </c>
      <c r="D124" s="10">
        <f t="shared" si="2"/>
        <v>0</v>
      </c>
    </row>
    <row r="125" spans="1:4" x14ac:dyDescent="0.25">
      <c r="A125" s="8">
        <v>46100</v>
      </c>
      <c r="B125" s="9" t="s">
        <v>3</v>
      </c>
      <c r="C125" s="10">
        <v>3040</v>
      </c>
      <c r="D125" s="10">
        <f t="shared" si="2"/>
        <v>3040</v>
      </c>
    </row>
    <row r="126" spans="1:4" x14ac:dyDescent="0.25">
      <c r="A126" s="8">
        <v>46104</v>
      </c>
      <c r="B126" s="9" t="s">
        <v>3</v>
      </c>
      <c r="C126" s="10">
        <v>1100</v>
      </c>
      <c r="D126" s="10">
        <f t="shared" si="2"/>
        <v>4140</v>
      </c>
    </row>
    <row r="127" spans="1:4" x14ac:dyDescent="0.25">
      <c r="A127" s="8">
        <v>46104</v>
      </c>
      <c r="B127" s="9" t="s">
        <v>178</v>
      </c>
      <c r="C127" s="10">
        <v>-3040</v>
      </c>
      <c r="D127" s="10">
        <f t="shared" si="2"/>
        <v>1100</v>
      </c>
    </row>
    <row r="128" spans="1:4" x14ac:dyDescent="0.25">
      <c r="A128" s="8">
        <v>46107</v>
      </c>
      <c r="B128" s="9" t="s">
        <v>178</v>
      </c>
      <c r="C128" s="10">
        <v>-1100</v>
      </c>
      <c r="D128" s="10">
        <f t="shared" si="2"/>
        <v>0</v>
      </c>
    </row>
    <row r="129" spans="1:4" x14ac:dyDescent="0.25">
      <c r="A129" s="8">
        <v>46107</v>
      </c>
      <c r="B129" s="9" t="s">
        <v>3</v>
      </c>
      <c r="C129" s="10">
        <v>3840</v>
      </c>
      <c r="D129" s="10">
        <f t="shared" si="2"/>
        <v>3840</v>
      </c>
    </row>
    <row r="130" spans="1:4" x14ac:dyDescent="0.25">
      <c r="A130" s="8">
        <v>46111</v>
      </c>
      <c r="B130" s="9" t="s">
        <v>3</v>
      </c>
      <c r="C130" s="10">
        <v>1200</v>
      </c>
      <c r="D130" s="10">
        <f t="shared" si="2"/>
        <v>5040</v>
      </c>
    </row>
    <row r="131" spans="1:4" x14ac:dyDescent="0.25">
      <c r="A131" s="8">
        <v>46111</v>
      </c>
      <c r="B131" s="9" t="s">
        <v>378</v>
      </c>
      <c r="C131" s="10">
        <v>-3840</v>
      </c>
      <c r="D131" s="10">
        <f t="shared" si="2"/>
        <v>1200</v>
      </c>
    </row>
    <row r="132" spans="1:4" x14ac:dyDescent="0.25">
      <c r="A132" s="8">
        <v>46118</v>
      </c>
      <c r="B132" s="9" t="s">
        <v>3</v>
      </c>
      <c r="C132" s="10">
        <v>1670</v>
      </c>
      <c r="D132" s="10">
        <f t="shared" si="2"/>
        <v>2870</v>
      </c>
    </row>
    <row r="133" spans="1:4" x14ac:dyDescent="0.25">
      <c r="A133" s="8">
        <v>46118</v>
      </c>
      <c r="B133" s="9" t="s">
        <v>178</v>
      </c>
      <c r="C133" s="10">
        <v>-1200</v>
      </c>
      <c r="D133" s="10">
        <f t="shared" si="2"/>
        <v>1670</v>
      </c>
    </row>
    <row r="134" spans="1:4" x14ac:dyDescent="0.25">
      <c r="A134" s="8">
        <v>46121</v>
      </c>
      <c r="B134" s="9" t="s">
        <v>3</v>
      </c>
      <c r="C134" s="10">
        <v>2890</v>
      </c>
      <c r="D134" s="10">
        <f t="shared" si="2"/>
        <v>4560</v>
      </c>
    </row>
    <row r="135" spans="1:4" x14ac:dyDescent="0.25">
      <c r="A135" s="8">
        <v>46121</v>
      </c>
      <c r="B135" s="9" t="s">
        <v>178</v>
      </c>
      <c r="C135" s="10">
        <v>-1670</v>
      </c>
      <c r="D135" s="10">
        <f t="shared" si="2"/>
        <v>2890</v>
      </c>
    </row>
    <row r="136" spans="1:4" x14ac:dyDescent="0.25">
      <c r="A136" s="8">
        <v>46125</v>
      </c>
      <c r="B136" s="9" t="s">
        <v>178</v>
      </c>
      <c r="C136" s="10">
        <v>-2890</v>
      </c>
      <c r="D136" s="10">
        <f t="shared" si="2"/>
        <v>0</v>
      </c>
    </row>
    <row r="137" spans="1:4" x14ac:dyDescent="0.25">
      <c r="A137" s="8">
        <v>46128</v>
      </c>
      <c r="B137" s="9" t="s">
        <v>3</v>
      </c>
      <c r="C137" s="10">
        <v>1690</v>
      </c>
      <c r="D137" s="10">
        <f t="shared" si="2"/>
        <v>1690</v>
      </c>
    </row>
    <row r="138" spans="1:4" x14ac:dyDescent="0.25">
      <c r="A138" s="8">
        <v>46132</v>
      </c>
      <c r="B138" s="9" t="s">
        <v>3</v>
      </c>
      <c r="C138" s="10">
        <v>1830</v>
      </c>
      <c r="D138" s="10">
        <f t="shared" si="2"/>
        <v>3520</v>
      </c>
    </row>
    <row r="139" spans="1:4" x14ac:dyDescent="0.25">
      <c r="A139" s="8">
        <v>46132</v>
      </c>
      <c r="B139" s="9" t="s">
        <v>178</v>
      </c>
      <c r="C139" s="10">
        <v>-1690</v>
      </c>
      <c r="D139" s="10">
        <f t="shared" si="2"/>
        <v>1830</v>
      </c>
    </row>
    <row r="140" spans="1:4" x14ac:dyDescent="0.25">
      <c r="A140" s="8">
        <v>46139</v>
      </c>
      <c r="B140" s="9" t="s">
        <v>3</v>
      </c>
      <c r="C140" s="10">
        <v>2740</v>
      </c>
      <c r="D140" s="10">
        <f t="shared" si="2"/>
        <v>4570</v>
      </c>
    </row>
    <row r="141" spans="1:4" x14ac:dyDescent="0.25">
      <c r="A141" s="8">
        <v>46139</v>
      </c>
      <c r="B141" s="9" t="s">
        <v>178</v>
      </c>
      <c r="C141" s="10">
        <v>-1690</v>
      </c>
      <c r="D141" s="10">
        <f t="shared" si="2"/>
        <v>2880</v>
      </c>
    </row>
    <row r="142" spans="1:4" x14ac:dyDescent="0.25">
      <c r="A142" s="8">
        <v>46146</v>
      </c>
      <c r="B142" s="9" t="s">
        <v>178</v>
      </c>
      <c r="C142" s="10">
        <v>-2880</v>
      </c>
      <c r="D142" s="10">
        <f t="shared" si="2"/>
        <v>0</v>
      </c>
    </row>
    <row r="143" spans="1:4" x14ac:dyDescent="0.25">
      <c r="A143" s="8">
        <v>46153</v>
      </c>
      <c r="B143" s="9" t="s">
        <v>3</v>
      </c>
      <c r="C143" s="10">
        <v>1800</v>
      </c>
      <c r="D143" s="10">
        <f t="shared" si="2"/>
        <v>1800</v>
      </c>
    </row>
    <row r="144" spans="1:4" x14ac:dyDescent="0.25">
      <c r="A144" s="8">
        <v>46156</v>
      </c>
      <c r="B144" s="9" t="s">
        <v>3</v>
      </c>
      <c r="C144" s="10">
        <v>2520</v>
      </c>
      <c r="D144" s="10">
        <f t="shared" si="2"/>
        <v>4320</v>
      </c>
    </row>
    <row r="145" spans="1:4" x14ac:dyDescent="0.25">
      <c r="A145" s="8">
        <v>46156</v>
      </c>
      <c r="B145" s="9" t="s">
        <v>178</v>
      </c>
      <c r="C145" s="10">
        <v>-1800</v>
      </c>
      <c r="D145" s="10">
        <f t="shared" si="2"/>
        <v>2520</v>
      </c>
    </row>
    <row r="146" spans="1:4" x14ac:dyDescent="0.25">
      <c r="A146" s="8">
        <v>46160</v>
      </c>
      <c r="B146" s="9" t="s">
        <v>3</v>
      </c>
      <c r="C146" s="10">
        <v>3070</v>
      </c>
      <c r="D146" s="10">
        <f t="shared" si="2"/>
        <v>5590</v>
      </c>
    </row>
    <row r="147" spans="1:4" x14ac:dyDescent="0.25">
      <c r="A147" s="8">
        <v>46160</v>
      </c>
      <c r="B147" s="9" t="s">
        <v>178</v>
      </c>
      <c r="C147" s="10">
        <v>-2520</v>
      </c>
      <c r="D147" s="10">
        <f t="shared" si="2"/>
        <v>3070</v>
      </c>
    </row>
    <row r="148" spans="1:4" x14ac:dyDescent="0.25">
      <c r="A148" s="8">
        <v>46163</v>
      </c>
      <c r="B148" s="9" t="s">
        <v>3</v>
      </c>
      <c r="C148" s="10">
        <v>1800</v>
      </c>
      <c r="D148" s="10">
        <f t="shared" si="2"/>
        <v>4870</v>
      </c>
    </row>
    <row r="149" spans="1:4" x14ac:dyDescent="0.25">
      <c r="A149" s="8">
        <v>46163</v>
      </c>
      <c r="B149" s="9" t="s">
        <v>178</v>
      </c>
      <c r="C149" s="10">
        <v>-3070</v>
      </c>
      <c r="D149" s="10">
        <f t="shared" si="2"/>
        <v>1800</v>
      </c>
    </row>
    <row r="150" spans="1:4" x14ac:dyDescent="0.25">
      <c r="A150" s="8">
        <v>46167</v>
      </c>
      <c r="B150" s="9" t="s">
        <v>178</v>
      </c>
      <c r="C150" s="10">
        <v>-1800</v>
      </c>
      <c r="D150" s="10">
        <f t="shared" si="2"/>
        <v>0</v>
      </c>
    </row>
    <row r="151" spans="1:4" x14ac:dyDescent="0.25">
      <c r="A151" s="8">
        <v>46170</v>
      </c>
      <c r="B151" s="9" t="s">
        <v>3</v>
      </c>
      <c r="C151" s="10">
        <v>3380</v>
      </c>
      <c r="D151" s="10">
        <f t="shared" si="2"/>
        <v>3380</v>
      </c>
    </row>
    <row r="152" spans="1:4" x14ac:dyDescent="0.25">
      <c r="A152" s="8">
        <v>46174</v>
      </c>
      <c r="B152" s="9"/>
      <c r="C152" s="10">
        <v>3810</v>
      </c>
      <c r="D152" s="10">
        <f t="shared" si="2"/>
        <v>7190</v>
      </c>
    </row>
    <row r="153" spans="1:4" x14ac:dyDescent="0.25">
      <c r="A153" s="8">
        <v>46174</v>
      </c>
      <c r="B153" s="9" t="s">
        <v>178</v>
      </c>
      <c r="C153" s="10">
        <v>-3380</v>
      </c>
      <c r="D153" s="10">
        <f t="shared" si="2"/>
        <v>3810</v>
      </c>
    </row>
    <row r="154" spans="1:4" x14ac:dyDescent="0.25">
      <c r="A154" s="8">
        <v>46177</v>
      </c>
      <c r="B154" s="9" t="s">
        <v>3</v>
      </c>
      <c r="C154" s="10">
        <v>1080</v>
      </c>
      <c r="D154" s="10">
        <f t="shared" si="2"/>
        <v>4890</v>
      </c>
    </row>
    <row r="155" spans="1:4" x14ac:dyDescent="0.25">
      <c r="A155" s="8">
        <v>46177</v>
      </c>
      <c r="B155" s="9" t="s">
        <v>448</v>
      </c>
      <c r="C155" s="10">
        <v>-3810</v>
      </c>
      <c r="D155" s="10">
        <f t="shared" si="2"/>
        <v>1080</v>
      </c>
    </row>
    <row r="156" spans="1:4" x14ac:dyDescent="0.25">
      <c r="A156" s="8">
        <v>46181</v>
      </c>
      <c r="B156" s="9" t="s">
        <v>129</v>
      </c>
      <c r="C156" s="10">
        <v>2050</v>
      </c>
      <c r="D156" s="10">
        <f t="shared" si="2"/>
        <v>3130</v>
      </c>
    </row>
    <row r="157" spans="1:4" x14ac:dyDescent="0.25">
      <c r="A157" s="8">
        <v>46184</v>
      </c>
      <c r="B157" s="9" t="s">
        <v>459</v>
      </c>
      <c r="C157" s="10">
        <v>500</v>
      </c>
      <c r="D157" s="10">
        <f t="shared" si="2"/>
        <v>3630</v>
      </c>
    </row>
    <row r="158" spans="1:4" x14ac:dyDescent="0.25">
      <c r="A158" s="8">
        <v>46184</v>
      </c>
      <c r="B158" s="9" t="s">
        <v>178</v>
      </c>
      <c r="C158" s="10">
        <v>920</v>
      </c>
      <c r="D158" s="10">
        <f t="shared" si="2"/>
        <v>4550</v>
      </c>
    </row>
    <row r="159" spans="1:4" x14ac:dyDescent="0.25">
      <c r="A159" s="8">
        <v>46188</v>
      </c>
      <c r="B159" s="9" t="s">
        <v>3</v>
      </c>
      <c r="C159" s="10">
        <v>-3630</v>
      </c>
      <c r="D159" s="10">
        <f t="shared" si="2"/>
        <v>920</v>
      </c>
    </row>
    <row r="160" spans="1:4" x14ac:dyDescent="0.25">
      <c r="A160" s="8">
        <v>46191</v>
      </c>
      <c r="B160" s="9" t="s">
        <v>3</v>
      </c>
      <c r="C160" s="10">
        <v>2710</v>
      </c>
      <c r="D160" s="10">
        <f t="shared" si="2"/>
        <v>3630</v>
      </c>
    </row>
    <row r="161" spans="1:4" x14ac:dyDescent="0.25">
      <c r="A161" s="8">
        <v>46191</v>
      </c>
      <c r="B161" s="9" t="s">
        <v>178</v>
      </c>
      <c r="C161" s="10">
        <v>-920</v>
      </c>
      <c r="D161" s="10">
        <f t="shared" ref="D161:D219" si="3">D160+C161</f>
        <v>2710</v>
      </c>
    </row>
    <row r="162" spans="1:4" x14ac:dyDescent="0.25">
      <c r="A162" s="8">
        <v>46195</v>
      </c>
      <c r="B162" s="9" t="s">
        <v>3</v>
      </c>
      <c r="C162" s="10">
        <v>2030</v>
      </c>
      <c r="D162" s="10">
        <f t="shared" si="3"/>
        <v>4740</v>
      </c>
    </row>
    <row r="163" spans="1:4" x14ac:dyDescent="0.25">
      <c r="A163" s="8">
        <v>46195</v>
      </c>
      <c r="B163" s="9" t="s">
        <v>178</v>
      </c>
      <c r="C163" s="10">
        <v>-2710</v>
      </c>
      <c r="D163" s="10">
        <f t="shared" si="3"/>
        <v>2030</v>
      </c>
    </row>
    <row r="164" spans="1:4" x14ac:dyDescent="0.25">
      <c r="A164" s="8">
        <v>46198</v>
      </c>
      <c r="B164" s="9" t="s">
        <v>3</v>
      </c>
      <c r="C164" s="10">
        <f>180+300+170+300+300+100</f>
        <v>1350</v>
      </c>
      <c r="D164" s="10">
        <f t="shared" si="3"/>
        <v>3380</v>
      </c>
    </row>
    <row r="165" spans="1:4" x14ac:dyDescent="0.25">
      <c r="A165" s="8">
        <v>46198</v>
      </c>
      <c r="B165" s="9" t="s">
        <v>406</v>
      </c>
      <c r="C165" s="10">
        <v>-2030</v>
      </c>
      <c r="D165" s="10">
        <f t="shared" si="3"/>
        <v>1350</v>
      </c>
    </row>
    <row r="166" spans="1:4" x14ac:dyDescent="0.25">
      <c r="A166" s="8">
        <v>46202</v>
      </c>
      <c r="B166" s="9" t="s">
        <v>3</v>
      </c>
      <c r="C166" s="10">
        <f>1200+340+560</f>
        <v>2100</v>
      </c>
      <c r="D166" s="10">
        <f t="shared" si="3"/>
        <v>3450</v>
      </c>
    </row>
    <row r="167" spans="1:4" x14ac:dyDescent="0.25">
      <c r="A167" s="8">
        <v>46202</v>
      </c>
      <c r="B167" s="9" t="s">
        <v>375</v>
      </c>
      <c r="C167" s="10">
        <v>-1350</v>
      </c>
      <c r="D167" s="10">
        <f t="shared" si="3"/>
        <v>2100</v>
      </c>
    </row>
    <row r="168" spans="1:4" x14ac:dyDescent="0.25">
      <c r="A168" s="8">
        <v>46205</v>
      </c>
      <c r="B168" s="9" t="s">
        <v>3</v>
      </c>
      <c r="C168" s="10">
        <v>450</v>
      </c>
      <c r="D168" s="10">
        <f t="shared" si="3"/>
        <v>2550</v>
      </c>
    </row>
    <row r="169" spans="1:4" x14ac:dyDescent="0.25">
      <c r="A169" s="8">
        <v>46205</v>
      </c>
      <c r="B169" s="9" t="s">
        <v>178</v>
      </c>
      <c r="C169" s="10">
        <v>-2100</v>
      </c>
      <c r="D169" s="10">
        <f t="shared" si="3"/>
        <v>450</v>
      </c>
    </row>
    <row r="170" spans="1:4" x14ac:dyDescent="0.25">
      <c r="A170" s="8">
        <v>46209</v>
      </c>
      <c r="B170" s="9" t="s">
        <v>3</v>
      </c>
      <c r="C170" s="10">
        <f>140+140+250+550+300+600+700+170+100</f>
        <v>2950</v>
      </c>
      <c r="D170" s="10">
        <f t="shared" si="3"/>
        <v>3400</v>
      </c>
    </row>
    <row r="171" spans="1:4" x14ac:dyDescent="0.25">
      <c r="A171" s="8">
        <v>46212</v>
      </c>
      <c r="B171" s="9" t="s">
        <v>3</v>
      </c>
      <c r="C171" s="10">
        <f>1470+350</f>
        <v>1820</v>
      </c>
      <c r="D171" s="10">
        <f t="shared" si="3"/>
        <v>5220</v>
      </c>
    </row>
    <row r="172" spans="1:4" x14ac:dyDescent="0.25">
      <c r="A172" s="8">
        <v>46212</v>
      </c>
      <c r="B172" s="9" t="s">
        <v>178</v>
      </c>
      <c r="C172" s="10">
        <v>-3400</v>
      </c>
      <c r="D172" s="10">
        <f t="shared" si="3"/>
        <v>1820</v>
      </c>
    </row>
    <row r="173" spans="1:4" x14ac:dyDescent="0.25">
      <c r="A173" s="8">
        <v>46216</v>
      </c>
      <c r="B173" s="9" t="s">
        <v>3</v>
      </c>
      <c r="C173" s="10">
        <v>820</v>
      </c>
      <c r="D173" s="10">
        <f t="shared" si="3"/>
        <v>2640</v>
      </c>
    </row>
    <row r="174" spans="1:4" x14ac:dyDescent="0.25">
      <c r="A174" s="8">
        <v>46216</v>
      </c>
      <c r="B174" s="9" t="s">
        <v>178</v>
      </c>
      <c r="C174" s="10">
        <v>-1820</v>
      </c>
      <c r="D174" s="10">
        <f t="shared" si="3"/>
        <v>820</v>
      </c>
    </row>
    <row r="175" spans="1:4" x14ac:dyDescent="0.25">
      <c r="A175" s="8">
        <v>46219</v>
      </c>
      <c r="B175" s="9" t="s">
        <v>3</v>
      </c>
      <c r="C175" s="10">
        <v>1310</v>
      </c>
      <c r="D175" s="10">
        <f t="shared" si="3"/>
        <v>2130</v>
      </c>
    </row>
    <row r="176" spans="1:4" x14ac:dyDescent="0.25">
      <c r="A176" s="8">
        <v>46219</v>
      </c>
      <c r="B176" s="9" t="s">
        <v>178</v>
      </c>
      <c r="C176" s="10">
        <v>-820</v>
      </c>
      <c r="D176" s="10">
        <f t="shared" si="3"/>
        <v>1310</v>
      </c>
    </row>
    <row r="177" spans="1:4" x14ac:dyDescent="0.25">
      <c r="A177" s="8">
        <v>46223</v>
      </c>
      <c r="B177" s="9" t="s">
        <v>3</v>
      </c>
      <c r="C177" s="10">
        <v>1240</v>
      </c>
      <c r="D177" s="10">
        <f t="shared" si="3"/>
        <v>2550</v>
      </c>
    </row>
    <row r="178" spans="1:4" x14ac:dyDescent="0.25">
      <c r="A178" s="8">
        <v>46223</v>
      </c>
      <c r="B178" s="9" t="s">
        <v>178</v>
      </c>
      <c r="C178" s="10">
        <v>-1310</v>
      </c>
      <c r="D178" s="10">
        <f t="shared" si="3"/>
        <v>1240</v>
      </c>
    </row>
    <row r="179" spans="1:4" x14ac:dyDescent="0.25">
      <c r="A179" s="8">
        <v>46226</v>
      </c>
      <c r="B179" s="9" t="s">
        <v>3</v>
      </c>
      <c r="C179" s="10">
        <v>300</v>
      </c>
      <c r="D179" s="10">
        <f t="shared" si="3"/>
        <v>1540</v>
      </c>
    </row>
    <row r="180" spans="1:4" x14ac:dyDescent="0.25">
      <c r="A180" s="8">
        <v>46226</v>
      </c>
      <c r="B180" s="9" t="s">
        <v>178</v>
      </c>
      <c r="C180" s="10">
        <v>-1240</v>
      </c>
      <c r="D180" s="10">
        <f t="shared" si="3"/>
        <v>300</v>
      </c>
    </row>
    <row r="181" spans="1:4" x14ac:dyDescent="0.25">
      <c r="A181" s="8">
        <v>46230</v>
      </c>
      <c r="B181" s="9" t="s">
        <v>3</v>
      </c>
      <c r="C181" s="10">
        <v>1270</v>
      </c>
      <c r="D181" s="10">
        <f t="shared" si="3"/>
        <v>1570</v>
      </c>
    </row>
    <row r="182" spans="1:4" x14ac:dyDescent="0.25">
      <c r="A182" s="8">
        <v>46230</v>
      </c>
      <c r="B182" s="9" t="s">
        <v>178</v>
      </c>
      <c r="C182" s="10">
        <v>-300</v>
      </c>
      <c r="D182" s="10">
        <f t="shared" si="3"/>
        <v>1270</v>
      </c>
    </row>
    <row r="183" spans="1:4" x14ac:dyDescent="0.25">
      <c r="A183" s="8">
        <v>46233</v>
      </c>
      <c r="B183" s="9" t="s">
        <v>3</v>
      </c>
      <c r="C183" s="10">
        <v>1320</v>
      </c>
      <c r="D183" s="10">
        <f t="shared" si="3"/>
        <v>2590</v>
      </c>
    </row>
    <row r="184" spans="1:4" x14ac:dyDescent="0.25">
      <c r="A184" s="8">
        <v>46233</v>
      </c>
      <c r="B184" s="9" t="s">
        <v>178</v>
      </c>
      <c r="C184" s="10">
        <v>-1270</v>
      </c>
      <c r="D184" s="10">
        <f t="shared" si="3"/>
        <v>1320</v>
      </c>
    </row>
    <row r="185" spans="1:4" x14ac:dyDescent="0.25">
      <c r="A185" s="8">
        <v>46237</v>
      </c>
      <c r="B185" s="9" t="s">
        <v>459</v>
      </c>
      <c r="C185" s="10">
        <v>1110</v>
      </c>
      <c r="D185" s="10">
        <f t="shared" si="3"/>
        <v>2430</v>
      </c>
    </row>
    <row r="186" spans="1:4" x14ac:dyDescent="0.25">
      <c r="A186" s="8">
        <v>46237</v>
      </c>
      <c r="B186" s="9" t="s">
        <v>178</v>
      </c>
      <c r="C186" s="10">
        <v>-1320</v>
      </c>
      <c r="D186" s="10">
        <f t="shared" si="3"/>
        <v>1110</v>
      </c>
    </row>
    <row r="187" spans="1:4" x14ac:dyDescent="0.25">
      <c r="A187" s="8">
        <v>46240</v>
      </c>
      <c r="B187" s="9" t="s">
        <v>3</v>
      </c>
      <c r="C187" s="10">
        <v>1580</v>
      </c>
      <c r="D187" s="10">
        <f t="shared" si="3"/>
        <v>2690</v>
      </c>
    </row>
    <row r="188" spans="1:4" x14ac:dyDescent="0.25">
      <c r="A188" s="8">
        <v>46240</v>
      </c>
      <c r="B188" s="9" t="s">
        <v>178</v>
      </c>
      <c r="C188" s="10">
        <v>-1110</v>
      </c>
      <c r="D188" s="10">
        <f t="shared" si="3"/>
        <v>1580</v>
      </c>
    </row>
    <row r="189" spans="1:4" x14ac:dyDescent="0.25">
      <c r="A189" s="8">
        <v>46247</v>
      </c>
      <c r="B189" s="9" t="s">
        <v>3</v>
      </c>
      <c r="C189" s="10">
        <v>1280</v>
      </c>
      <c r="D189" s="10">
        <f t="shared" si="3"/>
        <v>2860</v>
      </c>
    </row>
    <row r="190" spans="1:4" x14ac:dyDescent="0.25">
      <c r="A190" s="8">
        <v>46247</v>
      </c>
      <c r="B190" s="9" t="s">
        <v>178</v>
      </c>
      <c r="C190" s="10">
        <v>-1580</v>
      </c>
      <c r="D190" s="10">
        <f t="shared" si="3"/>
        <v>1280</v>
      </c>
    </row>
    <row r="191" spans="1:4" x14ac:dyDescent="0.25">
      <c r="A191" s="8">
        <v>46251</v>
      </c>
      <c r="B191" s="9" t="s">
        <v>3</v>
      </c>
      <c r="C191" s="10">
        <v>1020</v>
      </c>
      <c r="D191" s="10">
        <f t="shared" si="3"/>
        <v>2300</v>
      </c>
    </row>
    <row r="192" spans="1:4" x14ac:dyDescent="0.25">
      <c r="A192" s="8">
        <v>46251</v>
      </c>
      <c r="B192" s="9" t="s">
        <v>178</v>
      </c>
      <c r="C192" s="10">
        <v>-1280</v>
      </c>
      <c r="D192" s="10">
        <f t="shared" si="3"/>
        <v>1020</v>
      </c>
    </row>
    <row r="193" spans="1:4" x14ac:dyDescent="0.25">
      <c r="A193" s="8">
        <v>46254</v>
      </c>
      <c r="B193" s="9" t="s">
        <v>3</v>
      </c>
      <c r="C193" s="10">
        <v>1590</v>
      </c>
      <c r="D193" s="10">
        <f t="shared" si="3"/>
        <v>2610</v>
      </c>
    </row>
    <row r="194" spans="1:4" x14ac:dyDescent="0.25">
      <c r="A194" s="8">
        <v>46254</v>
      </c>
      <c r="B194" s="9" t="s">
        <v>178</v>
      </c>
      <c r="C194" s="10">
        <v>-1020</v>
      </c>
      <c r="D194" s="10">
        <f t="shared" si="3"/>
        <v>1590</v>
      </c>
    </row>
    <row r="195" spans="1:4" x14ac:dyDescent="0.25">
      <c r="A195" s="8">
        <v>46261</v>
      </c>
      <c r="B195" s="9" t="s">
        <v>3</v>
      </c>
      <c r="C195" s="10">
        <v>980</v>
      </c>
      <c r="D195" s="10">
        <f t="shared" si="3"/>
        <v>2570</v>
      </c>
    </row>
    <row r="196" spans="1:4" x14ac:dyDescent="0.25">
      <c r="A196" s="8">
        <v>46261</v>
      </c>
      <c r="B196" s="9" t="s">
        <v>178</v>
      </c>
      <c r="C196" s="10">
        <v>-1590</v>
      </c>
      <c r="D196" s="10">
        <f t="shared" si="3"/>
        <v>980</v>
      </c>
    </row>
    <row r="197" spans="1:4" x14ac:dyDescent="0.25">
      <c r="A197" s="8">
        <v>46265</v>
      </c>
      <c r="B197" s="9" t="s">
        <v>3</v>
      </c>
      <c r="C197" s="10">
        <v>1940</v>
      </c>
      <c r="D197" s="10">
        <f t="shared" si="3"/>
        <v>2920</v>
      </c>
    </row>
    <row r="198" spans="1:4" x14ac:dyDescent="0.25">
      <c r="A198" s="8">
        <v>46265</v>
      </c>
      <c r="B198" s="9" t="s">
        <v>178</v>
      </c>
      <c r="C198" s="10">
        <v>-980</v>
      </c>
      <c r="D198" s="10">
        <f t="shared" si="3"/>
        <v>1940</v>
      </c>
    </row>
    <row r="199" spans="1:4" x14ac:dyDescent="0.25">
      <c r="A199" s="8">
        <v>46268</v>
      </c>
      <c r="B199" s="9" t="s">
        <v>3</v>
      </c>
      <c r="C199" s="10">
        <v>3170</v>
      </c>
      <c r="D199" s="10">
        <f t="shared" si="3"/>
        <v>5110</v>
      </c>
    </row>
    <row r="200" spans="1:4" x14ac:dyDescent="0.25">
      <c r="A200" s="8">
        <v>46268</v>
      </c>
      <c r="B200" s="9" t="s">
        <v>178</v>
      </c>
      <c r="C200" s="10">
        <v>-1940</v>
      </c>
      <c r="D200" s="10">
        <f t="shared" si="3"/>
        <v>3170</v>
      </c>
    </row>
    <row r="201" spans="1:4" x14ac:dyDescent="0.25">
      <c r="A201" s="8">
        <v>46272</v>
      </c>
      <c r="B201" s="9" t="s">
        <v>3</v>
      </c>
      <c r="C201" s="10">
        <v>300</v>
      </c>
      <c r="D201" s="10">
        <f t="shared" si="3"/>
        <v>3470</v>
      </c>
    </row>
    <row r="202" spans="1:4" x14ac:dyDescent="0.25">
      <c r="A202" s="8">
        <v>46272</v>
      </c>
      <c r="B202" s="9" t="s">
        <v>178</v>
      </c>
      <c r="C202" s="10">
        <v>-3170</v>
      </c>
      <c r="D202" s="10">
        <f t="shared" si="3"/>
        <v>300</v>
      </c>
    </row>
    <row r="203" spans="1:4" x14ac:dyDescent="0.25">
      <c r="A203" s="8">
        <v>46275</v>
      </c>
      <c r="B203" s="9" t="s">
        <v>3</v>
      </c>
      <c r="C203" s="10">
        <v>1570</v>
      </c>
      <c r="D203" s="10">
        <f t="shared" si="3"/>
        <v>1870</v>
      </c>
    </row>
    <row r="204" spans="1:4" x14ac:dyDescent="0.25">
      <c r="A204" s="8">
        <v>46275</v>
      </c>
      <c r="B204" s="9" t="s">
        <v>178</v>
      </c>
      <c r="C204" s="10">
        <v>-300</v>
      </c>
      <c r="D204" s="10">
        <f t="shared" si="3"/>
        <v>1570</v>
      </c>
    </row>
    <row r="205" spans="1:4" x14ac:dyDescent="0.25">
      <c r="A205" s="8">
        <v>46279</v>
      </c>
      <c r="B205" s="9" t="s">
        <v>3</v>
      </c>
      <c r="C205" s="10">
        <v>920</v>
      </c>
      <c r="D205" s="10">
        <f t="shared" si="3"/>
        <v>2490</v>
      </c>
    </row>
    <row r="206" spans="1:4" x14ac:dyDescent="0.25">
      <c r="A206" s="8">
        <v>46279</v>
      </c>
      <c r="B206" s="9" t="s">
        <v>178</v>
      </c>
      <c r="C206" s="10">
        <v>-1570</v>
      </c>
      <c r="D206" s="10">
        <f t="shared" si="3"/>
        <v>920</v>
      </c>
    </row>
    <row r="207" spans="1:4" x14ac:dyDescent="0.25">
      <c r="A207" s="8">
        <v>46282</v>
      </c>
      <c r="B207" s="9" t="s">
        <v>3</v>
      </c>
      <c r="C207" s="10">
        <v>2650</v>
      </c>
      <c r="D207" s="10">
        <f t="shared" si="3"/>
        <v>3570</v>
      </c>
    </row>
    <row r="208" spans="1:4" x14ac:dyDescent="0.25">
      <c r="A208" s="8">
        <v>46282</v>
      </c>
      <c r="B208" s="9" t="s">
        <v>178</v>
      </c>
      <c r="C208" s="10">
        <v>-920</v>
      </c>
      <c r="D208" s="10">
        <f t="shared" si="3"/>
        <v>2650</v>
      </c>
    </row>
    <row r="209" spans="1:4" x14ac:dyDescent="0.25">
      <c r="A209" s="8">
        <v>46286</v>
      </c>
      <c r="B209" s="9" t="s">
        <v>3</v>
      </c>
      <c r="C209" s="10">
        <v>600</v>
      </c>
      <c r="D209" s="10">
        <f t="shared" si="3"/>
        <v>3250</v>
      </c>
    </row>
    <row r="210" spans="1:4" x14ac:dyDescent="0.25">
      <c r="A210" s="8">
        <v>46289</v>
      </c>
      <c r="B210" s="9" t="s">
        <v>3</v>
      </c>
      <c r="C210" s="10">
        <v>3040</v>
      </c>
      <c r="D210" s="10">
        <f t="shared" si="3"/>
        <v>6290</v>
      </c>
    </row>
    <row r="211" spans="1:4" x14ac:dyDescent="0.25">
      <c r="A211" s="8">
        <v>46289</v>
      </c>
      <c r="B211" s="9" t="s">
        <v>178</v>
      </c>
      <c r="C211" s="10">
        <v>-3250</v>
      </c>
      <c r="D211" s="10">
        <f t="shared" si="3"/>
        <v>3040</v>
      </c>
    </row>
    <row r="212" spans="1:4" x14ac:dyDescent="0.25">
      <c r="A212" s="8">
        <v>46293</v>
      </c>
      <c r="B212" s="9" t="s">
        <v>3</v>
      </c>
      <c r="C212" s="10">
        <v>1060</v>
      </c>
      <c r="D212" s="10">
        <f t="shared" si="3"/>
        <v>4100</v>
      </c>
    </row>
    <row r="213" spans="1:4" x14ac:dyDescent="0.25">
      <c r="A213" s="8">
        <v>46296</v>
      </c>
      <c r="B213" s="9" t="s">
        <v>589</v>
      </c>
      <c r="C213" s="10">
        <v>870</v>
      </c>
      <c r="D213" s="10">
        <f t="shared" si="3"/>
        <v>4970</v>
      </c>
    </row>
    <row r="214" spans="1:4" x14ac:dyDescent="0.25">
      <c r="A214" s="8">
        <v>46296</v>
      </c>
      <c r="B214" s="9" t="s">
        <v>178</v>
      </c>
      <c r="C214" s="10">
        <v>-4100</v>
      </c>
      <c r="D214" s="10">
        <f t="shared" si="3"/>
        <v>870</v>
      </c>
    </row>
    <row r="215" spans="1:4" x14ac:dyDescent="0.25">
      <c r="A215" s="8">
        <v>46300</v>
      </c>
      <c r="B215" s="9" t="s">
        <v>178</v>
      </c>
      <c r="C215" s="10">
        <v>-870</v>
      </c>
      <c r="D215" s="10">
        <f t="shared" si="3"/>
        <v>0</v>
      </c>
    </row>
    <row r="216" spans="1:4" x14ac:dyDescent="0.25">
      <c r="A216" s="8">
        <v>46300</v>
      </c>
      <c r="B216" s="9" t="s">
        <v>589</v>
      </c>
      <c r="C216" s="10">
        <v>1120</v>
      </c>
      <c r="D216" s="10">
        <f t="shared" si="3"/>
        <v>1120</v>
      </c>
    </row>
    <row r="217" spans="1:4" x14ac:dyDescent="0.25">
      <c r="A217" s="8"/>
      <c r="B217" s="9"/>
      <c r="C217" s="10"/>
      <c r="D217" s="10">
        <f t="shared" si="3"/>
        <v>1120</v>
      </c>
    </row>
    <row r="218" spans="1:4" x14ac:dyDescent="0.25">
      <c r="A218" s="9"/>
      <c r="B218" s="9"/>
      <c r="C218" s="10"/>
      <c r="D218" s="10">
        <f t="shared" si="3"/>
        <v>1120</v>
      </c>
    </row>
    <row r="219" spans="1:4" x14ac:dyDescent="0.25">
      <c r="A219" s="9"/>
      <c r="B219" s="9"/>
      <c r="C219" s="10"/>
      <c r="D219" s="10">
        <f t="shared" si="3"/>
        <v>1120</v>
      </c>
    </row>
  </sheetData>
  <mergeCells count="2">
    <mergeCell ref="A4:D4"/>
    <mergeCell ref="B6:D6"/>
  </mergeCells>
  <pageMargins left="0.7" right="0.7" top="0.75" bottom="0.75" header="0.3" footer="0.3"/>
  <drawing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CD627-77CC-41F7-8A86-1EF27CB67398}">
  <dimension ref="A4:G190"/>
  <sheetViews>
    <sheetView topLeftCell="A105" workbookViewId="0">
      <selection activeCell="B129" sqref="B129"/>
    </sheetView>
  </sheetViews>
  <sheetFormatPr baseColWidth="10" defaultRowHeight="15" x14ac:dyDescent="0.25"/>
  <cols>
    <col min="1" max="1" width="28.28515625" customWidth="1"/>
    <col min="2" max="2" width="33.5703125" customWidth="1"/>
    <col min="3" max="3" width="23.42578125" style="6" customWidth="1"/>
    <col min="4" max="4" width="21.85546875" style="6" customWidth="1"/>
  </cols>
  <sheetData>
    <row r="4" spans="1:7" ht="18" x14ac:dyDescent="0.25">
      <c r="A4" s="98" t="s">
        <v>0</v>
      </c>
      <c r="B4" s="98"/>
      <c r="C4" s="98"/>
      <c r="D4" s="98"/>
      <c r="E4" s="1"/>
      <c r="F4" s="1"/>
      <c r="G4" s="1"/>
    </row>
    <row r="6" spans="1:7" x14ac:dyDescent="0.25">
      <c r="A6" s="2" t="s">
        <v>1</v>
      </c>
      <c r="B6" s="96" t="s">
        <v>31</v>
      </c>
      <c r="C6" s="97"/>
      <c r="D6" s="97"/>
    </row>
    <row r="7" spans="1:7" x14ac:dyDescent="0.25">
      <c r="A7" s="3" t="s">
        <v>11</v>
      </c>
      <c r="B7" s="4" t="s">
        <v>27</v>
      </c>
      <c r="C7" s="4"/>
      <c r="D7" s="4"/>
    </row>
    <row r="8" spans="1:7" x14ac:dyDescent="0.25">
      <c r="B8" s="5"/>
    </row>
    <row r="9" spans="1:7" x14ac:dyDescent="0.25">
      <c r="A9" s="2" t="s">
        <v>2</v>
      </c>
      <c r="B9" s="2" t="s">
        <v>3</v>
      </c>
      <c r="C9" s="7" t="s">
        <v>4</v>
      </c>
      <c r="D9" s="7" t="s">
        <v>5</v>
      </c>
    </row>
    <row r="10" spans="1:7" x14ac:dyDescent="0.25">
      <c r="A10" s="8">
        <v>45834</v>
      </c>
      <c r="B10" s="9" t="s">
        <v>6</v>
      </c>
      <c r="C10" s="10">
        <v>28700</v>
      </c>
      <c r="D10" s="10">
        <f>C10</f>
        <v>28700</v>
      </c>
    </row>
    <row r="11" spans="1:7" x14ac:dyDescent="0.25">
      <c r="A11" s="8">
        <v>45852</v>
      </c>
      <c r="B11" s="9" t="s">
        <v>7</v>
      </c>
      <c r="C11" s="10">
        <v>-8640</v>
      </c>
      <c r="D11" s="10">
        <f>D10+C11</f>
        <v>20060</v>
      </c>
    </row>
    <row r="12" spans="1:7" x14ac:dyDescent="0.25">
      <c r="A12" s="8">
        <v>45852</v>
      </c>
      <c r="B12" s="9" t="s">
        <v>6</v>
      </c>
      <c r="C12" s="10">
        <v>1640</v>
      </c>
      <c r="D12" s="10">
        <f t="shared" ref="D12:D33" si="0">D11+C12</f>
        <v>21700</v>
      </c>
    </row>
    <row r="13" spans="1:7" x14ac:dyDescent="0.25">
      <c r="A13" s="8">
        <v>45855</v>
      </c>
      <c r="B13" s="9" t="s">
        <v>6</v>
      </c>
      <c r="C13" s="10">
        <v>6480</v>
      </c>
      <c r="D13" s="10">
        <f t="shared" si="0"/>
        <v>28180</v>
      </c>
    </row>
    <row r="14" spans="1:7" x14ac:dyDescent="0.25">
      <c r="A14" s="8">
        <v>45855</v>
      </c>
      <c r="B14" s="9" t="s">
        <v>7</v>
      </c>
      <c r="C14" s="10">
        <v>-6480</v>
      </c>
      <c r="D14" s="10">
        <f t="shared" si="0"/>
        <v>21700</v>
      </c>
    </row>
    <row r="15" spans="1:7" x14ac:dyDescent="0.25">
      <c r="A15" s="8">
        <v>45858</v>
      </c>
      <c r="B15" s="9" t="s">
        <v>6</v>
      </c>
      <c r="C15" s="10">
        <v>5380</v>
      </c>
      <c r="D15" s="11">
        <f t="shared" si="0"/>
        <v>27080</v>
      </c>
    </row>
    <row r="16" spans="1:7" x14ac:dyDescent="0.25">
      <c r="A16" s="8">
        <v>45859</v>
      </c>
      <c r="B16" s="9" t="s">
        <v>74</v>
      </c>
      <c r="C16" s="10">
        <v>-5380</v>
      </c>
      <c r="D16" s="10">
        <f t="shared" si="0"/>
        <v>21700</v>
      </c>
    </row>
    <row r="17" spans="1:4" x14ac:dyDescent="0.25">
      <c r="A17" s="8">
        <v>45862</v>
      </c>
      <c r="B17" s="9" t="s">
        <v>6</v>
      </c>
      <c r="C17" s="10">
        <v>4840</v>
      </c>
      <c r="D17" s="10">
        <f t="shared" si="0"/>
        <v>26540</v>
      </c>
    </row>
    <row r="18" spans="1:4" x14ac:dyDescent="0.25">
      <c r="A18" s="8">
        <v>45869</v>
      </c>
      <c r="B18" s="9" t="s">
        <v>3</v>
      </c>
      <c r="C18" s="10">
        <v>9820</v>
      </c>
      <c r="D18" s="10">
        <f t="shared" si="0"/>
        <v>36360</v>
      </c>
    </row>
    <row r="19" spans="1:4" x14ac:dyDescent="0.25">
      <c r="A19" s="8">
        <v>45869</v>
      </c>
      <c r="B19" s="9" t="s">
        <v>46</v>
      </c>
      <c r="C19" s="10">
        <v>-6000</v>
      </c>
      <c r="D19" s="10">
        <f t="shared" si="0"/>
        <v>30360</v>
      </c>
    </row>
    <row r="20" spans="1:4" x14ac:dyDescent="0.25">
      <c r="A20" s="8">
        <v>45872</v>
      </c>
      <c r="B20" s="9" t="s">
        <v>6</v>
      </c>
      <c r="C20" s="10">
        <v>6530</v>
      </c>
      <c r="D20" s="10">
        <f t="shared" si="0"/>
        <v>36890</v>
      </c>
    </row>
    <row r="21" spans="1:4" x14ac:dyDescent="0.25">
      <c r="A21" s="8">
        <v>45875</v>
      </c>
      <c r="B21" s="9" t="s">
        <v>6</v>
      </c>
      <c r="C21" s="10">
        <v>9470</v>
      </c>
      <c r="D21" s="10">
        <f t="shared" si="0"/>
        <v>46360</v>
      </c>
    </row>
    <row r="22" spans="1:4" x14ac:dyDescent="0.25">
      <c r="A22" s="8">
        <v>45876</v>
      </c>
      <c r="B22" s="9" t="s">
        <v>74</v>
      </c>
      <c r="C22" s="10">
        <v>-10200</v>
      </c>
      <c r="D22" s="10">
        <f t="shared" si="0"/>
        <v>36160</v>
      </c>
    </row>
    <row r="23" spans="1:4" x14ac:dyDescent="0.25">
      <c r="A23" s="8">
        <v>45879</v>
      </c>
      <c r="B23" s="9" t="s">
        <v>46</v>
      </c>
      <c r="C23" s="10">
        <v>-9000</v>
      </c>
      <c r="D23" s="10">
        <f t="shared" si="0"/>
        <v>27160</v>
      </c>
    </row>
    <row r="24" spans="1:4" x14ac:dyDescent="0.25">
      <c r="A24" s="8">
        <v>45879</v>
      </c>
      <c r="B24" s="9" t="s">
        <v>6</v>
      </c>
      <c r="C24" s="10">
        <v>9050</v>
      </c>
      <c r="D24" s="10">
        <f t="shared" si="0"/>
        <v>36210</v>
      </c>
    </row>
    <row r="25" spans="1:4" x14ac:dyDescent="0.25">
      <c r="A25" s="8">
        <v>45883</v>
      </c>
      <c r="B25" s="9" t="s">
        <v>46</v>
      </c>
      <c r="C25" s="10">
        <v>-6000</v>
      </c>
      <c r="D25" s="10">
        <f t="shared" si="0"/>
        <v>30210</v>
      </c>
    </row>
    <row r="26" spans="1:4" x14ac:dyDescent="0.25">
      <c r="A26" s="8">
        <v>45890</v>
      </c>
      <c r="B26" s="9" t="s">
        <v>46</v>
      </c>
      <c r="C26" s="10">
        <v>-9000</v>
      </c>
      <c r="D26" s="10">
        <f t="shared" si="0"/>
        <v>21210</v>
      </c>
    </row>
    <row r="27" spans="1:4" x14ac:dyDescent="0.25">
      <c r="A27" s="8">
        <v>45894</v>
      </c>
      <c r="B27" s="9" t="s">
        <v>101</v>
      </c>
      <c r="C27" s="10">
        <v>7630</v>
      </c>
      <c r="D27" s="10">
        <f t="shared" si="0"/>
        <v>28840</v>
      </c>
    </row>
    <row r="28" spans="1:4" x14ac:dyDescent="0.25">
      <c r="A28" s="8">
        <v>45894</v>
      </c>
      <c r="B28" s="9" t="s">
        <v>46</v>
      </c>
      <c r="C28" s="10">
        <v>-7630</v>
      </c>
      <c r="D28" s="10">
        <f t="shared" si="0"/>
        <v>21210</v>
      </c>
    </row>
    <row r="29" spans="1:4" x14ac:dyDescent="0.25">
      <c r="A29" s="8">
        <v>45897</v>
      </c>
      <c r="B29" s="9" t="s">
        <v>3</v>
      </c>
      <c r="C29" s="10">
        <v>4990</v>
      </c>
      <c r="D29" s="10">
        <f t="shared" si="0"/>
        <v>26200</v>
      </c>
    </row>
    <row r="30" spans="1:4" x14ac:dyDescent="0.25">
      <c r="A30" s="8">
        <v>45897</v>
      </c>
      <c r="B30" s="9" t="s">
        <v>74</v>
      </c>
      <c r="C30" s="10">
        <v>-5160</v>
      </c>
      <c r="D30" s="10">
        <f t="shared" si="0"/>
        <v>21040</v>
      </c>
    </row>
    <row r="31" spans="1:4" x14ac:dyDescent="0.25">
      <c r="A31" s="8">
        <v>45901</v>
      </c>
      <c r="B31" s="9" t="s">
        <v>3</v>
      </c>
      <c r="C31" s="10">
        <v>9550</v>
      </c>
      <c r="D31" s="10">
        <f t="shared" si="0"/>
        <v>30590</v>
      </c>
    </row>
    <row r="32" spans="1:4" x14ac:dyDescent="0.25">
      <c r="A32" s="8">
        <v>45905</v>
      </c>
      <c r="B32" s="9" t="s">
        <v>3</v>
      </c>
      <c r="C32" s="10">
        <v>8320</v>
      </c>
      <c r="D32" s="10">
        <f t="shared" si="0"/>
        <v>38910</v>
      </c>
    </row>
    <row r="33" spans="1:4" x14ac:dyDescent="0.25">
      <c r="A33" s="8">
        <v>45905</v>
      </c>
      <c r="B33" s="9" t="s">
        <v>74</v>
      </c>
      <c r="C33" s="10">
        <v>-10000</v>
      </c>
      <c r="D33" s="10">
        <f t="shared" si="0"/>
        <v>28910</v>
      </c>
    </row>
    <row r="34" spans="1:4" x14ac:dyDescent="0.25">
      <c r="A34" s="8">
        <v>45908</v>
      </c>
      <c r="B34" s="9" t="s">
        <v>3</v>
      </c>
      <c r="C34" s="10">
        <v>4660</v>
      </c>
      <c r="D34" s="10">
        <f>D33+C34</f>
        <v>33570</v>
      </c>
    </row>
    <row r="35" spans="1:4" x14ac:dyDescent="0.25">
      <c r="A35" s="8">
        <v>45911</v>
      </c>
      <c r="B35" s="9" t="s">
        <v>3</v>
      </c>
      <c r="C35" s="10">
        <v>8290</v>
      </c>
      <c r="D35" s="10">
        <f t="shared" ref="D35:D99" si="1">D34+C35</f>
        <v>41860</v>
      </c>
    </row>
    <row r="36" spans="1:4" x14ac:dyDescent="0.25">
      <c r="A36" s="8">
        <v>45911</v>
      </c>
      <c r="B36" s="9" t="s">
        <v>75</v>
      </c>
      <c r="C36" s="10">
        <v>-8000</v>
      </c>
      <c r="D36" s="10">
        <f t="shared" si="1"/>
        <v>33860</v>
      </c>
    </row>
    <row r="37" spans="1:4" x14ac:dyDescent="0.25">
      <c r="A37" s="8">
        <v>45915</v>
      </c>
      <c r="B37" s="9" t="s">
        <v>118</v>
      </c>
      <c r="C37" s="10">
        <v>9420</v>
      </c>
      <c r="D37" s="10">
        <f t="shared" si="1"/>
        <v>43280</v>
      </c>
    </row>
    <row r="38" spans="1:4" x14ac:dyDescent="0.25">
      <c r="A38" s="8">
        <v>45918</v>
      </c>
      <c r="B38" s="9" t="s">
        <v>149</v>
      </c>
      <c r="C38" s="10">
        <v>26860</v>
      </c>
      <c r="D38" s="10">
        <f t="shared" si="1"/>
        <v>70140</v>
      </c>
    </row>
    <row r="39" spans="1:4" x14ac:dyDescent="0.25">
      <c r="A39" s="8">
        <v>45920</v>
      </c>
      <c r="B39" s="9" t="s">
        <v>150</v>
      </c>
      <c r="C39" s="10">
        <v>-20000</v>
      </c>
      <c r="D39" s="10">
        <f t="shared" si="1"/>
        <v>50140</v>
      </c>
    </row>
    <row r="40" spans="1:4" x14ac:dyDescent="0.25">
      <c r="A40" s="8">
        <v>45922</v>
      </c>
      <c r="B40" s="9" t="s">
        <v>3</v>
      </c>
      <c r="C40" s="10">
        <v>1990</v>
      </c>
      <c r="D40" s="10">
        <f t="shared" si="1"/>
        <v>52130</v>
      </c>
    </row>
    <row r="41" spans="1:4" x14ac:dyDescent="0.25">
      <c r="A41" s="8">
        <v>45922</v>
      </c>
      <c r="B41" s="9" t="s">
        <v>46</v>
      </c>
      <c r="C41" s="10">
        <v>-10000</v>
      </c>
      <c r="D41" s="10">
        <f t="shared" si="1"/>
        <v>42130</v>
      </c>
    </row>
    <row r="42" spans="1:4" x14ac:dyDescent="0.25">
      <c r="A42" s="8">
        <v>45929</v>
      </c>
      <c r="B42" s="9" t="s">
        <v>3</v>
      </c>
      <c r="C42" s="10">
        <v>9010</v>
      </c>
      <c r="D42" s="10">
        <f t="shared" si="1"/>
        <v>51140</v>
      </c>
    </row>
    <row r="43" spans="1:4" x14ac:dyDescent="0.25">
      <c r="A43" s="8">
        <v>45932</v>
      </c>
      <c r="B43" s="9" t="s">
        <v>3</v>
      </c>
      <c r="C43" s="10">
        <v>3610</v>
      </c>
      <c r="D43" s="10">
        <f t="shared" si="1"/>
        <v>54750</v>
      </c>
    </row>
    <row r="44" spans="1:4" x14ac:dyDescent="0.25">
      <c r="A44" s="8">
        <v>45936</v>
      </c>
      <c r="B44" s="9" t="s">
        <v>3</v>
      </c>
      <c r="C44" s="10">
        <v>3010</v>
      </c>
      <c r="D44" s="10">
        <f t="shared" si="1"/>
        <v>57760</v>
      </c>
    </row>
    <row r="45" spans="1:4" x14ac:dyDescent="0.25">
      <c r="A45" s="8">
        <v>45936</v>
      </c>
      <c r="B45" s="9" t="s">
        <v>92</v>
      </c>
      <c r="C45" s="10">
        <v>-9000</v>
      </c>
      <c r="D45" s="10">
        <f t="shared" si="1"/>
        <v>48760</v>
      </c>
    </row>
    <row r="46" spans="1:4" x14ac:dyDescent="0.25">
      <c r="A46" s="8">
        <v>45939</v>
      </c>
      <c r="B46" s="9" t="s">
        <v>3</v>
      </c>
      <c r="C46" s="10">
        <v>8960</v>
      </c>
      <c r="D46" s="10">
        <f t="shared" si="1"/>
        <v>57720</v>
      </c>
    </row>
    <row r="47" spans="1:4" x14ac:dyDescent="0.25">
      <c r="A47" s="8">
        <v>45939</v>
      </c>
      <c r="B47" s="9" t="s">
        <v>178</v>
      </c>
      <c r="C47" s="10">
        <v>-5000</v>
      </c>
      <c r="D47" s="10">
        <f t="shared" si="1"/>
        <v>52720</v>
      </c>
    </row>
    <row r="48" spans="1:4" x14ac:dyDescent="0.25">
      <c r="A48" s="8">
        <v>45943</v>
      </c>
      <c r="B48" s="9" t="s">
        <v>3</v>
      </c>
      <c r="C48" s="10">
        <v>5380</v>
      </c>
      <c r="D48" s="10">
        <f t="shared" si="1"/>
        <v>58100</v>
      </c>
    </row>
    <row r="49" spans="1:4" x14ac:dyDescent="0.25">
      <c r="A49" s="8">
        <v>45946</v>
      </c>
      <c r="B49" s="9" t="s">
        <v>3</v>
      </c>
      <c r="C49" s="10">
        <v>5040</v>
      </c>
      <c r="D49" s="10">
        <f t="shared" si="1"/>
        <v>63140</v>
      </c>
    </row>
    <row r="50" spans="1:4" x14ac:dyDescent="0.25">
      <c r="A50" s="8">
        <v>45946</v>
      </c>
      <c r="B50" s="9" t="s">
        <v>178</v>
      </c>
      <c r="C50" s="10">
        <v>-12000</v>
      </c>
      <c r="D50" s="10">
        <f t="shared" si="1"/>
        <v>51140</v>
      </c>
    </row>
    <row r="51" spans="1:4" x14ac:dyDescent="0.25">
      <c r="A51" s="8">
        <v>45950</v>
      </c>
      <c r="B51" s="9" t="s">
        <v>3</v>
      </c>
      <c r="C51" s="10">
        <v>13430</v>
      </c>
      <c r="D51" s="10">
        <f t="shared" si="1"/>
        <v>64570</v>
      </c>
    </row>
    <row r="52" spans="1:4" x14ac:dyDescent="0.25">
      <c r="A52" s="8">
        <v>45950</v>
      </c>
      <c r="B52" s="9" t="s">
        <v>178</v>
      </c>
      <c r="C52" s="10">
        <v>-18000</v>
      </c>
      <c r="D52" s="10">
        <f t="shared" si="1"/>
        <v>46570</v>
      </c>
    </row>
    <row r="53" spans="1:4" x14ac:dyDescent="0.25">
      <c r="A53" s="8">
        <v>45953</v>
      </c>
      <c r="B53" s="9" t="s">
        <v>3</v>
      </c>
      <c r="C53" s="10">
        <v>10570</v>
      </c>
      <c r="D53" s="10">
        <f t="shared" si="1"/>
        <v>57140</v>
      </c>
    </row>
    <row r="54" spans="1:4" x14ac:dyDescent="0.25">
      <c r="A54" s="8">
        <v>45957</v>
      </c>
      <c r="B54" s="9" t="s">
        <v>3</v>
      </c>
      <c r="C54" s="10">
        <v>8590</v>
      </c>
      <c r="D54" s="10">
        <f t="shared" si="1"/>
        <v>65730</v>
      </c>
    </row>
    <row r="55" spans="1:4" x14ac:dyDescent="0.25">
      <c r="A55" s="8">
        <v>45957</v>
      </c>
      <c r="B55" s="9" t="s">
        <v>7</v>
      </c>
      <c r="C55" s="10">
        <v>-20000</v>
      </c>
      <c r="D55" s="10">
        <f t="shared" si="1"/>
        <v>45730</v>
      </c>
    </row>
    <row r="56" spans="1:4" x14ac:dyDescent="0.25">
      <c r="A56" s="8">
        <v>45960</v>
      </c>
      <c r="B56" s="9" t="s">
        <v>3</v>
      </c>
      <c r="C56" s="10">
        <v>10150</v>
      </c>
      <c r="D56" s="10">
        <f t="shared" si="1"/>
        <v>55880</v>
      </c>
    </row>
    <row r="57" spans="1:4" x14ac:dyDescent="0.25">
      <c r="A57" s="8">
        <v>45964</v>
      </c>
      <c r="B57" s="9" t="s">
        <v>3</v>
      </c>
      <c r="C57" s="10">
        <v>1250</v>
      </c>
      <c r="D57" s="10">
        <f t="shared" si="1"/>
        <v>57130</v>
      </c>
    </row>
    <row r="58" spans="1:4" x14ac:dyDescent="0.25">
      <c r="A58" s="8">
        <v>45967</v>
      </c>
      <c r="B58" s="9" t="s">
        <v>3</v>
      </c>
      <c r="C58" s="10">
        <v>11930</v>
      </c>
      <c r="D58" s="10">
        <f t="shared" si="1"/>
        <v>69060</v>
      </c>
    </row>
    <row r="59" spans="1:4" x14ac:dyDescent="0.25">
      <c r="A59" s="8">
        <v>45967</v>
      </c>
      <c r="B59" s="9" t="s">
        <v>92</v>
      </c>
      <c r="C59" s="10">
        <v>-20000</v>
      </c>
      <c r="D59" s="10">
        <f t="shared" si="1"/>
        <v>49060</v>
      </c>
    </row>
    <row r="60" spans="1:4" x14ac:dyDescent="0.25">
      <c r="A60" s="8">
        <v>45971</v>
      </c>
      <c r="B60" s="9" t="s">
        <v>3</v>
      </c>
      <c r="C60" s="10">
        <v>3330</v>
      </c>
      <c r="D60" s="10">
        <f t="shared" si="1"/>
        <v>52390</v>
      </c>
    </row>
    <row r="61" spans="1:4" x14ac:dyDescent="0.25">
      <c r="A61" s="8">
        <v>45971</v>
      </c>
      <c r="B61" s="9" t="s">
        <v>92</v>
      </c>
      <c r="C61" s="10">
        <v>-4000</v>
      </c>
      <c r="D61" s="10">
        <f t="shared" si="1"/>
        <v>48390</v>
      </c>
    </row>
    <row r="62" spans="1:4" x14ac:dyDescent="0.25">
      <c r="A62" s="8">
        <v>45974</v>
      </c>
      <c r="B62" s="9" t="s">
        <v>3</v>
      </c>
      <c r="C62" s="10">
        <v>6820</v>
      </c>
      <c r="D62" s="10">
        <f t="shared" si="1"/>
        <v>55210</v>
      </c>
    </row>
    <row r="63" spans="1:4" x14ac:dyDescent="0.25">
      <c r="A63" s="8">
        <v>45974</v>
      </c>
      <c r="B63" s="9" t="s">
        <v>92</v>
      </c>
      <c r="C63" s="10">
        <v>-10000</v>
      </c>
      <c r="D63" s="10">
        <f t="shared" si="1"/>
        <v>45210</v>
      </c>
    </row>
    <row r="64" spans="1:4" x14ac:dyDescent="0.25">
      <c r="A64" s="8">
        <v>45978</v>
      </c>
      <c r="B64" s="9" t="s">
        <v>3</v>
      </c>
      <c r="C64" s="10">
        <v>7540</v>
      </c>
      <c r="D64" s="10">
        <f t="shared" si="1"/>
        <v>52750</v>
      </c>
    </row>
    <row r="65" spans="1:4" x14ac:dyDescent="0.25">
      <c r="A65" s="8">
        <v>45978</v>
      </c>
      <c r="B65" s="9" t="s">
        <v>92</v>
      </c>
      <c r="C65" s="10">
        <v>-6500</v>
      </c>
      <c r="D65" s="10">
        <f t="shared" si="1"/>
        <v>46250</v>
      </c>
    </row>
    <row r="66" spans="1:4" x14ac:dyDescent="0.25">
      <c r="A66" s="8">
        <v>45981</v>
      </c>
      <c r="B66" s="9" t="s">
        <v>92</v>
      </c>
      <c r="C66" s="10">
        <v>-17000</v>
      </c>
      <c r="D66" s="10">
        <f t="shared" si="1"/>
        <v>29250</v>
      </c>
    </row>
    <row r="67" spans="1:4" x14ac:dyDescent="0.25">
      <c r="A67" s="8">
        <v>45981</v>
      </c>
      <c r="B67" s="9" t="s">
        <v>3</v>
      </c>
      <c r="C67" s="10">
        <v>18810</v>
      </c>
      <c r="D67" s="10">
        <f t="shared" si="1"/>
        <v>48060</v>
      </c>
    </row>
    <row r="68" spans="1:4" x14ac:dyDescent="0.25">
      <c r="A68" s="8">
        <v>45985</v>
      </c>
      <c r="B68" s="9" t="s">
        <v>92</v>
      </c>
      <c r="C68" s="10">
        <v>-10000</v>
      </c>
      <c r="D68" s="10">
        <f t="shared" si="1"/>
        <v>38060</v>
      </c>
    </row>
    <row r="69" spans="1:4" x14ac:dyDescent="0.25">
      <c r="A69" s="8">
        <v>45986</v>
      </c>
      <c r="B69" s="9" t="s">
        <v>3</v>
      </c>
      <c r="C69" s="10">
        <v>6120</v>
      </c>
      <c r="D69" s="10">
        <f t="shared" si="1"/>
        <v>44180</v>
      </c>
    </row>
    <row r="70" spans="1:4" x14ac:dyDescent="0.25">
      <c r="A70" s="8">
        <v>45988</v>
      </c>
      <c r="B70" s="9" t="s">
        <v>92</v>
      </c>
      <c r="C70" s="10">
        <v>-5000</v>
      </c>
      <c r="D70" s="10">
        <f t="shared" si="1"/>
        <v>39180</v>
      </c>
    </row>
    <row r="71" spans="1:4" x14ac:dyDescent="0.25">
      <c r="A71" s="8">
        <v>45988</v>
      </c>
      <c r="B71" s="9" t="s">
        <v>3</v>
      </c>
      <c r="C71" s="10">
        <v>11370</v>
      </c>
      <c r="D71" s="10">
        <f t="shared" si="1"/>
        <v>50550</v>
      </c>
    </row>
    <row r="72" spans="1:4" x14ac:dyDescent="0.25">
      <c r="A72" s="8">
        <v>45992</v>
      </c>
      <c r="B72" s="9" t="s">
        <v>3</v>
      </c>
      <c r="C72" s="10">
        <v>7700</v>
      </c>
      <c r="D72" s="10">
        <f t="shared" si="1"/>
        <v>58250</v>
      </c>
    </row>
    <row r="73" spans="1:4" x14ac:dyDescent="0.25">
      <c r="A73" s="8">
        <v>45992</v>
      </c>
      <c r="B73" s="9" t="s">
        <v>92</v>
      </c>
      <c r="C73" s="10">
        <v>-5000</v>
      </c>
      <c r="D73" s="10">
        <f t="shared" si="1"/>
        <v>53250</v>
      </c>
    </row>
    <row r="74" spans="1:4" x14ac:dyDescent="0.25">
      <c r="A74" s="8">
        <v>45995</v>
      </c>
      <c r="B74" s="9" t="s">
        <v>3</v>
      </c>
      <c r="C74" s="10">
        <v>11590</v>
      </c>
      <c r="D74" s="10">
        <f t="shared" si="1"/>
        <v>64840</v>
      </c>
    </row>
    <row r="75" spans="1:4" x14ac:dyDescent="0.25">
      <c r="A75" s="8">
        <v>45995</v>
      </c>
      <c r="B75" s="9" t="s">
        <v>92</v>
      </c>
      <c r="C75" s="10">
        <v>-8000</v>
      </c>
      <c r="D75" s="10">
        <f t="shared" si="1"/>
        <v>56840</v>
      </c>
    </row>
    <row r="76" spans="1:4" x14ac:dyDescent="0.25">
      <c r="A76" s="8">
        <v>46003</v>
      </c>
      <c r="B76" s="9" t="s">
        <v>3</v>
      </c>
      <c r="C76" s="10">
        <v>5920</v>
      </c>
      <c r="D76" s="10">
        <f t="shared" si="1"/>
        <v>62760</v>
      </c>
    </row>
    <row r="77" spans="1:4" x14ac:dyDescent="0.25">
      <c r="A77" s="8">
        <v>46003</v>
      </c>
      <c r="B77" s="9" t="s">
        <v>127</v>
      </c>
      <c r="C77" s="10">
        <v>-5920</v>
      </c>
      <c r="D77" s="10">
        <f t="shared" si="1"/>
        <v>56840</v>
      </c>
    </row>
    <row r="78" spans="1:4" x14ac:dyDescent="0.25">
      <c r="A78" s="8">
        <v>46006</v>
      </c>
      <c r="B78" s="9" t="s">
        <v>3</v>
      </c>
      <c r="C78" s="10">
        <v>13500</v>
      </c>
      <c r="D78" s="10">
        <f t="shared" si="1"/>
        <v>70340</v>
      </c>
    </row>
    <row r="79" spans="1:4" x14ac:dyDescent="0.25">
      <c r="A79" s="8">
        <v>46006</v>
      </c>
      <c r="B79" s="9" t="s">
        <v>92</v>
      </c>
      <c r="C79" s="10">
        <v>-10000</v>
      </c>
      <c r="D79" s="10">
        <f t="shared" si="1"/>
        <v>60340</v>
      </c>
    </row>
    <row r="80" spans="1:4" x14ac:dyDescent="0.25">
      <c r="A80" s="8">
        <v>46009</v>
      </c>
      <c r="B80" s="9" t="s">
        <v>92</v>
      </c>
      <c r="C80" s="10">
        <v>-16000</v>
      </c>
      <c r="D80" s="10">
        <f t="shared" si="1"/>
        <v>44340</v>
      </c>
    </row>
    <row r="81" spans="1:4" x14ac:dyDescent="0.25">
      <c r="A81" s="8">
        <v>46009</v>
      </c>
      <c r="B81" s="9" t="s">
        <v>3</v>
      </c>
      <c r="C81" s="10">
        <v>17970</v>
      </c>
      <c r="D81" s="10">
        <f t="shared" si="1"/>
        <v>62310</v>
      </c>
    </row>
    <row r="82" spans="1:4" x14ac:dyDescent="0.25">
      <c r="A82" s="8">
        <v>46013</v>
      </c>
      <c r="B82" s="9" t="s">
        <v>3</v>
      </c>
      <c r="C82" s="10">
        <v>10780</v>
      </c>
      <c r="D82" s="10">
        <f t="shared" si="1"/>
        <v>73090</v>
      </c>
    </row>
    <row r="83" spans="1:4" x14ac:dyDescent="0.25">
      <c r="A83" s="8">
        <v>46013</v>
      </c>
      <c r="B83" s="9" t="s">
        <v>178</v>
      </c>
      <c r="C83" s="10">
        <v>-12000</v>
      </c>
      <c r="D83" s="10">
        <f t="shared" si="1"/>
        <v>61090</v>
      </c>
    </row>
    <row r="84" spans="1:4" x14ac:dyDescent="0.25">
      <c r="A84" s="8">
        <v>46017</v>
      </c>
      <c r="B84" s="9" t="s">
        <v>3</v>
      </c>
      <c r="C84" s="10">
        <v>6360</v>
      </c>
      <c r="D84" s="10">
        <f t="shared" si="1"/>
        <v>67450</v>
      </c>
    </row>
    <row r="85" spans="1:4" x14ac:dyDescent="0.25">
      <c r="A85" s="8">
        <v>46017</v>
      </c>
      <c r="B85" s="9" t="s">
        <v>178</v>
      </c>
      <c r="C85" s="10">
        <v>-15000</v>
      </c>
      <c r="D85" s="10">
        <f t="shared" si="1"/>
        <v>52450</v>
      </c>
    </row>
    <row r="86" spans="1:4" x14ac:dyDescent="0.25">
      <c r="A86" s="8">
        <v>46020</v>
      </c>
      <c r="B86" s="9" t="s">
        <v>3</v>
      </c>
      <c r="C86" s="10">
        <v>12420</v>
      </c>
      <c r="D86" s="10">
        <f t="shared" si="1"/>
        <v>64870</v>
      </c>
    </row>
    <row r="87" spans="1:4" x14ac:dyDescent="0.25">
      <c r="A87" s="8">
        <v>46020</v>
      </c>
      <c r="B87" s="9" t="s">
        <v>178</v>
      </c>
      <c r="C87" s="10">
        <v>-10000</v>
      </c>
      <c r="D87" s="10">
        <f t="shared" si="1"/>
        <v>54870</v>
      </c>
    </row>
    <row r="88" spans="1:4" x14ac:dyDescent="0.25">
      <c r="A88" s="8">
        <v>46024</v>
      </c>
      <c r="B88" s="9" t="s">
        <v>92</v>
      </c>
      <c r="C88" s="10">
        <v>-5500</v>
      </c>
      <c r="D88" s="10">
        <f t="shared" si="1"/>
        <v>49370</v>
      </c>
    </row>
    <row r="89" spans="1:4" x14ac:dyDescent="0.25">
      <c r="A89" s="8">
        <v>46030</v>
      </c>
      <c r="B89" s="9" t="s">
        <v>3</v>
      </c>
      <c r="C89" s="10">
        <v>14060</v>
      </c>
      <c r="D89" s="10">
        <f t="shared" si="1"/>
        <v>63430</v>
      </c>
    </row>
    <row r="90" spans="1:4" x14ac:dyDescent="0.25">
      <c r="A90" s="8">
        <v>45665</v>
      </c>
      <c r="B90" s="9" t="s">
        <v>92</v>
      </c>
      <c r="C90" s="10">
        <v>-10000</v>
      </c>
      <c r="D90" s="10">
        <f t="shared" si="1"/>
        <v>53430</v>
      </c>
    </row>
    <row r="91" spans="1:4" x14ac:dyDescent="0.25">
      <c r="A91" s="8">
        <v>46034</v>
      </c>
      <c r="B91" s="9" t="s">
        <v>278</v>
      </c>
      <c r="C91" s="10">
        <v>12550</v>
      </c>
      <c r="D91" s="10">
        <f t="shared" si="1"/>
        <v>65980</v>
      </c>
    </row>
    <row r="92" spans="1:4" x14ac:dyDescent="0.25">
      <c r="A92" s="8">
        <v>46034</v>
      </c>
      <c r="B92" s="9" t="s">
        <v>178</v>
      </c>
      <c r="C92" s="10">
        <v>-15000</v>
      </c>
      <c r="D92" s="10">
        <f t="shared" si="1"/>
        <v>50980</v>
      </c>
    </row>
    <row r="93" spans="1:4" x14ac:dyDescent="0.25">
      <c r="A93" s="8">
        <v>46037</v>
      </c>
      <c r="B93" s="9" t="s">
        <v>300</v>
      </c>
      <c r="C93" s="10">
        <v>9290</v>
      </c>
      <c r="D93" s="10">
        <f t="shared" si="1"/>
        <v>60270</v>
      </c>
    </row>
    <row r="94" spans="1:4" x14ac:dyDescent="0.25">
      <c r="A94" s="8">
        <v>46039</v>
      </c>
      <c r="B94" s="9" t="s">
        <v>179</v>
      </c>
      <c r="C94" s="10">
        <v>-10000</v>
      </c>
      <c r="D94" s="10">
        <f t="shared" si="1"/>
        <v>50270</v>
      </c>
    </row>
    <row r="95" spans="1:4" x14ac:dyDescent="0.25">
      <c r="A95" s="8">
        <v>46041</v>
      </c>
      <c r="B95" s="9" t="s">
        <v>301</v>
      </c>
      <c r="C95" s="10">
        <v>12910</v>
      </c>
      <c r="D95" s="10">
        <f t="shared" si="1"/>
        <v>63180</v>
      </c>
    </row>
    <row r="96" spans="1:4" x14ac:dyDescent="0.25">
      <c r="A96" s="8">
        <v>46041</v>
      </c>
      <c r="B96" s="9" t="s">
        <v>178</v>
      </c>
      <c r="C96" s="10">
        <v>-5000</v>
      </c>
      <c r="D96" s="10">
        <f t="shared" si="1"/>
        <v>58180</v>
      </c>
    </row>
    <row r="97" spans="1:4" x14ac:dyDescent="0.25">
      <c r="A97" s="8">
        <v>46042</v>
      </c>
      <c r="B97" s="9" t="s">
        <v>179</v>
      </c>
      <c r="C97" s="10">
        <v>-10000</v>
      </c>
      <c r="D97" s="10">
        <f t="shared" si="1"/>
        <v>48180</v>
      </c>
    </row>
    <row r="98" spans="1:4" x14ac:dyDescent="0.25">
      <c r="A98" s="8">
        <v>46043</v>
      </c>
      <c r="B98" s="9" t="s">
        <v>127</v>
      </c>
      <c r="C98" s="10">
        <v>-40000</v>
      </c>
      <c r="D98" s="10">
        <f t="shared" si="1"/>
        <v>8180</v>
      </c>
    </row>
    <row r="99" spans="1:4" x14ac:dyDescent="0.25">
      <c r="A99" s="8">
        <v>46044</v>
      </c>
      <c r="B99" s="9" t="s">
        <v>310</v>
      </c>
      <c r="C99" s="10">
        <v>26810</v>
      </c>
      <c r="D99" s="10">
        <f t="shared" si="1"/>
        <v>34990</v>
      </c>
    </row>
    <row r="100" spans="1:4" x14ac:dyDescent="0.25">
      <c r="A100" s="8">
        <v>46048</v>
      </c>
      <c r="B100" s="9" t="s">
        <v>309</v>
      </c>
      <c r="C100" s="10">
        <v>7660</v>
      </c>
      <c r="D100" s="10">
        <f t="shared" ref="D100:D131" si="2">D99+C100</f>
        <v>42650</v>
      </c>
    </row>
    <row r="101" spans="1:4" x14ac:dyDescent="0.25">
      <c r="A101" s="8">
        <v>46048</v>
      </c>
      <c r="B101" s="9" t="s">
        <v>178</v>
      </c>
      <c r="C101" s="10">
        <v>-8000</v>
      </c>
      <c r="D101" s="10">
        <f t="shared" si="2"/>
        <v>34650</v>
      </c>
    </row>
    <row r="102" spans="1:4" x14ac:dyDescent="0.25">
      <c r="A102" s="13">
        <v>46051</v>
      </c>
      <c r="B102" s="9" t="s">
        <v>3</v>
      </c>
      <c r="C102" s="10">
        <v>4200</v>
      </c>
      <c r="D102" s="10">
        <f t="shared" si="2"/>
        <v>38850</v>
      </c>
    </row>
    <row r="103" spans="1:4" x14ac:dyDescent="0.25">
      <c r="A103" s="8">
        <v>46055</v>
      </c>
      <c r="B103" s="9" t="s">
        <v>308</v>
      </c>
      <c r="C103" s="10">
        <v>7050</v>
      </c>
      <c r="D103" s="10">
        <f t="shared" si="2"/>
        <v>45900</v>
      </c>
    </row>
    <row r="104" spans="1:4" x14ac:dyDescent="0.25">
      <c r="A104" s="8">
        <v>46055</v>
      </c>
      <c r="B104" s="9" t="s">
        <v>178</v>
      </c>
      <c r="C104" s="10">
        <v>-18000</v>
      </c>
      <c r="D104" s="10">
        <f>D103+C104</f>
        <v>27900</v>
      </c>
    </row>
    <row r="105" spans="1:4" x14ac:dyDescent="0.25">
      <c r="A105" s="8">
        <v>46059</v>
      </c>
      <c r="B105" s="9" t="s">
        <v>320</v>
      </c>
      <c r="C105" s="10">
        <v>15840</v>
      </c>
      <c r="D105" s="10">
        <f t="shared" si="2"/>
        <v>43740</v>
      </c>
    </row>
    <row r="106" spans="1:4" x14ac:dyDescent="0.25">
      <c r="A106" s="8">
        <v>46059</v>
      </c>
      <c r="B106" s="9" t="s">
        <v>178</v>
      </c>
      <c r="C106" s="10">
        <v>-14000</v>
      </c>
      <c r="D106" s="10">
        <f t="shared" si="2"/>
        <v>29740</v>
      </c>
    </row>
    <row r="107" spans="1:4" x14ac:dyDescent="0.25">
      <c r="A107" s="8">
        <v>46059</v>
      </c>
      <c r="B107" s="9" t="s">
        <v>179</v>
      </c>
      <c r="C107" s="10">
        <v>-5000</v>
      </c>
      <c r="D107" s="10">
        <f t="shared" si="2"/>
        <v>24740</v>
      </c>
    </row>
    <row r="108" spans="1:4" x14ac:dyDescent="0.25">
      <c r="A108" s="8">
        <v>46062</v>
      </c>
      <c r="B108" s="9" t="s">
        <v>3</v>
      </c>
      <c r="C108" s="10">
        <v>10000</v>
      </c>
      <c r="D108" s="10">
        <f t="shared" si="2"/>
        <v>34740</v>
      </c>
    </row>
    <row r="109" spans="1:4" x14ac:dyDescent="0.25">
      <c r="A109" s="8">
        <v>46063</v>
      </c>
      <c r="B109" s="9" t="s">
        <v>127</v>
      </c>
      <c r="C109" s="10">
        <v>-18500</v>
      </c>
      <c r="D109" s="10">
        <f t="shared" si="2"/>
        <v>16240</v>
      </c>
    </row>
    <row r="110" spans="1:4" x14ac:dyDescent="0.25">
      <c r="A110" s="8">
        <v>46065</v>
      </c>
      <c r="B110" s="9" t="s">
        <v>327</v>
      </c>
      <c r="C110" s="10">
        <v>56930</v>
      </c>
      <c r="D110" s="10">
        <f t="shared" si="2"/>
        <v>73170</v>
      </c>
    </row>
    <row r="111" spans="1:4" x14ac:dyDescent="0.25">
      <c r="A111" s="8">
        <v>46069</v>
      </c>
      <c r="B111" s="9" t="s">
        <v>127</v>
      </c>
      <c r="C111" s="10">
        <v>-30000</v>
      </c>
      <c r="D111" s="10">
        <f t="shared" si="2"/>
        <v>43170</v>
      </c>
    </row>
    <row r="112" spans="1:4" x14ac:dyDescent="0.25">
      <c r="A112" s="8">
        <v>46069</v>
      </c>
      <c r="B112" s="9" t="s">
        <v>178</v>
      </c>
      <c r="C112" s="10">
        <v>-20000</v>
      </c>
      <c r="D112" s="10">
        <f t="shared" si="2"/>
        <v>23170</v>
      </c>
    </row>
    <row r="113" spans="1:4" x14ac:dyDescent="0.25">
      <c r="A113" s="8">
        <v>46069</v>
      </c>
      <c r="B113" s="9" t="s">
        <v>3</v>
      </c>
      <c r="C113" s="10">
        <v>3200</v>
      </c>
      <c r="D113" s="10">
        <f t="shared" si="2"/>
        <v>26370</v>
      </c>
    </row>
    <row r="114" spans="1:4" x14ac:dyDescent="0.25">
      <c r="A114" s="8">
        <v>46072</v>
      </c>
      <c r="B114" s="9" t="s">
        <v>3</v>
      </c>
      <c r="C114" s="10">
        <v>3170</v>
      </c>
      <c r="D114" s="10">
        <f t="shared" si="2"/>
        <v>29540</v>
      </c>
    </row>
    <row r="115" spans="1:4" x14ac:dyDescent="0.25">
      <c r="A115" s="8">
        <v>46076</v>
      </c>
      <c r="B115" s="9" t="s">
        <v>3</v>
      </c>
      <c r="C115" s="10">
        <v>8630</v>
      </c>
      <c r="D115" s="10">
        <f t="shared" si="2"/>
        <v>38170</v>
      </c>
    </row>
    <row r="116" spans="1:4" x14ac:dyDescent="0.25">
      <c r="A116" s="8">
        <v>46132</v>
      </c>
      <c r="B116" s="9" t="s">
        <v>3</v>
      </c>
      <c r="C116" s="10">
        <v>2510</v>
      </c>
      <c r="D116" s="10">
        <f t="shared" si="2"/>
        <v>40680</v>
      </c>
    </row>
    <row r="117" spans="1:4" x14ac:dyDescent="0.25">
      <c r="A117" s="8">
        <v>46132</v>
      </c>
      <c r="B117" s="9" t="s">
        <v>178</v>
      </c>
      <c r="C117" s="10">
        <v>-2510</v>
      </c>
      <c r="D117" s="10">
        <f t="shared" si="2"/>
        <v>38170</v>
      </c>
    </row>
    <row r="118" spans="1:4" x14ac:dyDescent="0.25">
      <c r="A118" s="8">
        <v>46135</v>
      </c>
      <c r="B118" s="9" t="s">
        <v>3</v>
      </c>
      <c r="C118" s="10">
        <v>5300</v>
      </c>
      <c r="D118" s="10">
        <f t="shared" si="2"/>
        <v>43470</v>
      </c>
    </row>
    <row r="119" spans="1:4" x14ac:dyDescent="0.25">
      <c r="A119" s="8">
        <v>46135</v>
      </c>
      <c r="B119" s="9" t="s">
        <v>178</v>
      </c>
      <c r="C119" s="10">
        <v>-2500</v>
      </c>
      <c r="D119" s="10">
        <f t="shared" si="2"/>
        <v>40970</v>
      </c>
    </row>
    <row r="120" spans="1:4" x14ac:dyDescent="0.25">
      <c r="A120" s="8">
        <v>46139</v>
      </c>
      <c r="B120" s="9" t="s">
        <v>178</v>
      </c>
      <c r="C120" s="10">
        <v>-2700</v>
      </c>
      <c r="D120" s="10">
        <f t="shared" si="2"/>
        <v>38270</v>
      </c>
    </row>
    <row r="121" spans="1:4" x14ac:dyDescent="0.25">
      <c r="A121" s="8">
        <v>46155</v>
      </c>
      <c r="B121" s="9" t="s">
        <v>419</v>
      </c>
      <c r="C121" s="10">
        <v>16130</v>
      </c>
      <c r="D121" s="10">
        <f t="shared" si="2"/>
        <v>54400</v>
      </c>
    </row>
    <row r="122" spans="1:4" x14ac:dyDescent="0.25">
      <c r="A122" s="8">
        <v>46155</v>
      </c>
      <c r="B122" s="9" t="s">
        <v>127</v>
      </c>
      <c r="C122" s="10">
        <v>-16130</v>
      </c>
      <c r="D122" s="10">
        <f t="shared" si="2"/>
        <v>38270</v>
      </c>
    </row>
    <row r="123" spans="1:4" x14ac:dyDescent="0.25">
      <c r="A123" s="8">
        <v>46282</v>
      </c>
      <c r="B123" s="9" t="s">
        <v>3</v>
      </c>
      <c r="C123" s="10">
        <v>31380</v>
      </c>
      <c r="D123" s="10">
        <f t="shared" si="2"/>
        <v>69650</v>
      </c>
    </row>
    <row r="124" spans="1:4" x14ac:dyDescent="0.25">
      <c r="A124" s="8">
        <v>46282</v>
      </c>
      <c r="B124" s="9" t="s">
        <v>178</v>
      </c>
      <c r="C124" s="10">
        <v>-31380</v>
      </c>
      <c r="D124" s="10">
        <f t="shared" si="2"/>
        <v>38270</v>
      </c>
    </row>
    <row r="125" spans="1:4" x14ac:dyDescent="0.25">
      <c r="A125" s="8">
        <v>46293</v>
      </c>
      <c r="B125" s="9" t="s">
        <v>3</v>
      </c>
      <c r="C125" s="10">
        <v>11150</v>
      </c>
      <c r="D125" s="10">
        <f t="shared" si="2"/>
        <v>49420</v>
      </c>
    </row>
    <row r="126" spans="1:4" x14ac:dyDescent="0.25">
      <c r="A126" s="8">
        <v>46293</v>
      </c>
      <c r="B126" s="9" t="s">
        <v>178</v>
      </c>
      <c r="C126" s="10">
        <v>-11150</v>
      </c>
      <c r="D126" s="10">
        <f t="shared" si="2"/>
        <v>38270</v>
      </c>
    </row>
    <row r="127" spans="1:4" x14ac:dyDescent="0.25">
      <c r="A127" s="8">
        <v>46296</v>
      </c>
      <c r="B127" s="9" t="s">
        <v>3</v>
      </c>
      <c r="C127" s="10">
        <v>2450</v>
      </c>
      <c r="D127" s="10">
        <f t="shared" si="2"/>
        <v>40720</v>
      </c>
    </row>
    <row r="128" spans="1:4" x14ac:dyDescent="0.25">
      <c r="A128" s="8">
        <v>46296</v>
      </c>
      <c r="B128" s="9" t="s">
        <v>178</v>
      </c>
      <c r="C128" s="10">
        <v>-2450</v>
      </c>
      <c r="D128" s="10">
        <f t="shared" si="2"/>
        <v>38270</v>
      </c>
    </row>
    <row r="129" spans="1:4" x14ac:dyDescent="0.25">
      <c r="A129" s="9"/>
      <c r="B129" s="9"/>
      <c r="C129" s="10"/>
      <c r="D129" s="10">
        <f t="shared" si="2"/>
        <v>38270</v>
      </c>
    </row>
    <row r="130" spans="1:4" x14ac:dyDescent="0.25">
      <c r="A130" s="9"/>
      <c r="B130" s="9"/>
      <c r="C130" s="10"/>
      <c r="D130" s="10">
        <f t="shared" si="2"/>
        <v>38270</v>
      </c>
    </row>
    <row r="131" spans="1:4" x14ac:dyDescent="0.25">
      <c r="A131" s="9"/>
      <c r="B131" s="9"/>
      <c r="C131" s="10"/>
      <c r="D131" s="10">
        <f t="shared" si="2"/>
        <v>38270</v>
      </c>
    </row>
    <row r="132" spans="1:4" x14ac:dyDescent="0.25">
      <c r="A132" s="9"/>
      <c r="B132" s="9"/>
      <c r="C132" s="10"/>
      <c r="D132" s="10"/>
    </row>
    <row r="133" spans="1:4" x14ac:dyDescent="0.25">
      <c r="A133" s="9"/>
      <c r="B133" s="9"/>
      <c r="C133" s="10"/>
      <c r="D133" s="10"/>
    </row>
    <row r="134" spans="1:4" x14ac:dyDescent="0.25">
      <c r="A134" s="9"/>
      <c r="B134" s="9"/>
      <c r="C134" s="10"/>
      <c r="D134" s="10"/>
    </row>
    <row r="135" spans="1:4" x14ac:dyDescent="0.25">
      <c r="A135" s="9"/>
      <c r="B135" s="9"/>
      <c r="C135" s="10"/>
      <c r="D135" s="10"/>
    </row>
    <row r="136" spans="1:4" x14ac:dyDescent="0.25">
      <c r="A136" s="9"/>
      <c r="B136" s="9"/>
      <c r="C136" s="10"/>
      <c r="D136" s="10"/>
    </row>
    <row r="137" spans="1:4" x14ac:dyDescent="0.25">
      <c r="A137" s="9"/>
      <c r="B137" s="9"/>
      <c r="C137" s="10"/>
      <c r="D137" s="10"/>
    </row>
    <row r="138" spans="1:4" x14ac:dyDescent="0.25">
      <c r="A138" s="9"/>
      <c r="B138" s="9"/>
      <c r="C138" s="10"/>
      <c r="D138" s="10"/>
    </row>
    <row r="139" spans="1:4" x14ac:dyDescent="0.25">
      <c r="A139" s="9"/>
      <c r="B139" s="9"/>
      <c r="C139" s="10"/>
      <c r="D139" s="10"/>
    </row>
    <row r="140" spans="1:4" x14ac:dyDescent="0.25">
      <c r="A140" s="9"/>
      <c r="B140" s="9"/>
      <c r="C140" s="10"/>
      <c r="D140" s="10"/>
    </row>
    <row r="141" spans="1:4" x14ac:dyDescent="0.25">
      <c r="A141" s="9"/>
      <c r="B141" s="9"/>
      <c r="C141" s="10"/>
      <c r="D141" s="10"/>
    </row>
    <row r="142" spans="1:4" x14ac:dyDescent="0.25">
      <c r="A142" s="9"/>
      <c r="B142" s="9"/>
      <c r="C142" s="10"/>
      <c r="D142" s="10"/>
    </row>
    <row r="143" spans="1:4" x14ac:dyDescent="0.25">
      <c r="A143" s="9"/>
      <c r="B143" s="9"/>
      <c r="C143" s="10"/>
      <c r="D143" s="10"/>
    </row>
    <row r="144" spans="1:4" x14ac:dyDescent="0.25">
      <c r="A144" s="9"/>
      <c r="B144" s="9"/>
      <c r="C144" s="10"/>
      <c r="D144" s="10"/>
    </row>
    <row r="145" spans="1:4" x14ac:dyDescent="0.25">
      <c r="A145" s="9"/>
      <c r="B145" s="9"/>
      <c r="C145" s="10"/>
      <c r="D145" s="10"/>
    </row>
    <row r="146" spans="1:4" x14ac:dyDescent="0.25">
      <c r="A146" s="9"/>
      <c r="B146" s="9"/>
      <c r="C146" s="10"/>
      <c r="D146" s="10"/>
    </row>
    <row r="147" spans="1:4" x14ac:dyDescent="0.25">
      <c r="A147" s="9"/>
      <c r="B147" s="9"/>
      <c r="C147" s="10"/>
      <c r="D147" s="10"/>
    </row>
    <row r="148" spans="1:4" x14ac:dyDescent="0.25">
      <c r="A148" s="9"/>
      <c r="B148" s="9"/>
      <c r="C148" s="10"/>
      <c r="D148" s="10"/>
    </row>
    <row r="149" spans="1:4" x14ac:dyDescent="0.25">
      <c r="A149" s="9"/>
      <c r="B149" s="9"/>
      <c r="C149" s="10"/>
      <c r="D149" s="10"/>
    </row>
    <row r="150" spans="1:4" x14ac:dyDescent="0.25">
      <c r="A150" s="9"/>
      <c r="B150" s="9"/>
      <c r="C150" s="10"/>
      <c r="D150" s="10"/>
    </row>
    <row r="151" spans="1:4" x14ac:dyDescent="0.25">
      <c r="A151" s="9"/>
      <c r="B151" s="9"/>
      <c r="C151" s="10"/>
      <c r="D151" s="10"/>
    </row>
    <row r="152" spans="1:4" x14ac:dyDescent="0.25">
      <c r="A152" s="9"/>
      <c r="B152" s="9"/>
      <c r="C152" s="10"/>
      <c r="D152" s="10"/>
    </row>
    <row r="153" spans="1:4" x14ac:dyDescent="0.25">
      <c r="A153" s="9"/>
      <c r="B153" s="9"/>
      <c r="C153" s="10"/>
      <c r="D153" s="10"/>
    </row>
    <row r="154" spans="1:4" x14ac:dyDescent="0.25">
      <c r="A154" s="9"/>
      <c r="B154" s="9"/>
      <c r="C154" s="10"/>
      <c r="D154" s="10"/>
    </row>
    <row r="155" spans="1:4" x14ac:dyDescent="0.25">
      <c r="A155" s="9"/>
      <c r="B155" s="9"/>
      <c r="C155" s="10"/>
      <c r="D155" s="10"/>
    </row>
    <row r="156" spans="1:4" x14ac:dyDescent="0.25">
      <c r="A156" s="9"/>
      <c r="B156" s="9"/>
      <c r="C156" s="10"/>
      <c r="D156" s="10"/>
    </row>
    <row r="157" spans="1:4" x14ac:dyDescent="0.25">
      <c r="A157" s="9"/>
      <c r="B157" s="9"/>
      <c r="C157" s="10"/>
      <c r="D157" s="10"/>
    </row>
    <row r="158" spans="1:4" x14ac:dyDescent="0.25">
      <c r="A158" s="9"/>
      <c r="B158" s="9"/>
      <c r="C158" s="10"/>
      <c r="D158" s="10"/>
    </row>
    <row r="159" spans="1:4" x14ac:dyDescent="0.25">
      <c r="A159" s="9"/>
      <c r="B159" s="9"/>
      <c r="C159" s="10"/>
      <c r="D159" s="10"/>
    </row>
    <row r="160" spans="1:4" x14ac:dyDescent="0.25">
      <c r="A160" s="9"/>
      <c r="B160" s="9"/>
      <c r="C160" s="10"/>
      <c r="D160" s="10"/>
    </row>
    <row r="161" spans="1:4" x14ac:dyDescent="0.25">
      <c r="A161" s="9"/>
      <c r="B161" s="9"/>
      <c r="C161" s="10"/>
      <c r="D161" s="10"/>
    </row>
    <row r="162" spans="1:4" x14ac:dyDescent="0.25">
      <c r="A162" s="9"/>
      <c r="B162" s="9"/>
      <c r="C162" s="10"/>
      <c r="D162" s="10"/>
    </row>
    <row r="163" spans="1:4" x14ac:dyDescent="0.25">
      <c r="A163" s="9"/>
      <c r="B163" s="9"/>
      <c r="C163" s="10"/>
      <c r="D163" s="10"/>
    </row>
    <row r="164" spans="1:4" x14ac:dyDescent="0.25">
      <c r="A164" s="9"/>
      <c r="B164" s="9"/>
      <c r="C164" s="10"/>
      <c r="D164" s="10"/>
    </row>
    <row r="165" spans="1:4" x14ac:dyDescent="0.25">
      <c r="A165" s="9"/>
      <c r="B165" s="9"/>
      <c r="C165" s="10"/>
      <c r="D165" s="10"/>
    </row>
    <row r="166" spans="1:4" x14ac:dyDescent="0.25">
      <c r="A166" s="9"/>
      <c r="B166" s="9"/>
      <c r="C166" s="10"/>
      <c r="D166" s="10"/>
    </row>
    <row r="167" spans="1:4" x14ac:dyDescent="0.25">
      <c r="A167" s="9"/>
      <c r="B167" s="9"/>
      <c r="C167" s="10"/>
      <c r="D167" s="10"/>
    </row>
    <row r="168" spans="1:4" x14ac:dyDescent="0.25">
      <c r="A168" s="9"/>
      <c r="B168" s="9"/>
      <c r="C168" s="10"/>
      <c r="D168" s="10"/>
    </row>
    <row r="169" spans="1:4" x14ac:dyDescent="0.25">
      <c r="A169" s="9"/>
      <c r="B169" s="9"/>
      <c r="C169" s="10"/>
      <c r="D169" s="10"/>
    </row>
    <row r="170" spans="1:4" x14ac:dyDescent="0.25">
      <c r="A170" s="9"/>
      <c r="B170" s="9"/>
      <c r="C170" s="10"/>
      <c r="D170" s="10"/>
    </row>
    <row r="171" spans="1:4" x14ac:dyDescent="0.25">
      <c r="A171" s="9"/>
      <c r="B171" s="9"/>
      <c r="C171" s="10"/>
      <c r="D171" s="10"/>
    </row>
    <row r="172" spans="1:4" x14ac:dyDescent="0.25">
      <c r="A172" s="9"/>
      <c r="B172" s="9"/>
      <c r="C172" s="10"/>
      <c r="D172" s="10"/>
    </row>
    <row r="173" spans="1:4" x14ac:dyDescent="0.25">
      <c r="A173" s="9"/>
      <c r="B173" s="9"/>
      <c r="C173" s="10"/>
      <c r="D173" s="10"/>
    </row>
    <row r="174" spans="1:4" x14ac:dyDescent="0.25">
      <c r="A174" s="9"/>
      <c r="B174" s="9"/>
      <c r="C174" s="10"/>
      <c r="D174" s="10"/>
    </row>
    <row r="175" spans="1:4" x14ac:dyDescent="0.25">
      <c r="A175" s="9"/>
      <c r="B175" s="9"/>
      <c r="C175" s="10"/>
      <c r="D175" s="10"/>
    </row>
    <row r="176" spans="1:4" x14ac:dyDescent="0.25">
      <c r="A176" s="9"/>
      <c r="B176" s="9"/>
      <c r="C176" s="10"/>
      <c r="D176" s="10"/>
    </row>
    <row r="177" spans="1:4" x14ac:dyDescent="0.25">
      <c r="A177" s="9"/>
      <c r="B177" s="9"/>
      <c r="C177" s="10"/>
      <c r="D177" s="10"/>
    </row>
    <row r="178" spans="1:4" x14ac:dyDescent="0.25">
      <c r="A178" s="9"/>
      <c r="B178" s="9"/>
      <c r="C178" s="10"/>
      <c r="D178" s="10"/>
    </row>
    <row r="179" spans="1:4" x14ac:dyDescent="0.25">
      <c r="A179" s="9"/>
      <c r="B179" s="9"/>
      <c r="C179" s="10"/>
      <c r="D179" s="10"/>
    </row>
    <row r="180" spans="1:4" x14ac:dyDescent="0.25">
      <c r="A180" s="9"/>
      <c r="B180" s="9"/>
      <c r="C180" s="10"/>
      <c r="D180" s="10"/>
    </row>
    <row r="181" spans="1:4" x14ac:dyDescent="0.25">
      <c r="A181" s="9"/>
      <c r="B181" s="9"/>
      <c r="C181" s="10"/>
      <c r="D181" s="10"/>
    </row>
    <row r="182" spans="1:4" x14ac:dyDescent="0.25">
      <c r="A182" s="9"/>
      <c r="B182" s="9"/>
      <c r="C182" s="10"/>
      <c r="D182" s="10"/>
    </row>
    <row r="183" spans="1:4" x14ac:dyDescent="0.25">
      <c r="A183" s="9"/>
      <c r="B183" s="9"/>
      <c r="C183" s="10"/>
      <c r="D183" s="10"/>
    </row>
    <row r="184" spans="1:4" x14ac:dyDescent="0.25">
      <c r="A184" s="9"/>
      <c r="B184" s="9"/>
      <c r="C184" s="10"/>
      <c r="D184" s="10"/>
    </row>
    <row r="185" spans="1:4" x14ac:dyDescent="0.25">
      <c r="A185" s="9"/>
      <c r="B185" s="9"/>
      <c r="C185" s="10"/>
      <c r="D185" s="10"/>
    </row>
    <row r="186" spans="1:4" x14ac:dyDescent="0.25">
      <c r="A186" s="9"/>
      <c r="B186" s="9"/>
      <c r="C186" s="10"/>
      <c r="D186" s="10"/>
    </row>
    <row r="187" spans="1:4" x14ac:dyDescent="0.25">
      <c r="A187" s="9"/>
      <c r="B187" s="9"/>
      <c r="C187" s="10"/>
      <c r="D187" s="10"/>
    </row>
    <row r="188" spans="1:4" x14ac:dyDescent="0.25">
      <c r="A188" s="9"/>
      <c r="B188" s="9"/>
      <c r="C188" s="10"/>
      <c r="D188" s="10"/>
    </row>
    <row r="189" spans="1:4" x14ac:dyDescent="0.25">
      <c r="A189" s="9"/>
      <c r="B189" s="9"/>
      <c r="C189" s="10"/>
      <c r="D189" s="10"/>
    </row>
    <row r="190" spans="1:4" x14ac:dyDescent="0.25">
      <c r="A190" s="9"/>
      <c r="B190" s="9"/>
      <c r="C190" s="10"/>
      <c r="D190" s="10"/>
    </row>
  </sheetData>
  <mergeCells count="2">
    <mergeCell ref="A4:D4"/>
    <mergeCell ref="B6:D6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6FDA0-1990-4FE2-BC40-F833E97EFD34}">
  <dimension ref="A4:G179"/>
  <sheetViews>
    <sheetView topLeftCell="A76" workbookViewId="0">
      <selection activeCell="H107" sqref="H107"/>
    </sheetView>
  </sheetViews>
  <sheetFormatPr baseColWidth="10" defaultRowHeight="15" x14ac:dyDescent="0.25"/>
  <cols>
    <col min="1" max="1" width="28.28515625" customWidth="1"/>
    <col min="2" max="2" width="27.140625" customWidth="1"/>
    <col min="3" max="3" width="23.42578125" style="6" customWidth="1"/>
    <col min="4" max="4" width="21.85546875" style="6" customWidth="1"/>
  </cols>
  <sheetData>
    <row r="4" spans="1:7" ht="18" x14ac:dyDescent="0.25">
      <c r="A4" s="98" t="s">
        <v>0</v>
      </c>
      <c r="B4" s="98"/>
      <c r="C4" s="98"/>
      <c r="D4" s="98"/>
      <c r="E4" s="1"/>
      <c r="F4" s="1"/>
      <c r="G4" s="1"/>
    </row>
    <row r="6" spans="1:7" x14ac:dyDescent="0.25">
      <c r="A6" s="2" t="s">
        <v>1</v>
      </c>
      <c r="B6" s="96" t="s">
        <v>32</v>
      </c>
      <c r="C6" s="97"/>
      <c r="D6" s="97"/>
    </row>
    <row r="7" spans="1:7" x14ac:dyDescent="0.25">
      <c r="A7" s="3" t="s">
        <v>11</v>
      </c>
      <c r="B7" s="4" t="s">
        <v>27</v>
      </c>
      <c r="C7" s="4"/>
      <c r="D7" s="4"/>
    </row>
    <row r="8" spans="1:7" x14ac:dyDescent="0.25">
      <c r="B8" s="5"/>
    </row>
    <row r="9" spans="1:7" x14ac:dyDescent="0.25">
      <c r="A9" s="2" t="s">
        <v>2</v>
      </c>
      <c r="B9" s="2" t="s">
        <v>3</v>
      </c>
      <c r="C9" s="7" t="s">
        <v>4</v>
      </c>
      <c r="D9" s="7" t="s">
        <v>5</v>
      </c>
    </row>
    <row r="10" spans="1:7" x14ac:dyDescent="0.25">
      <c r="A10" s="8">
        <v>45834</v>
      </c>
      <c r="B10" s="9" t="s">
        <v>6</v>
      </c>
      <c r="C10" s="10">
        <v>3260</v>
      </c>
      <c r="D10" s="10">
        <f>C10</f>
        <v>3260</v>
      </c>
    </row>
    <row r="11" spans="1:7" x14ac:dyDescent="0.25">
      <c r="A11" s="8">
        <v>45838</v>
      </c>
      <c r="B11" s="9" t="s">
        <v>7</v>
      </c>
      <c r="C11" s="10">
        <v>-3260</v>
      </c>
      <c r="D11" s="10">
        <f>D10+C11</f>
        <v>0</v>
      </c>
    </row>
    <row r="12" spans="1:7" x14ac:dyDescent="0.25">
      <c r="A12" s="8">
        <v>45841</v>
      </c>
      <c r="B12" s="9" t="s">
        <v>6</v>
      </c>
      <c r="C12" s="10">
        <v>2890</v>
      </c>
      <c r="D12" s="10">
        <f t="shared" ref="D12:D75" si="0">D11+C12</f>
        <v>2890</v>
      </c>
    </row>
    <row r="13" spans="1:7" x14ac:dyDescent="0.25">
      <c r="A13" s="8">
        <v>45848</v>
      </c>
      <c r="B13" s="9" t="s">
        <v>7</v>
      </c>
      <c r="C13" s="10">
        <v>-2890</v>
      </c>
      <c r="D13" s="10">
        <f t="shared" si="0"/>
        <v>0</v>
      </c>
    </row>
    <row r="14" spans="1:7" x14ac:dyDescent="0.25">
      <c r="A14" s="8">
        <v>45859</v>
      </c>
      <c r="B14" s="9" t="s">
        <v>71</v>
      </c>
      <c r="C14" s="10">
        <v>2850</v>
      </c>
      <c r="D14" s="10">
        <f t="shared" si="0"/>
        <v>2850</v>
      </c>
    </row>
    <row r="15" spans="1:7" x14ac:dyDescent="0.25">
      <c r="A15" s="8">
        <v>45866</v>
      </c>
      <c r="B15" s="9" t="s">
        <v>78</v>
      </c>
      <c r="C15" s="10">
        <v>-2850</v>
      </c>
      <c r="D15" s="10">
        <f t="shared" si="0"/>
        <v>0</v>
      </c>
    </row>
    <row r="16" spans="1:7" x14ac:dyDescent="0.25">
      <c r="A16" s="8">
        <v>45876</v>
      </c>
      <c r="B16" s="9" t="s">
        <v>88</v>
      </c>
      <c r="C16" s="10">
        <v>2980</v>
      </c>
      <c r="D16" s="10">
        <f t="shared" si="0"/>
        <v>2980</v>
      </c>
    </row>
    <row r="17" spans="1:4" x14ac:dyDescent="0.25">
      <c r="A17" s="8">
        <v>45879</v>
      </c>
      <c r="B17" s="9" t="s">
        <v>44</v>
      </c>
      <c r="C17" s="10">
        <v>-2980</v>
      </c>
      <c r="D17" s="10">
        <f t="shared" si="0"/>
        <v>0</v>
      </c>
    </row>
    <row r="18" spans="1:4" x14ac:dyDescent="0.25">
      <c r="A18" s="8">
        <v>45880</v>
      </c>
      <c r="B18" s="9" t="s">
        <v>3</v>
      </c>
      <c r="C18" s="10">
        <v>3320</v>
      </c>
      <c r="D18" s="10">
        <f t="shared" si="0"/>
        <v>3320</v>
      </c>
    </row>
    <row r="19" spans="1:4" x14ac:dyDescent="0.25">
      <c r="A19" s="8">
        <v>45882</v>
      </c>
      <c r="B19" s="9" t="s">
        <v>44</v>
      </c>
      <c r="C19" s="10">
        <v>-3320</v>
      </c>
      <c r="D19" s="10">
        <f t="shared" si="0"/>
        <v>0</v>
      </c>
    </row>
    <row r="20" spans="1:4" x14ac:dyDescent="0.25">
      <c r="A20" s="8">
        <v>45887</v>
      </c>
      <c r="B20" s="9" t="s">
        <v>98</v>
      </c>
      <c r="C20" s="10">
        <v>2070</v>
      </c>
      <c r="D20" s="10">
        <f t="shared" si="0"/>
        <v>2070</v>
      </c>
    </row>
    <row r="21" spans="1:4" x14ac:dyDescent="0.25">
      <c r="A21" s="8">
        <v>45894</v>
      </c>
      <c r="B21" s="9" t="s">
        <v>99</v>
      </c>
      <c r="C21" s="10">
        <v>-2070</v>
      </c>
      <c r="D21" s="10">
        <f t="shared" si="0"/>
        <v>0</v>
      </c>
    </row>
    <row r="22" spans="1:4" x14ac:dyDescent="0.25">
      <c r="A22" s="8">
        <v>45897</v>
      </c>
      <c r="B22" s="9" t="s">
        <v>3</v>
      </c>
      <c r="C22" s="10">
        <v>3710</v>
      </c>
      <c r="D22" s="10">
        <f t="shared" si="0"/>
        <v>3710</v>
      </c>
    </row>
    <row r="23" spans="1:4" x14ac:dyDescent="0.25">
      <c r="A23" s="8">
        <v>45899</v>
      </c>
      <c r="B23" s="9" t="s">
        <v>44</v>
      </c>
      <c r="C23" s="10">
        <v>-3710</v>
      </c>
      <c r="D23" s="10">
        <f t="shared" si="0"/>
        <v>0</v>
      </c>
    </row>
    <row r="24" spans="1:4" x14ac:dyDescent="0.25">
      <c r="A24" s="8">
        <v>45909</v>
      </c>
      <c r="B24" s="9" t="s">
        <v>3</v>
      </c>
      <c r="C24" s="10">
        <v>2920</v>
      </c>
      <c r="D24" s="10">
        <f t="shared" si="0"/>
        <v>2920</v>
      </c>
    </row>
    <row r="25" spans="1:4" x14ac:dyDescent="0.25">
      <c r="A25" s="8">
        <v>45910</v>
      </c>
      <c r="B25" s="9" t="s">
        <v>75</v>
      </c>
      <c r="C25" s="10">
        <v>-2920</v>
      </c>
      <c r="D25" s="10">
        <f t="shared" si="0"/>
        <v>0</v>
      </c>
    </row>
    <row r="26" spans="1:4" x14ac:dyDescent="0.25">
      <c r="A26" s="8">
        <v>45911</v>
      </c>
      <c r="B26" s="9" t="s">
        <v>3</v>
      </c>
      <c r="C26" s="10">
        <v>2330</v>
      </c>
      <c r="D26" s="10">
        <f t="shared" si="0"/>
        <v>2330</v>
      </c>
    </row>
    <row r="27" spans="1:4" x14ac:dyDescent="0.25">
      <c r="A27" s="8">
        <v>45915</v>
      </c>
      <c r="B27" s="9" t="s">
        <v>138</v>
      </c>
      <c r="C27" s="10">
        <v>-2330</v>
      </c>
      <c r="D27" s="10">
        <f t="shared" si="0"/>
        <v>0</v>
      </c>
    </row>
    <row r="28" spans="1:4" x14ac:dyDescent="0.25">
      <c r="A28" s="8">
        <v>45918</v>
      </c>
      <c r="B28" s="9" t="s">
        <v>151</v>
      </c>
      <c r="C28" s="10">
        <v>2740</v>
      </c>
      <c r="D28" s="10">
        <f t="shared" si="0"/>
        <v>2740</v>
      </c>
    </row>
    <row r="29" spans="1:4" x14ac:dyDescent="0.25">
      <c r="A29" s="8">
        <v>45920</v>
      </c>
      <c r="B29" s="9" t="s">
        <v>138</v>
      </c>
      <c r="C29" s="10">
        <v>-2740</v>
      </c>
      <c r="D29" s="10">
        <f t="shared" si="0"/>
        <v>0</v>
      </c>
    </row>
    <row r="30" spans="1:4" x14ac:dyDescent="0.25">
      <c r="A30" s="8">
        <v>45925</v>
      </c>
      <c r="B30" s="9" t="s">
        <v>152</v>
      </c>
      <c r="C30" s="10">
        <v>2190</v>
      </c>
      <c r="D30" s="10">
        <f t="shared" si="0"/>
        <v>2190</v>
      </c>
    </row>
    <row r="31" spans="1:4" x14ac:dyDescent="0.25">
      <c r="A31" s="8">
        <v>45932</v>
      </c>
      <c r="B31" s="9" t="s">
        <v>44</v>
      </c>
      <c r="C31" s="10">
        <v>-2190</v>
      </c>
      <c r="D31" s="10">
        <f t="shared" si="0"/>
        <v>0</v>
      </c>
    </row>
    <row r="32" spans="1:4" x14ac:dyDescent="0.25">
      <c r="A32" s="8">
        <v>45933</v>
      </c>
      <c r="B32" s="9" t="s">
        <v>153</v>
      </c>
      <c r="C32" s="10">
        <v>3070</v>
      </c>
      <c r="D32" s="10">
        <f t="shared" si="0"/>
        <v>3070</v>
      </c>
    </row>
    <row r="33" spans="1:4" x14ac:dyDescent="0.25">
      <c r="A33" s="8">
        <v>45943</v>
      </c>
      <c r="B33" s="9" t="s">
        <v>3</v>
      </c>
      <c r="C33" s="10">
        <v>2990</v>
      </c>
      <c r="D33" s="10">
        <f t="shared" si="0"/>
        <v>6060</v>
      </c>
    </row>
    <row r="34" spans="1:4" x14ac:dyDescent="0.25">
      <c r="A34" s="8">
        <v>45943</v>
      </c>
      <c r="B34" s="9" t="s">
        <v>179</v>
      </c>
      <c r="C34" s="10">
        <v>-3070</v>
      </c>
      <c r="D34" s="10">
        <f t="shared" si="0"/>
        <v>2990</v>
      </c>
    </row>
    <row r="35" spans="1:4" x14ac:dyDescent="0.25">
      <c r="A35" s="8">
        <v>45945</v>
      </c>
      <c r="B35" s="9" t="s">
        <v>179</v>
      </c>
      <c r="C35" s="10">
        <v>-2990</v>
      </c>
      <c r="D35" s="10">
        <f t="shared" si="0"/>
        <v>0</v>
      </c>
    </row>
    <row r="36" spans="1:4" x14ac:dyDescent="0.25">
      <c r="A36" s="8">
        <v>45950</v>
      </c>
      <c r="B36" s="9" t="s">
        <v>3</v>
      </c>
      <c r="C36" s="10">
        <v>1680</v>
      </c>
      <c r="D36" s="10">
        <f t="shared" si="0"/>
        <v>1680</v>
      </c>
    </row>
    <row r="37" spans="1:4" x14ac:dyDescent="0.25">
      <c r="A37" s="8">
        <v>45952</v>
      </c>
      <c r="B37" s="9" t="s">
        <v>179</v>
      </c>
      <c r="C37" s="10">
        <v>-1680</v>
      </c>
      <c r="D37" s="10">
        <f t="shared" si="0"/>
        <v>0</v>
      </c>
    </row>
    <row r="38" spans="1:4" x14ac:dyDescent="0.25">
      <c r="A38" s="8">
        <v>45953</v>
      </c>
      <c r="B38" s="9" t="s">
        <v>206</v>
      </c>
      <c r="C38" s="10">
        <v>2730</v>
      </c>
      <c r="D38" s="10">
        <f t="shared" si="0"/>
        <v>2730</v>
      </c>
    </row>
    <row r="39" spans="1:4" x14ac:dyDescent="0.25">
      <c r="A39" s="8">
        <v>45972</v>
      </c>
      <c r="B39" s="9" t="s">
        <v>179</v>
      </c>
      <c r="C39" s="10">
        <v>-2730</v>
      </c>
      <c r="D39" s="10">
        <f t="shared" si="0"/>
        <v>0</v>
      </c>
    </row>
    <row r="40" spans="1:4" x14ac:dyDescent="0.25">
      <c r="A40" s="8">
        <v>45981</v>
      </c>
      <c r="B40" s="9" t="s">
        <v>3</v>
      </c>
      <c r="C40" s="10">
        <v>2690</v>
      </c>
      <c r="D40" s="10">
        <f t="shared" si="0"/>
        <v>2690</v>
      </c>
    </row>
    <row r="41" spans="1:4" x14ac:dyDescent="0.25">
      <c r="A41" s="8">
        <v>45988</v>
      </c>
      <c r="B41" s="9" t="s">
        <v>3</v>
      </c>
      <c r="C41" s="10">
        <v>2660</v>
      </c>
      <c r="D41" s="10">
        <f t="shared" si="0"/>
        <v>5350</v>
      </c>
    </row>
    <row r="42" spans="1:4" x14ac:dyDescent="0.25">
      <c r="A42" s="8">
        <v>45994</v>
      </c>
      <c r="B42" s="9" t="s">
        <v>138</v>
      </c>
      <c r="C42" s="10">
        <v>-5350</v>
      </c>
      <c r="D42" s="10">
        <f t="shared" si="0"/>
        <v>0</v>
      </c>
    </row>
    <row r="43" spans="1:4" x14ac:dyDescent="0.25">
      <c r="A43" s="8">
        <v>45994</v>
      </c>
      <c r="B43" s="9" t="s">
        <v>3</v>
      </c>
      <c r="C43" s="10">
        <v>1100</v>
      </c>
      <c r="D43" s="10">
        <f t="shared" si="0"/>
        <v>1100</v>
      </c>
    </row>
    <row r="44" spans="1:4" x14ac:dyDescent="0.25">
      <c r="A44" s="8">
        <v>45995</v>
      </c>
      <c r="B44" s="9" t="s">
        <v>138</v>
      </c>
      <c r="C44" s="10">
        <v>-1100</v>
      </c>
      <c r="D44" s="10">
        <f t="shared" si="0"/>
        <v>0</v>
      </c>
    </row>
    <row r="45" spans="1:4" x14ac:dyDescent="0.25">
      <c r="A45" s="8">
        <v>45996</v>
      </c>
      <c r="B45" s="9" t="s">
        <v>3</v>
      </c>
      <c r="C45" s="10">
        <v>2017</v>
      </c>
      <c r="D45" s="10">
        <f t="shared" si="0"/>
        <v>2017</v>
      </c>
    </row>
    <row r="46" spans="1:4" x14ac:dyDescent="0.25">
      <c r="A46" s="8">
        <v>46002</v>
      </c>
      <c r="B46" s="9" t="s">
        <v>138</v>
      </c>
      <c r="C46" s="10">
        <v>-2017</v>
      </c>
      <c r="D46" s="10">
        <f t="shared" si="0"/>
        <v>0</v>
      </c>
    </row>
    <row r="47" spans="1:4" x14ac:dyDescent="0.25">
      <c r="A47" s="8">
        <v>46002</v>
      </c>
      <c r="B47" s="9" t="s">
        <v>3</v>
      </c>
      <c r="C47" s="10">
        <v>1860</v>
      </c>
      <c r="D47" s="10">
        <f t="shared" si="0"/>
        <v>1860</v>
      </c>
    </row>
    <row r="48" spans="1:4" x14ac:dyDescent="0.25">
      <c r="A48" s="8">
        <v>46009</v>
      </c>
      <c r="B48" s="9" t="s">
        <v>268</v>
      </c>
      <c r="C48" s="10">
        <v>4690</v>
      </c>
      <c r="D48" s="10">
        <f t="shared" si="0"/>
        <v>6550</v>
      </c>
    </row>
    <row r="49" spans="1:4" x14ac:dyDescent="0.25">
      <c r="A49" s="8">
        <v>46009</v>
      </c>
      <c r="B49" s="9" t="s">
        <v>138</v>
      </c>
      <c r="C49" s="10">
        <v>-1860</v>
      </c>
      <c r="D49" s="10">
        <f t="shared" si="0"/>
        <v>4690</v>
      </c>
    </row>
    <row r="50" spans="1:4" x14ac:dyDescent="0.25">
      <c r="A50" s="8">
        <v>46015</v>
      </c>
      <c r="B50" s="9" t="s">
        <v>179</v>
      </c>
      <c r="C50" s="10">
        <v>-4690</v>
      </c>
      <c r="D50" s="10">
        <f t="shared" si="0"/>
        <v>0</v>
      </c>
    </row>
    <row r="51" spans="1:4" x14ac:dyDescent="0.25">
      <c r="A51" s="8">
        <v>46028</v>
      </c>
      <c r="B51" s="9" t="s">
        <v>3</v>
      </c>
      <c r="C51" s="10">
        <v>1740</v>
      </c>
      <c r="D51" s="10">
        <f t="shared" si="0"/>
        <v>1740</v>
      </c>
    </row>
    <row r="52" spans="1:4" x14ac:dyDescent="0.25">
      <c r="A52" s="8">
        <v>46028</v>
      </c>
      <c r="B52" s="9" t="s">
        <v>179</v>
      </c>
      <c r="C52" s="10">
        <v>-1740</v>
      </c>
      <c r="D52" s="10">
        <f t="shared" si="0"/>
        <v>0</v>
      </c>
    </row>
    <row r="53" spans="1:4" x14ac:dyDescent="0.25">
      <c r="A53" s="8">
        <v>46042</v>
      </c>
      <c r="B53" s="9" t="s">
        <v>313</v>
      </c>
      <c r="C53" s="10">
        <v>12485</v>
      </c>
      <c r="D53" s="10">
        <f t="shared" si="0"/>
        <v>12485</v>
      </c>
    </row>
    <row r="54" spans="1:4" x14ac:dyDescent="0.25">
      <c r="A54" s="8">
        <v>46044</v>
      </c>
      <c r="B54" s="9" t="s">
        <v>179</v>
      </c>
      <c r="C54" s="10">
        <v>-12485</v>
      </c>
      <c r="D54" s="10">
        <f t="shared" si="0"/>
        <v>0</v>
      </c>
    </row>
    <row r="55" spans="1:4" x14ac:dyDescent="0.25">
      <c r="A55" s="8">
        <v>46079</v>
      </c>
      <c r="B55" s="9" t="s">
        <v>312</v>
      </c>
      <c r="C55" s="10">
        <v>2880</v>
      </c>
      <c r="D55" s="10">
        <f t="shared" si="0"/>
        <v>2880</v>
      </c>
    </row>
    <row r="56" spans="1:4" x14ac:dyDescent="0.25">
      <c r="A56" s="8">
        <v>46055</v>
      </c>
      <c r="B56" s="9" t="s">
        <v>311</v>
      </c>
      <c r="C56" s="10">
        <v>7700</v>
      </c>
      <c r="D56" s="10">
        <f t="shared" si="0"/>
        <v>10580</v>
      </c>
    </row>
    <row r="57" spans="1:4" x14ac:dyDescent="0.25">
      <c r="A57" s="8">
        <v>46062</v>
      </c>
      <c r="B57" s="9" t="s">
        <v>3</v>
      </c>
      <c r="C57" s="10">
        <v>695</v>
      </c>
      <c r="D57" s="10">
        <f t="shared" si="0"/>
        <v>11275</v>
      </c>
    </row>
    <row r="58" spans="1:4" x14ac:dyDescent="0.25">
      <c r="A58" s="8">
        <v>46071</v>
      </c>
      <c r="B58" s="9" t="s">
        <v>328</v>
      </c>
      <c r="C58" s="10">
        <v>-695</v>
      </c>
      <c r="D58" s="10">
        <f t="shared" si="0"/>
        <v>10580</v>
      </c>
    </row>
    <row r="59" spans="1:4" x14ac:dyDescent="0.25">
      <c r="A59" s="8">
        <v>46071</v>
      </c>
      <c r="B59" s="9" t="s">
        <v>127</v>
      </c>
      <c r="C59" s="10">
        <v>-10500</v>
      </c>
      <c r="D59" s="10">
        <f t="shared" si="0"/>
        <v>80</v>
      </c>
    </row>
    <row r="60" spans="1:4" x14ac:dyDescent="0.25">
      <c r="A60" s="8">
        <v>46078</v>
      </c>
      <c r="B60" s="9" t="s">
        <v>127</v>
      </c>
      <c r="C60" s="10">
        <v>-80</v>
      </c>
      <c r="D60" s="10">
        <f t="shared" si="0"/>
        <v>0</v>
      </c>
    </row>
    <row r="61" spans="1:4" x14ac:dyDescent="0.25">
      <c r="A61" s="8">
        <v>46079</v>
      </c>
      <c r="B61" s="9" t="s">
        <v>340</v>
      </c>
      <c r="C61" s="10">
        <v>2370</v>
      </c>
      <c r="D61" s="10">
        <f t="shared" si="0"/>
        <v>2370</v>
      </c>
    </row>
    <row r="62" spans="1:4" x14ac:dyDescent="0.25">
      <c r="A62" s="8">
        <v>46084</v>
      </c>
      <c r="B62" s="9" t="s">
        <v>127</v>
      </c>
      <c r="C62" s="10">
        <v>-2370</v>
      </c>
      <c r="D62" s="10">
        <f t="shared" si="0"/>
        <v>0</v>
      </c>
    </row>
    <row r="63" spans="1:4" x14ac:dyDescent="0.25">
      <c r="A63" s="8">
        <v>46086</v>
      </c>
      <c r="B63" s="9" t="s">
        <v>347</v>
      </c>
      <c r="C63" s="10">
        <v>1920</v>
      </c>
      <c r="D63" s="10">
        <f t="shared" si="0"/>
        <v>1920</v>
      </c>
    </row>
    <row r="64" spans="1:4" x14ac:dyDescent="0.25">
      <c r="A64" s="8">
        <v>46090</v>
      </c>
      <c r="B64" s="9" t="s">
        <v>354</v>
      </c>
      <c r="C64" s="10">
        <v>1480</v>
      </c>
      <c r="D64" s="10">
        <f t="shared" si="0"/>
        <v>3400</v>
      </c>
    </row>
    <row r="65" spans="1:4" x14ac:dyDescent="0.25">
      <c r="A65" s="8">
        <v>46100</v>
      </c>
      <c r="B65" s="9" t="s">
        <v>127</v>
      </c>
      <c r="C65" s="10">
        <v>-3400</v>
      </c>
      <c r="D65" s="10">
        <f t="shared" si="0"/>
        <v>0</v>
      </c>
    </row>
    <row r="66" spans="1:4" x14ac:dyDescent="0.25">
      <c r="A66" s="8">
        <v>46107</v>
      </c>
      <c r="B66" s="9" t="s">
        <v>372</v>
      </c>
      <c r="C66" s="10">
        <v>1790</v>
      </c>
      <c r="D66" s="10">
        <f t="shared" si="0"/>
        <v>1790</v>
      </c>
    </row>
    <row r="67" spans="1:4" x14ac:dyDescent="0.25">
      <c r="A67" s="8">
        <v>46109</v>
      </c>
      <c r="B67" s="9" t="s">
        <v>127</v>
      </c>
      <c r="C67" s="10">
        <v>-1790</v>
      </c>
      <c r="D67" s="10">
        <f t="shared" si="0"/>
        <v>0</v>
      </c>
    </row>
    <row r="68" spans="1:4" x14ac:dyDescent="0.25">
      <c r="A68" s="8">
        <v>46118</v>
      </c>
      <c r="B68" s="9" t="s">
        <v>387</v>
      </c>
      <c r="C68" s="10">
        <v>5480</v>
      </c>
      <c r="D68" s="10">
        <f t="shared" si="0"/>
        <v>5480</v>
      </c>
    </row>
    <row r="69" spans="1:4" x14ac:dyDescent="0.25">
      <c r="A69" s="8">
        <v>46121</v>
      </c>
      <c r="B69" s="9" t="s">
        <v>393</v>
      </c>
      <c r="C69" s="10">
        <v>1880</v>
      </c>
      <c r="D69" s="10">
        <f t="shared" si="0"/>
        <v>7360</v>
      </c>
    </row>
    <row r="70" spans="1:4" x14ac:dyDescent="0.25">
      <c r="A70" s="8">
        <v>46125</v>
      </c>
      <c r="B70" s="9" t="s">
        <v>127</v>
      </c>
      <c r="C70" s="10">
        <v>-7360</v>
      </c>
      <c r="D70" s="10">
        <f t="shared" si="0"/>
        <v>0</v>
      </c>
    </row>
    <row r="71" spans="1:4" x14ac:dyDescent="0.25">
      <c r="A71" s="8">
        <v>46128</v>
      </c>
      <c r="B71" s="9" t="s">
        <v>399</v>
      </c>
      <c r="C71" s="10">
        <v>2500</v>
      </c>
      <c r="D71" s="10">
        <f t="shared" si="0"/>
        <v>2500</v>
      </c>
    </row>
    <row r="72" spans="1:4" x14ac:dyDescent="0.25">
      <c r="A72" s="8">
        <v>46139</v>
      </c>
      <c r="B72" s="9" t="s">
        <v>127</v>
      </c>
      <c r="C72" s="10">
        <v>-2500</v>
      </c>
      <c r="D72" s="10">
        <f t="shared" si="0"/>
        <v>0</v>
      </c>
    </row>
    <row r="73" spans="1:4" x14ac:dyDescent="0.25">
      <c r="A73" s="8">
        <v>46142</v>
      </c>
      <c r="B73" s="9" t="s">
        <v>422</v>
      </c>
      <c r="C73" s="10">
        <v>4660</v>
      </c>
      <c r="D73" s="10">
        <f t="shared" si="0"/>
        <v>4660</v>
      </c>
    </row>
    <row r="74" spans="1:4" x14ac:dyDescent="0.25">
      <c r="A74" s="8">
        <v>46155</v>
      </c>
      <c r="B74" s="9" t="s">
        <v>421</v>
      </c>
      <c r="C74" s="10">
        <v>2500</v>
      </c>
      <c r="D74" s="10">
        <f t="shared" si="0"/>
        <v>7160</v>
      </c>
    </row>
    <row r="75" spans="1:4" x14ac:dyDescent="0.25">
      <c r="A75" s="8">
        <v>46156</v>
      </c>
      <c r="B75" s="9" t="s">
        <v>420</v>
      </c>
      <c r="C75" s="10">
        <v>2740</v>
      </c>
      <c r="D75" s="10">
        <f t="shared" si="0"/>
        <v>9900</v>
      </c>
    </row>
    <row r="76" spans="1:4" x14ac:dyDescent="0.25">
      <c r="A76" s="8">
        <v>46156</v>
      </c>
      <c r="B76" s="9" t="s">
        <v>127</v>
      </c>
      <c r="C76" s="10">
        <v>-4660</v>
      </c>
      <c r="D76" s="10">
        <f t="shared" ref="D76:D112" si="1">D75+C76</f>
        <v>5240</v>
      </c>
    </row>
    <row r="77" spans="1:4" x14ac:dyDescent="0.25">
      <c r="A77" s="8">
        <v>46161</v>
      </c>
      <c r="B77" s="9" t="s">
        <v>127</v>
      </c>
      <c r="C77" s="10">
        <v>-2500</v>
      </c>
      <c r="D77" s="10">
        <f t="shared" si="1"/>
        <v>2740</v>
      </c>
    </row>
    <row r="78" spans="1:4" x14ac:dyDescent="0.25">
      <c r="A78" s="8">
        <v>46163</v>
      </c>
      <c r="B78" s="9" t="s">
        <v>437</v>
      </c>
      <c r="C78" s="10">
        <v>2390</v>
      </c>
      <c r="D78" s="10">
        <f t="shared" si="1"/>
        <v>5130</v>
      </c>
    </row>
    <row r="79" spans="1:4" x14ac:dyDescent="0.25">
      <c r="A79" s="8">
        <v>46196</v>
      </c>
      <c r="B79" s="9" t="s">
        <v>495</v>
      </c>
      <c r="C79" s="10">
        <v>750</v>
      </c>
      <c r="D79" s="10">
        <f t="shared" si="1"/>
        <v>5880</v>
      </c>
    </row>
    <row r="80" spans="1:4" x14ac:dyDescent="0.25">
      <c r="A80" s="8">
        <v>46170</v>
      </c>
      <c r="B80" s="9" t="s">
        <v>127</v>
      </c>
      <c r="C80" s="10">
        <v>-2740</v>
      </c>
      <c r="D80" s="10">
        <f>D78+C80</f>
        <v>2390</v>
      </c>
    </row>
    <row r="81" spans="1:4" x14ac:dyDescent="0.25">
      <c r="A81" s="8">
        <v>46170</v>
      </c>
      <c r="B81" s="9" t="s">
        <v>442</v>
      </c>
      <c r="C81" s="10">
        <v>1760</v>
      </c>
      <c r="D81" s="10">
        <f t="shared" si="1"/>
        <v>4150</v>
      </c>
    </row>
    <row r="82" spans="1:4" x14ac:dyDescent="0.25">
      <c r="A82" s="8">
        <v>46184</v>
      </c>
      <c r="B82" s="9" t="s">
        <v>463</v>
      </c>
      <c r="C82" s="10">
        <v>2290</v>
      </c>
      <c r="D82" s="10">
        <f t="shared" si="1"/>
        <v>6440</v>
      </c>
    </row>
    <row r="83" spans="1:4" x14ac:dyDescent="0.25">
      <c r="A83" s="8">
        <v>46191</v>
      </c>
      <c r="B83" s="9" t="s">
        <v>127</v>
      </c>
      <c r="C83" s="10">
        <v>-4150</v>
      </c>
      <c r="D83" s="10">
        <f t="shared" si="1"/>
        <v>2290</v>
      </c>
    </row>
    <row r="84" spans="1:4" x14ac:dyDescent="0.25">
      <c r="A84" s="8">
        <v>46209</v>
      </c>
      <c r="B84" s="9" t="s">
        <v>495</v>
      </c>
      <c r="C84" s="10">
        <v>750</v>
      </c>
      <c r="D84" s="10">
        <f t="shared" si="1"/>
        <v>3040</v>
      </c>
    </row>
    <row r="85" spans="1:4" x14ac:dyDescent="0.25">
      <c r="A85" s="8">
        <v>46206</v>
      </c>
      <c r="B85" s="9" t="s">
        <v>328</v>
      </c>
      <c r="C85" s="10">
        <v>-3040</v>
      </c>
      <c r="D85" s="10">
        <f t="shared" si="1"/>
        <v>0</v>
      </c>
    </row>
    <row r="86" spans="1:4" x14ac:dyDescent="0.25">
      <c r="A86" s="8">
        <v>46209</v>
      </c>
      <c r="B86" s="9" t="s">
        <v>496</v>
      </c>
      <c r="C86" s="10">
        <v>880</v>
      </c>
      <c r="D86" s="10">
        <f t="shared" si="1"/>
        <v>880</v>
      </c>
    </row>
    <row r="87" spans="1:4" x14ac:dyDescent="0.25">
      <c r="A87" s="8">
        <v>46211</v>
      </c>
      <c r="B87" s="9" t="s">
        <v>273</v>
      </c>
      <c r="C87" s="10">
        <v>-880</v>
      </c>
      <c r="D87" s="10">
        <f t="shared" si="1"/>
        <v>0</v>
      </c>
    </row>
    <row r="88" spans="1:4" x14ac:dyDescent="0.25">
      <c r="A88" s="8">
        <v>46230</v>
      </c>
      <c r="B88" s="9" t="s">
        <v>527</v>
      </c>
      <c r="C88" s="10">
        <v>1330</v>
      </c>
      <c r="D88" s="10">
        <f t="shared" si="1"/>
        <v>1330</v>
      </c>
    </row>
    <row r="89" spans="1:4" x14ac:dyDescent="0.25">
      <c r="A89" s="8">
        <v>46233</v>
      </c>
      <c r="B89" s="9" t="s">
        <v>532</v>
      </c>
      <c r="C89" s="10">
        <v>1390</v>
      </c>
      <c r="D89" s="10">
        <f t="shared" si="1"/>
        <v>2720</v>
      </c>
    </row>
    <row r="90" spans="1:4" x14ac:dyDescent="0.25">
      <c r="A90" s="8">
        <v>46265</v>
      </c>
      <c r="B90" s="9" t="s">
        <v>3</v>
      </c>
      <c r="C90" s="10">
        <v>1600</v>
      </c>
      <c r="D90" s="10">
        <f t="shared" si="1"/>
        <v>4320</v>
      </c>
    </row>
    <row r="91" spans="1:4" x14ac:dyDescent="0.25">
      <c r="A91" s="8">
        <v>46272</v>
      </c>
      <c r="B91" s="9" t="s">
        <v>576</v>
      </c>
      <c r="C91" s="10">
        <v>1380</v>
      </c>
      <c r="D91" s="10">
        <f t="shared" si="1"/>
        <v>5700</v>
      </c>
    </row>
    <row r="92" spans="1:4" x14ac:dyDescent="0.25">
      <c r="A92" s="8">
        <v>46273</v>
      </c>
      <c r="B92" s="9" t="s">
        <v>127</v>
      </c>
      <c r="C92" s="10">
        <v>-2870</v>
      </c>
      <c r="D92" s="10">
        <f t="shared" si="1"/>
        <v>2830</v>
      </c>
    </row>
    <row r="93" spans="1:4" x14ac:dyDescent="0.25">
      <c r="A93" s="8">
        <v>46275</v>
      </c>
      <c r="B93" s="9" t="s">
        <v>582</v>
      </c>
      <c r="C93" s="10">
        <v>2600</v>
      </c>
      <c r="D93" s="10">
        <f t="shared" si="1"/>
        <v>5430</v>
      </c>
    </row>
    <row r="94" spans="1:4" x14ac:dyDescent="0.25">
      <c r="A94" s="8">
        <v>46280</v>
      </c>
      <c r="B94" s="9" t="s">
        <v>127</v>
      </c>
      <c r="C94" s="10">
        <v>-2980</v>
      </c>
      <c r="D94" s="10">
        <f t="shared" si="1"/>
        <v>2450</v>
      </c>
    </row>
    <row r="95" spans="1:4" x14ac:dyDescent="0.25">
      <c r="A95" s="8">
        <v>46287</v>
      </c>
      <c r="B95" s="9" t="s">
        <v>596</v>
      </c>
      <c r="C95" s="10">
        <v>2890</v>
      </c>
      <c r="D95" s="10">
        <f t="shared" si="1"/>
        <v>5340</v>
      </c>
    </row>
    <row r="96" spans="1:4" x14ac:dyDescent="0.25">
      <c r="A96" s="8">
        <v>46287</v>
      </c>
      <c r="B96" s="9" t="s">
        <v>436</v>
      </c>
      <c r="C96" s="10">
        <v>-2600</v>
      </c>
      <c r="D96" s="10">
        <f t="shared" si="1"/>
        <v>2740</v>
      </c>
    </row>
    <row r="97" spans="1:4" x14ac:dyDescent="0.25">
      <c r="A97" s="8">
        <v>46296</v>
      </c>
      <c r="B97" s="9" t="s">
        <v>611</v>
      </c>
      <c r="C97" s="10">
        <v>1420</v>
      </c>
      <c r="D97" s="10">
        <f t="shared" si="1"/>
        <v>4160</v>
      </c>
    </row>
    <row r="98" spans="1:4" x14ac:dyDescent="0.25">
      <c r="A98" s="8">
        <v>46299</v>
      </c>
      <c r="B98" s="9" t="s">
        <v>195</v>
      </c>
      <c r="C98" s="10">
        <v>-2890</v>
      </c>
      <c r="D98" s="10">
        <f t="shared" si="1"/>
        <v>1270</v>
      </c>
    </row>
    <row r="99" spans="1:4" x14ac:dyDescent="0.25">
      <c r="A99" s="8">
        <v>46300</v>
      </c>
      <c r="B99" s="9" t="s">
        <v>589</v>
      </c>
      <c r="C99" s="10">
        <v>1950</v>
      </c>
      <c r="D99" s="10">
        <f t="shared" si="1"/>
        <v>3220</v>
      </c>
    </row>
    <row r="100" spans="1:4" x14ac:dyDescent="0.25">
      <c r="A100" s="9"/>
      <c r="B100" s="9"/>
      <c r="C100" s="10"/>
      <c r="D100" s="10">
        <f t="shared" si="1"/>
        <v>3220</v>
      </c>
    </row>
    <row r="101" spans="1:4" x14ac:dyDescent="0.25">
      <c r="A101" s="9"/>
      <c r="B101" s="9"/>
      <c r="C101" s="10"/>
      <c r="D101" s="10">
        <f t="shared" si="1"/>
        <v>3220</v>
      </c>
    </row>
    <row r="102" spans="1:4" x14ac:dyDescent="0.25">
      <c r="A102" s="9"/>
      <c r="B102" s="9"/>
      <c r="C102" s="10"/>
      <c r="D102" s="10">
        <f t="shared" si="1"/>
        <v>3220</v>
      </c>
    </row>
    <row r="103" spans="1:4" x14ac:dyDescent="0.25">
      <c r="A103" s="9"/>
      <c r="B103" s="9"/>
      <c r="C103" s="10"/>
      <c r="D103" s="10">
        <f t="shared" si="1"/>
        <v>3220</v>
      </c>
    </row>
    <row r="104" spans="1:4" x14ac:dyDescent="0.25">
      <c r="A104" s="9"/>
      <c r="B104" s="9"/>
      <c r="C104" s="10"/>
      <c r="D104" s="10">
        <f t="shared" si="1"/>
        <v>3220</v>
      </c>
    </row>
    <row r="105" spans="1:4" x14ac:dyDescent="0.25">
      <c r="A105" s="9"/>
      <c r="B105" s="9"/>
      <c r="C105" s="10"/>
      <c r="D105" s="10">
        <f t="shared" si="1"/>
        <v>3220</v>
      </c>
    </row>
    <row r="106" spans="1:4" x14ac:dyDescent="0.25">
      <c r="A106" s="9"/>
      <c r="B106" s="9"/>
      <c r="C106" s="10"/>
      <c r="D106" s="10">
        <f t="shared" si="1"/>
        <v>3220</v>
      </c>
    </row>
    <row r="107" spans="1:4" x14ac:dyDescent="0.25">
      <c r="A107" s="9"/>
      <c r="B107" s="9"/>
      <c r="C107" s="10"/>
      <c r="D107" s="10">
        <f t="shared" si="1"/>
        <v>3220</v>
      </c>
    </row>
    <row r="108" spans="1:4" x14ac:dyDescent="0.25">
      <c r="A108" s="9"/>
      <c r="B108" s="9"/>
      <c r="C108" s="10"/>
      <c r="D108" s="10">
        <f t="shared" si="1"/>
        <v>3220</v>
      </c>
    </row>
    <row r="109" spans="1:4" x14ac:dyDescent="0.25">
      <c r="A109" s="9"/>
      <c r="B109" s="9"/>
      <c r="C109" s="10"/>
      <c r="D109" s="10">
        <f t="shared" si="1"/>
        <v>3220</v>
      </c>
    </row>
    <row r="110" spans="1:4" x14ac:dyDescent="0.25">
      <c r="A110" s="9"/>
      <c r="B110" s="9"/>
      <c r="C110" s="10"/>
      <c r="D110" s="10">
        <f t="shared" si="1"/>
        <v>3220</v>
      </c>
    </row>
    <row r="111" spans="1:4" x14ac:dyDescent="0.25">
      <c r="A111" s="9"/>
      <c r="B111" s="9"/>
      <c r="C111" s="10"/>
      <c r="D111" s="10">
        <f t="shared" si="1"/>
        <v>3220</v>
      </c>
    </row>
    <row r="112" spans="1:4" x14ac:dyDescent="0.25">
      <c r="A112" s="9"/>
      <c r="B112" s="9"/>
      <c r="C112" s="10"/>
      <c r="D112" s="10">
        <f t="shared" si="1"/>
        <v>3220</v>
      </c>
    </row>
    <row r="113" spans="1:4" x14ac:dyDescent="0.25">
      <c r="A113" s="9"/>
      <c r="B113" s="9"/>
      <c r="C113" s="10"/>
      <c r="D113" s="10"/>
    </row>
    <row r="114" spans="1:4" x14ac:dyDescent="0.25">
      <c r="A114" s="9"/>
      <c r="B114" s="9"/>
      <c r="C114" s="10"/>
      <c r="D114" s="10"/>
    </row>
    <row r="115" spans="1:4" x14ac:dyDescent="0.25">
      <c r="A115" s="9"/>
      <c r="B115" s="9"/>
      <c r="C115" s="10"/>
      <c r="D115" s="10"/>
    </row>
    <row r="116" spans="1:4" x14ac:dyDescent="0.25">
      <c r="A116" s="9"/>
      <c r="B116" s="9"/>
      <c r="C116" s="10"/>
      <c r="D116" s="10"/>
    </row>
    <row r="117" spans="1:4" x14ac:dyDescent="0.25">
      <c r="A117" s="9"/>
      <c r="B117" s="9"/>
      <c r="C117" s="10"/>
      <c r="D117" s="10"/>
    </row>
    <row r="118" spans="1:4" x14ac:dyDescent="0.25">
      <c r="A118" s="9"/>
      <c r="B118" s="9"/>
      <c r="C118" s="10"/>
      <c r="D118" s="10"/>
    </row>
    <row r="119" spans="1:4" x14ac:dyDescent="0.25">
      <c r="A119" s="9"/>
      <c r="B119" s="9"/>
      <c r="C119" s="10"/>
      <c r="D119" s="10"/>
    </row>
    <row r="120" spans="1:4" x14ac:dyDescent="0.25">
      <c r="A120" s="9"/>
      <c r="B120" s="9"/>
      <c r="C120" s="10"/>
      <c r="D120" s="10"/>
    </row>
    <row r="121" spans="1:4" x14ac:dyDescent="0.25">
      <c r="A121" s="9"/>
      <c r="B121" s="9"/>
      <c r="C121" s="10"/>
      <c r="D121" s="10"/>
    </row>
    <row r="122" spans="1:4" x14ac:dyDescent="0.25">
      <c r="A122" s="9"/>
      <c r="B122" s="9"/>
      <c r="C122" s="10"/>
      <c r="D122" s="10"/>
    </row>
    <row r="123" spans="1:4" x14ac:dyDescent="0.25">
      <c r="A123" s="9"/>
      <c r="B123" s="9"/>
      <c r="C123" s="10"/>
      <c r="D123" s="10"/>
    </row>
    <row r="124" spans="1:4" x14ac:dyDescent="0.25">
      <c r="A124" s="9"/>
      <c r="B124" s="9"/>
      <c r="C124" s="10"/>
      <c r="D124" s="10"/>
    </row>
    <row r="125" spans="1:4" x14ac:dyDescent="0.25">
      <c r="A125" s="9"/>
      <c r="B125" s="9"/>
      <c r="C125" s="10"/>
      <c r="D125" s="10"/>
    </row>
    <row r="126" spans="1:4" x14ac:dyDescent="0.25">
      <c r="A126" s="9"/>
      <c r="B126" s="9"/>
      <c r="C126" s="10"/>
      <c r="D126" s="10"/>
    </row>
    <row r="127" spans="1:4" x14ac:dyDescent="0.25">
      <c r="A127" s="9"/>
      <c r="B127" s="9"/>
      <c r="C127" s="10"/>
      <c r="D127" s="10"/>
    </row>
    <row r="128" spans="1:4" x14ac:dyDescent="0.25">
      <c r="A128" s="9"/>
      <c r="B128" s="9"/>
      <c r="C128" s="10"/>
      <c r="D128" s="10"/>
    </row>
    <row r="129" spans="1:4" x14ac:dyDescent="0.25">
      <c r="A129" s="9"/>
      <c r="B129" s="9"/>
      <c r="C129" s="10"/>
      <c r="D129" s="10"/>
    </row>
    <row r="130" spans="1:4" x14ac:dyDescent="0.25">
      <c r="A130" s="9"/>
      <c r="B130" s="9"/>
      <c r="C130" s="10"/>
      <c r="D130" s="10"/>
    </row>
    <row r="131" spans="1:4" x14ac:dyDescent="0.25">
      <c r="A131" s="9"/>
      <c r="B131" s="9"/>
      <c r="C131" s="10"/>
      <c r="D131" s="10"/>
    </row>
    <row r="132" spans="1:4" x14ac:dyDescent="0.25">
      <c r="A132" s="9"/>
      <c r="B132" s="9"/>
      <c r="C132" s="10"/>
      <c r="D132" s="10"/>
    </row>
    <row r="133" spans="1:4" x14ac:dyDescent="0.25">
      <c r="A133" s="9"/>
      <c r="B133" s="9"/>
      <c r="C133" s="10"/>
      <c r="D133" s="10"/>
    </row>
    <row r="134" spans="1:4" x14ac:dyDescent="0.25">
      <c r="A134" s="9"/>
      <c r="B134" s="9"/>
      <c r="C134" s="10"/>
      <c r="D134" s="10"/>
    </row>
    <row r="135" spans="1:4" x14ac:dyDescent="0.25">
      <c r="A135" s="9"/>
      <c r="B135" s="9"/>
      <c r="C135" s="10"/>
      <c r="D135" s="10"/>
    </row>
    <row r="136" spans="1:4" x14ac:dyDescent="0.25">
      <c r="A136" s="9"/>
      <c r="B136" s="9"/>
      <c r="C136" s="10"/>
      <c r="D136" s="10"/>
    </row>
    <row r="137" spans="1:4" x14ac:dyDescent="0.25">
      <c r="A137" s="9"/>
      <c r="B137" s="9"/>
      <c r="C137" s="10"/>
      <c r="D137" s="10"/>
    </row>
    <row r="138" spans="1:4" x14ac:dyDescent="0.25">
      <c r="A138" s="9"/>
      <c r="B138" s="9"/>
      <c r="C138" s="10"/>
      <c r="D138" s="10"/>
    </row>
    <row r="139" spans="1:4" x14ac:dyDescent="0.25">
      <c r="A139" s="9"/>
      <c r="B139" s="9"/>
      <c r="C139" s="10"/>
      <c r="D139" s="10"/>
    </row>
    <row r="140" spans="1:4" x14ac:dyDescent="0.25">
      <c r="A140" s="9"/>
      <c r="B140" s="9"/>
      <c r="C140" s="10"/>
      <c r="D140" s="10"/>
    </row>
    <row r="141" spans="1:4" x14ac:dyDescent="0.25">
      <c r="A141" s="9"/>
      <c r="B141" s="9"/>
      <c r="C141" s="10"/>
      <c r="D141" s="10"/>
    </row>
    <row r="142" spans="1:4" x14ac:dyDescent="0.25">
      <c r="A142" s="9"/>
      <c r="B142" s="9"/>
      <c r="C142" s="10"/>
      <c r="D142" s="10"/>
    </row>
    <row r="143" spans="1:4" x14ac:dyDescent="0.25">
      <c r="A143" s="9"/>
      <c r="B143" s="9"/>
      <c r="C143" s="10"/>
      <c r="D143" s="10"/>
    </row>
    <row r="144" spans="1:4" x14ac:dyDescent="0.25">
      <c r="A144" s="9"/>
      <c r="B144" s="9"/>
      <c r="C144" s="10"/>
      <c r="D144" s="10"/>
    </row>
    <row r="145" spans="1:4" x14ac:dyDescent="0.25">
      <c r="A145" s="9"/>
      <c r="B145" s="9"/>
      <c r="C145" s="10"/>
      <c r="D145" s="10"/>
    </row>
    <row r="146" spans="1:4" x14ac:dyDescent="0.25">
      <c r="A146" s="9"/>
      <c r="B146" s="9"/>
      <c r="C146" s="10"/>
      <c r="D146" s="10"/>
    </row>
    <row r="147" spans="1:4" x14ac:dyDescent="0.25">
      <c r="A147" s="9"/>
      <c r="B147" s="9"/>
      <c r="C147" s="10"/>
      <c r="D147" s="10"/>
    </row>
    <row r="148" spans="1:4" x14ac:dyDescent="0.25">
      <c r="A148" s="9"/>
      <c r="B148" s="9"/>
      <c r="C148" s="10"/>
      <c r="D148" s="10"/>
    </row>
    <row r="149" spans="1:4" x14ac:dyDescent="0.25">
      <c r="A149" s="9"/>
      <c r="B149" s="9"/>
      <c r="C149" s="10"/>
      <c r="D149" s="10"/>
    </row>
    <row r="150" spans="1:4" x14ac:dyDescent="0.25">
      <c r="A150" s="9"/>
      <c r="B150" s="9"/>
      <c r="C150" s="10"/>
      <c r="D150" s="10"/>
    </row>
    <row r="151" spans="1:4" x14ac:dyDescent="0.25">
      <c r="A151" s="9"/>
      <c r="B151" s="9"/>
      <c r="C151" s="10"/>
      <c r="D151" s="10"/>
    </row>
    <row r="152" spans="1:4" x14ac:dyDescent="0.25">
      <c r="A152" s="9"/>
      <c r="B152" s="9"/>
      <c r="C152" s="10"/>
      <c r="D152" s="10"/>
    </row>
    <row r="153" spans="1:4" x14ac:dyDescent="0.25">
      <c r="A153" s="9"/>
      <c r="B153" s="9"/>
      <c r="C153" s="10"/>
      <c r="D153" s="10"/>
    </row>
    <row r="154" spans="1:4" x14ac:dyDescent="0.25">
      <c r="A154" s="9"/>
      <c r="B154" s="9"/>
      <c r="C154" s="10"/>
      <c r="D154" s="10"/>
    </row>
    <row r="155" spans="1:4" x14ac:dyDescent="0.25">
      <c r="A155" s="9"/>
      <c r="B155" s="9"/>
      <c r="C155" s="10"/>
      <c r="D155" s="10"/>
    </row>
    <row r="156" spans="1:4" x14ac:dyDescent="0.25">
      <c r="A156" s="9"/>
      <c r="B156" s="9"/>
      <c r="C156" s="10"/>
      <c r="D156" s="10"/>
    </row>
    <row r="157" spans="1:4" x14ac:dyDescent="0.25">
      <c r="A157" s="9"/>
      <c r="B157" s="9"/>
      <c r="C157" s="10"/>
      <c r="D157" s="10"/>
    </row>
    <row r="158" spans="1:4" x14ac:dyDescent="0.25">
      <c r="A158" s="9"/>
      <c r="B158" s="9"/>
      <c r="C158" s="10"/>
      <c r="D158" s="10"/>
    </row>
    <row r="159" spans="1:4" x14ac:dyDescent="0.25">
      <c r="A159" s="9"/>
      <c r="B159" s="9"/>
      <c r="C159" s="10"/>
      <c r="D159" s="10"/>
    </row>
    <row r="160" spans="1:4" x14ac:dyDescent="0.25">
      <c r="A160" s="9"/>
      <c r="B160" s="9"/>
      <c r="C160" s="10"/>
      <c r="D160" s="10"/>
    </row>
    <row r="161" spans="1:4" x14ac:dyDescent="0.25">
      <c r="A161" s="9"/>
      <c r="B161" s="9"/>
      <c r="C161" s="10"/>
      <c r="D161" s="10"/>
    </row>
    <row r="162" spans="1:4" x14ac:dyDescent="0.25">
      <c r="A162" s="9"/>
      <c r="B162" s="9"/>
      <c r="C162" s="10"/>
      <c r="D162" s="10"/>
    </row>
    <row r="163" spans="1:4" x14ac:dyDescent="0.25">
      <c r="A163" s="9"/>
      <c r="B163" s="9"/>
      <c r="C163" s="10"/>
      <c r="D163" s="10"/>
    </row>
    <row r="164" spans="1:4" x14ac:dyDescent="0.25">
      <c r="A164" s="9"/>
      <c r="B164" s="9"/>
      <c r="C164" s="10"/>
      <c r="D164" s="10"/>
    </row>
    <row r="165" spans="1:4" x14ac:dyDescent="0.25">
      <c r="A165" s="9"/>
      <c r="B165" s="9"/>
      <c r="C165" s="10"/>
      <c r="D165" s="10"/>
    </row>
    <row r="166" spans="1:4" x14ac:dyDescent="0.25">
      <c r="A166" s="9"/>
      <c r="B166" s="9"/>
      <c r="C166" s="10"/>
      <c r="D166" s="10"/>
    </row>
    <row r="167" spans="1:4" x14ac:dyDescent="0.25">
      <c r="A167" s="9"/>
      <c r="B167" s="9"/>
      <c r="C167" s="10"/>
      <c r="D167" s="10"/>
    </row>
    <row r="168" spans="1:4" x14ac:dyDescent="0.25">
      <c r="A168" s="9"/>
      <c r="B168" s="9"/>
      <c r="C168" s="10"/>
      <c r="D168" s="10"/>
    </row>
    <row r="169" spans="1:4" x14ac:dyDescent="0.25">
      <c r="A169" s="9"/>
      <c r="B169" s="9"/>
      <c r="C169" s="10"/>
      <c r="D169" s="10"/>
    </row>
    <row r="170" spans="1:4" x14ac:dyDescent="0.25">
      <c r="A170" s="9"/>
      <c r="B170" s="9"/>
      <c r="C170" s="10"/>
      <c r="D170" s="10"/>
    </row>
    <row r="171" spans="1:4" x14ac:dyDescent="0.25">
      <c r="A171" s="9"/>
      <c r="B171" s="9"/>
      <c r="C171" s="10"/>
      <c r="D171" s="10"/>
    </row>
    <row r="172" spans="1:4" x14ac:dyDescent="0.25">
      <c r="A172" s="9"/>
      <c r="B172" s="9"/>
      <c r="C172" s="10"/>
      <c r="D172" s="10"/>
    </row>
    <row r="173" spans="1:4" x14ac:dyDescent="0.25">
      <c r="A173" s="9"/>
      <c r="B173" s="9"/>
      <c r="C173" s="10"/>
      <c r="D173" s="10"/>
    </row>
    <row r="174" spans="1:4" x14ac:dyDescent="0.25">
      <c r="A174" s="9"/>
      <c r="B174" s="9"/>
      <c r="C174" s="10"/>
      <c r="D174" s="10"/>
    </row>
    <row r="175" spans="1:4" x14ac:dyDescent="0.25">
      <c r="A175" s="9"/>
      <c r="B175" s="9"/>
      <c r="C175" s="10"/>
      <c r="D175" s="10"/>
    </row>
    <row r="176" spans="1:4" x14ac:dyDescent="0.25">
      <c r="A176" s="9"/>
      <c r="B176" s="9"/>
      <c r="C176" s="10"/>
      <c r="D176" s="10"/>
    </row>
    <row r="177" spans="1:4" x14ac:dyDescent="0.25">
      <c r="A177" s="9"/>
      <c r="B177" s="9"/>
      <c r="C177" s="10"/>
      <c r="D177" s="10"/>
    </row>
    <row r="178" spans="1:4" x14ac:dyDescent="0.25">
      <c r="A178" s="9"/>
      <c r="B178" s="9"/>
      <c r="C178" s="10"/>
      <c r="D178" s="10"/>
    </row>
    <row r="179" spans="1:4" x14ac:dyDescent="0.25">
      <c r="A179" s="9"/>
      <c r="B179" s="9"/>
      <c r="C179" s="10"/>
      <c r="D179" s="10">
        <f>SUM(D10:D178)</f>
        <v>289757</v>
      </c>
    </row>
  </sheetData>
  <mergeCells count="2">
    <mergeCell ref="A4:D4"/>
    <mergeCell ref="B6:D6"/>
  </mergeCells>
  <pageMargins left="0.7" right="0.7" top="0.75" bottom="0.75" header="0.3" footer="0.3"/>
  <ignoredErrors>
    <ignoredError sqref="D80" formula="1"/>
  </ignoredError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FFC3E-DABB-4BE2-AE1D-3E5388F664B6}">
  <dimension ref="A4:G206"/>
  <sheetViews>
    <sheetView topLeftCell="A187" workbookViewId="0">
      <selection activeCell="C206" sqref="C206"/>
    </sheetView>
  </sheetViews>
  <sheetFormatPr baseColWidth="10" defaultRowHeight="15" x14ac:dyDescent="0.25"/>
  <cols>
    <col min="1" max="1" width="28.28515625" customWidth="1"/>
    <col min="2" max="2" width="27.140625" customWidth="1"/>
    <col min="3" max="3" width="23.42578125" style="6" customWidth="1"/>
    <col min="4" max="4" width="21.85546875" style="6" customWidth="1"/>
  </cols>
  <sheetData>
    <row r="4" spans="1:7" ht="18" x14ac:dyDescent="0.25">
      <c r="A4" s="98" t="s">
        <v>0</v>
      </c>
      <c r="B4" s="98"/>
      <c r="C4" s="98"/>
      <c r="D4" s="98"/>
      <c r="E4" s="1"/>
      <c r="F4" s="1"/>
      <c r="G4" s="1"/>
    </row>
    <row r="6" spans="1:7" x14ac:dyDescent="0.25">
      <c r="A6" s="2" t="s">
        <v>1</v>
      </c>
      <c r="B6" s="96" t="s">
        <v>33</v>
      </c>
      <c r="C6" s="97"/>
      <c r="D6" s="97"/>
    </row>
    <row r="7" spans="1:7" x14ac:dyDescent="0.25">
      <c r="A7" s="3" t="s">
        <v>11</v>
      </c>
      <c r="B7" s="4" t="s">
        <v>27</v>
      </c>
      <c r="C7" s="4"/>
      <c r="D7" s="4"/>
    </row>
    <row r="8" spans="1:7" x14ac:dyDescent="0.25">
      <c r="B8" s="5"/>
    </row>
    <row r="9" spans="1:7" x14ac:dyDescent="0.25">
      <c r="A9" s="2" t="s">
        <v>2</v>
      </c>
      <c r="B9" s="2" t="s">
        <v>3</v>
      </c>
      <c r="C9" s="7" t="s">
        <v>4</v>
      </c>
      <c r="D9" s="7" t="s">
        <v>5</v>
      </c>
    </row>
    <row r="10" spans="1:7" x14ac:dyDescent="0.25">
      <c r="A10" s="8">
        <v>45834</v>
      </c>
      <c r="B10" s="9" t="s">
        <v>6</v>
      </c>
      <c r="C10" s="10">
        <v>2860</v>
      </c>
      <c r="D10" s="10">
        <f>C10</f>
        <v>2860</v>
      </c>
    </row>
    <row r="11" spans="1:7" x14ac:dyDescent="0.25">
      <c r="A11" s="8">
        <v>45836</v>
      </c>
      <c r="B11" s="9" t="s">
        <v>6</v>
      </c>
      <c r="C11" s="10">
        <v>3290</v>
      </c>
      <c r="D11" s="10">
        <f t="shared" ref="D11:D42" si="0">D10+C11</f>
        <v>6150</v>
      </c>
    </row>
    <row r="12" spans="1:7" x14ac:dyDescent="0.25">
      <c r="A12" s="8">
        <v>45838</v>
      </c>
      <c r="B12" s="9" t="s">
        <v>6</v>
      </c>
      <c r="C12" s="10">
        <v>9360</v>
      </c>
      <c r="D12" s="10">
        <f t="shared" si="0"/>
        <v>15510</v>
      </c>
    </row>
    <row r="13" spans="1:7" x14ac:dyDescent="0.25">
      <c r="A13" s="8">
        <v>45839</v>
      </c>
      <c r="B13" s="9" t="s">
        <v>7</v>
      </c>
      <c r="C13" s="10">
        <v>-12650</v>
      </c>
      <c r="D13" s="10">
        <f t="shared" si="0"/>
        <v>2860</v>
      </c>
    </row>
    <row r="14" spans="1:7" x14ac:dyDescent="0.25">
      <c r="A14" s="8">
        <v>45841</v>
      </c>
      <c r="B14" s="9" t="s">
        <v>6</v>
      </c>
      <c r="C14" s="10">
        <v>9540</v>
      </c>
      <c r="D14" s="10">
        <f t="shared" si="0"/>
        <v>12400</v>
      </c>
    </row>
    <row r="15" spans="1:7" x14ac:dyDescent="0.25">
      <c r="A15" s="8">
        <v>45842</v>
      </c>
      <c r="B15" s="9" t="s">
        <v>44</v>
      </c>
      <c r="C15" s="10">
        <v>-12400</v>
      </c>
      <c r="D15" s="10">
        <f t="shared" si="0"/>
        <v>0</v>
      </c>
    </row>
    <row r="16" spans="1:7" x14ac:dyDescent="0.25">
      <c r="A16" s="8">
        <v>45845</v>
      </c>
      <c r="B16" s="9" t="s">
        <v>6</v>
      </c>
      <c r="C16" s="10">
        <v>5270</v>
      </c>
      <c r="D16" s="10">
        <f t="shared" si="0"/>
        <v>5270</v>
      </c>
    </row>
    <row r="17" spans="1:4" x14ac:dyDescent="0.25">
      <c r="A17" s="8">
        <v>45845</v>
      </c>
      <c r="B17" s="9" t="s">
        <v>44</v>
      </c>
      <c r="C17" s="10">
        <v>-5270</v>
      </c>
      <c r="D17" s="10">
        <f t="shared" si="0"/>
        <v>0</v>
      </c>
    </row>
    <row r="18" spans="1:4" x14ac:dyDescent="0.25">
      <c r="A18" s="8">
        <v>45848</v>
      </c>
      <c r="B18" s="9" t="s">
        <v>6</v>
      </c>
      <c r="C18" s="10">
        <v>3670</v>
      </c>
      <c r="D18" s="10">
        <f t="shared" si="0"/>
        <v>3670</v>
      </c>
    </row>
    <row r="19" spans="1:4" x14ac:dyDescent="0.25">
      <c r="A19" s="8">
        <v>45850</v>
      </c>
      <c r="B19" s="9" t="s">
        <v>7</v>
      </c>
      <c r="C19" s="10">
        <v>-3500</v>
      </c>
      <c r="D19" s="10">
        <f t="shared" si="0"/>
        <v>170</v>
      </c>
    </row>
    <row r="20" spans="1:4" x14ac:dyDescent="0.25">
      <c r="A20" s="8">
        <v>45852</v>
      </c>
      <c r="B20" s="9" t="s">
        <v>6</v>
      </c>
      <c r="C20" s="10">
        <v>7020</v>
      </c>
      <c r="D20" s="10">
        <f t="shared" si="0"/>
        <v>7190</v>
      </c>
    </row>
    <row r="21" spans="1:4" x14ac:dyDescent="0.25">
      <c r="A21" s="8">
        <v>45855</v>
      </c>
      <c r="B21" s="9" t="s">
        <v>44</v>
      </c>
      <c r="C21" s="10">
        <v>-10000</v>
      </c>
      <c r="D21" s="10">
        <f t="shared" si="0"/>
        <v>-2810</v>
      </c>
    </row>
    <row r="22" spans="1:4" x14ac:dyDescent="0.25">
      <c r="A22" s="8">
        <v>45855</v>
      </c>
      <c r="B22" s="9" t="s">
        <v>6</v>
      </c>
      <c r="C22" s="10">
        <v>8680</v>
      </c>
      <c r="D22" s="10">
        <f t="shared" si="0"/>
        <v>5870</v>
      </c>
    </row>
    <row r="23" spans="1:4" x14ac:dyDescent="0.25">
      <c r="A23" s="8">
        <v>45856</v>
      </c>
      <c r="B23" s="9" t="s">
        <v>7</v>
      </c>
      <c r="C23" s="10">
        <v>-5870</v>
      </c>
      <c r="D23" s="10">
        <f t="shared" si="0"/>
        <v>0</v>
      </c>
    </row>
    <row r="24" spans="1:4" x14ac:dyDescent="0.25">
      <c r="A24" s="8">
        <v>45859</v>
      </c>
      <c r="B24" s="9" t="s">
        <v>6</v>
      </c>
      <c r="C24" s="10">
        <v>8400</v>
      </c>
      <c r="D24" s="10">
        <f t="shared" si="0"/>
        <v>8400</v>
      </c>
    </row>
    <row r="25" spans="1:4" x14ac:dyDescent="0.25">
      <c r="A25" s="8">
        <v>45860</v>
      </c>
      <c r="B25" s="9" t="s">
        <v>7</v>
      </c>
      <c r="C25" s="10">
        <v>-8400</v>
      </c>
      <c r="D25" s="10">
        <f t="shared" si="0"/>
        <v>0</v>
      </c>
    </row>
    <row r="26" spans="1:4" x14ac:dyDescent="0.25">
      <c r="A26" s="8">
        <v>45862</v>
      </c>
      <c r="B26" s="9" t="s">
        <v>6</v>
      </c>
      <c r="C26" s="10">
        <v>7490</v>
      </c>
      <c r="D26" s="10">
        <f t="shared" si="0"/>
        <v>7490</v>
      </c>
    </row>
    <row r="27" spans="1:4" x14ac:dyDescent="0.25">
      <c r="A27" s="8">
        <v>45894</v>
      </c>
      <c r="B27" s="9" t="s">
        <v>7</v>
      </c>
      <c r="C27" s="10">
        <v>-3000</v>
      </c>
      <c r="D27" s="10">
        <f t="shared" si="0"/>
        <v>4490</v>
      </c>
    </row>
    <row r="28" spans="1:4" x14ac:dyDescent="0.25">
      <c r="A28" s="8">
        <v>45866</v>
      </c>
      <c r="B28" s="9" t="s">
        <v>6</v>
      </c>
      <c r="C28" s="10">
        <v>5590</v>
      </c>
      <c r="D28" s="10">
        <f t="shared" si="0"/>
        <v>10080</v>
      </c>
    </row>
    <row r="29" spans="1:4" x14ac:dyDescent="0.25">
      <c r="A29" s="8">
        <v>45868</v>
      </c>
      <c r="B29" s="9" t="s">
        <v>7</v>
      </c>
      <c r="C29" s="10">
        <v>-7800</v>
      </c>
      <c r="D29" s="10">
        <f t="shared" si="0"/>
        <v>2280</v>
      </c>
    </row>
    <row r="30" spans="1:4" x14ac:dyDescent="0.25">
      <c r="A30" s="8">
        <v>45869</v>
      </c>
      <c r="B30" s="9" t="s">
        <v>6</v>
      </c>
      <c r="C30" s="10">
        <v>6293</v>
      </c>
      <c r="D30" s="10">
        <f t="shared" si="0"/>
        <v>8573</v>
      </c>
    </row>
    <row r="31" spans="1:4" x14ac:dyDescent="0.25">
      <c r="A31" s="8">
        <v>45873</v>
      </c>
      <c r="B31" s="9" t="s">
        <v>6</v>
      </c>
      <c r="C31" s="10">
        <v>10090</v>
      </c>
      <c r="D31" s="10">
        <f t="shared" si="0"/>
        <v>18663</v>
      </c>
    </row>
    <row r="32" spans="1:4" x14ac:dyDescent="0.25">
      <c r="A32" s="8">
        <v>45874</v>
      </c>
      <c r="B32" s="9" t="s">
        <v>44</v>
      </c>
      <c r="C32" s="10">
        <v>-8000</v>
      </c>
      <c r="D32" s="10">
        <f t="shared" si="0"/>
        <v>10663</v>
      </c>
    </row>
    <row r="33" spans="1:4" x14ac:dyDescent="0.25">
      <c r="A33" s="8">
        <v>45876</v>
      </c>
      <c r="B33" s="9" t="s">
        <v>44</v>
      </c>
      <c r="C33" s="10">
        <v>-4800</v>
      </c>
      <c r="D33" s="10">
        <f t="shared" si="0"/>
        <v>5863</v>
      </c>
    </row>
    <row r="34" spans="1:4" x14ac:dyDescent="0.25">
      <c r="A34" s="8">
        <v>45876</v>
      </c>
      <c r="B34" s="9" t="s">
        <v>6</v>
      </c>
      <c r="C34" s="10">
        <v>3980</v>
      </c>
      <c r="D34" s="10">
        <f t="shared" si="0"/>
        <v>9843</v>
      </c>
    </row>
    <row r="35" spans="1:4" x14ac:dyDescent="0.25">
      <c r="A35" s="8">
        <v>45880</v>
      </c>
      <c r="B35" s="9" t="s">
        <v>6</v>
      </c>
      <c r="C35" s="10">
        <v>4610</v>
      </c>
      <c r="D35" s="10">
        <f t="shared" si="0"/>
        <v>14453</v>
      </c>
    </row>
    <row r="36" spans="1:4" x14ac:dyDescent="0.25">
      <c r="A36" s="8">
        <v>45883</v>
      </c>
      <c r="B36" s="9" t="s">
        <v>6</v>
      </c>
      <c r="C36" s="10">
        <v>5080</v>
      </c>
      <c r="D36" s="10">
        <f t="shared" si="0"/>
        <v>19533</v>
      </c>
    </row>
    <row r="37" spans="1:4" x14ac:dyDescent="0.25">
      <c r="A37" s="8">
        <v>45884</v>
      </c>
      <c r="B37" s="9" t="s">
        <v>44</v>
      </c>
      <c r="C37" s="10">
        <v>-5700</v>
      </c>
      <c r="D37" s="10">
        <f t="shared" si="0"/>
        <v>13833</v>
      </c>
    </row>
    <row r="38" spans="1:4" x14ac:dyDescent="0.25">
      <c r="A38" s="8">
        <v>45887</v>
      </c>
      <c r="B38" s="9" t="s">
        <v>6</v>
      </c>
      <c r="C38" s="10">
        <v>9700</v>
      </c>
      <c r="D38" s="10">
        <f t="shared" si="0"/>
        <v>23533</v>
      </c>
    </row>
    <row r="39" spans="1:4" x14ac:dyDescent="0.25">
      <c r="A39" s="8">
        <v>45887</v>
      </c>
      <c r="B39" s="9" t="s">
        <v>44</v>
      </c>
      <c r="C39" s="10">
        <v>-15000</v>
      </c>
      <c r="D39" s="10">
        <f t="shared" si="0"/>
        <v>8533</v>
      </c>
    </row>
    <row r="40" spans="1:4" x14ac:dyDescent="0.25">
      <c r="A40" s="8">
        <v>45890</v>
      </c>
      <c r="B40" s="9" t="s">
        <v>6</v>
      </c>
      <c r="C40" s="10">
        <v>3110</v>
      </c>
      <c r="D40" s="10">
        <f t="shared" si="0"/>
        <v>11643</v>
      </c>
    </row>
    <row r="41" spans="1:4" x14ac:dyDescent="0.25">
      <c r="A41" s="8">
        <v>45891</v>
      </c>
      <c r="B41" s="9" t="s">
        <v>7</v>
      </c>
      <c r="C41" s="10">
        <v>-4800</v>
      </c>
      <c r="D41" s="10">
        <f t="shared" si="0"/>
        <v>6843</v>
      </c>
    </row>
    <row r="42" spans="1:4" x14ac:dyDescent="0.25">
      <c r="A42" s="8">
        <v>45894</v>
      </c>
      <c r="B42" s="9" t="s">
        <v>6</v>
      </c>
      <c r="C42" s="10">
        <v>6650</v>
      </c>
      <c r="D42" s="10">
        <f t="shared" si="0"/>
        <v>13493</v>
      </c>
    </row>
    <row r="43" spans="1:4" x14ac:dyDescent="0.25">
      <c r="A43" s="8">
        <v>45895</v>
      </c>
      <c r="B43" s="9" t="s">
        <v>7</v>
      </c>
      <c r="C43" s="10">
        <v>-5000</v>
      </c>
      <c r="D43" s="10">
        <f t="shared" ref="D43:D74" si="1">D42+C43</f>
        <v>8493</v>
      </c>
    </row>
    <row r="44" spans="1:4" x14ac:dyDescent="0.25">
      <c r="A44" s="8">
        <v>45897</v>
      </c>
      <c r="B44" s="9" t="s">
        <v>6</v>
      </c>
      <c r="C44" s="10">
        <v>3540</v>
      </c>
      <c r="D44" s="10">
        <f t="shared" si="1"/>
        <v>12033</v>
      </c>
    </row>
    <row r="45" spans="1:4" x14ac:dyDescent="0.25">
      <c r="A45" s="8">
        <v>45900</v>
      </c>
      <c r="B45" s="9" t="s">
        <v>44</v>
      </c>
      <c r="C45" s="10">
        <v>-11900</v>
      </c>
      <c r="D45" s="10">
        <f t="shared" si="1"/>
        <v>133</v>
      </c>
    </row>
    <row r="46" spans="1:4" x14ac:dyDescent="0.25">
      <c r="A46" s="8">
        <v>45901</v>
      </c>
      <c r="B46" s="9" t="s">
        <v>6</v>
      </c>
      <c r="C46" s="10">
        <v>6650</v>
      </c>
      <c r="D46" s="10">
        <f t="shared" si="1"/>
        <v>6783</v>
      </c>
    </row>
    <row r="47" spans="1:4" x14ac:dyDescent="0.25">
      <c r="A47" s="8"/>
      <c r="B47" s="9"/>
      <c r="C47" s="10"/>
      <c r="D47" s="10">
        <f t="shared" si="1"/>
        <v>6783</v>
      </c>
    </row>
    <row r="48" spans="1:4" x14ac:dyDescent="0.25">
      <c r="A48" s="8">
        <v>45905</v>
      </c>
      <c r="B48" s="9" t="s">
        <v>6</v>
      </c>
      <c r="C48" s="10">
        <v>8270</v>
      </c>
      <c r="D48" s="10">
        <f t="shared" si="1"/>
        <v>15053</v>
      </c>
    </row>
    <row r="49" spans="1:4" x14ac:dyDescent="0.25">
      <c r="A49" s="8">
        <v>45908</v>
      </c>
      <c r="B49" s="9" t="s">
        <v>6</v>
      </c>
      <c r="C49" s="10">
        <v>4090</v>
      </c>
      <c r="D49" s="10">
        <f t="shared" si="1"/>
        <v>19143</v>
      </c>
    </row>
    <row r="50" spans="1:4" x14ac:dyDescent="0.25">
      <c r="A50" s="8">
        <v>45908</v>
      </c>
      <c r="B50" s="9" t="s">
        <v>44</v>
      </c>
      <c r="C50" s="10">
        <v>-5300</v>
      </c>
      <c r="D50" s="10">
        <f t="shared" si="1"/>
        <v>13843</v>
      </c>
    </row>
    <row r="51" spans="1:4" x14ac:dyDescent="0.25">
      <c r="A51" s="8">
        <v>45911</v>
      </c>
      <c r="B51" s="9" t="s">
        <v>6</v>
      </c>
      <c r="C51" s="10">
        <v>8270</v>
      </c>
      <c r="D51" s="10">
        <f t="shared" si="1"/>
        <v>22113</v>
      </c>
    </row>
    <row r="52" spans="1:4" x14ac:dyDescent="0.25">
      <c r="A52" s="8"/>
      <c r="B52" s="9"/>
      <c r="C52" s="10"/>
      <c r="D52" s="10">
        <f t="shared" si="1"/>
        <v>22113</v>
      </c>
    </row>
    <row r="53" spans="1:4" x14ac:dyDescent="0.25">
      <c r="A53" s="8">
        <v>45914</v>
      </c>
      <c r="B53" s="9" t="s">
        <v>44</v>
      </c>
      <c r="C53" s="10">
        <v>-4100</v>
      </c>
      <c r="D53" s="10">
        <f t="shared" si="1"/>
        <v>18013</v>
      </c>
    </row>
    <row r="54" spans="1:4" x14ac:dyDescent="0.25">
      <c r="A54" s="8">
        <v>45914</v>
      </c>
      <c r="B54" s="9" t="s">
        <v>44</v>
      </c>
      <c r="C54" s="10">
        <v>-18800</v>
      </c>
      <c r="D54" s="10">
        <f t="shared" si="1"/>
        <v>-787</v>
      </c>
    </row>
    <row r="55" spans="1:4" x14ac:dyDescent="0.25">
      <c r="A55" s="8">
        <v>45915</v>
      </c>
      <c r="B55" s="9" t="s">
        <v>6</v>
      </c>
      <c r="C55" s="10">
        <v>7840</v>
      </c>
      <c r="D55" s="10">
        <f t="shared" si="1"/>
        <v>7053</v>
      </c>
    </row>
    <row r="56" spans="1:4" x14ac:dyDescent="0.25">
      <c r="A56" s="8">
        <v>45915</v>
      </c>
      <c r="B56" s="9" t="s">
        <v>44</v>
      </c>
      <c r="C56" s="10">
        <v>-7153</v>
      </c>
      <c r="D56" s="10">
        <f t="shared" si="1"/>
        <v>-100</v>
      </c>
    </row>
    <row r="57" spans="1:4" x14ac:dyDescent="0.25">
      <c r="A57" s="8">
        <v>45918</v>
      </c>
      <c r="B57" s="9" t="s">
        <v>6</v>
      </c>
      <c r="C57" s="10">
        <v>23230</v>
      </c>
      <c r="D57" s="10">
        <f t="shared" si="1"/>
        <v>23130</v>
      </c>
    </row>
    <row r="58" spans="1:4" x14ac:dyDescent="0.25">
      <c r="A58" s="8">
        <v>45918</v>
      </c>
      <c r="B58" s="9" t="s">
        <v>44</v>
      </c>
      <c r="C58" s="10">
        <v>-10000</v>
      </c>
      <c r="D58" s="10">
        <f t="shared" si="1"/>
        <v>13130</v>
      </c>
    </row>
    <row r="59" spans="1:4" x14ac:dyDescent="0.25">
      <c r="A59" s="8">
        <v>45922</v>
      </c>
      <c r="B59" s="9" t="s">
        <v>6</v>
      </c>
      <c r="C59" s="10">
        <v>4220</v>
      </c>
      <c r="D59" s="10">
        <f t="shared" si="1"/>
        <v>17350</v>
      </c>
    </row>
    <row r="60" spans="1:4" x14ac:dyDescent="0.25">
      <c r="A60" s="8">
        <v>45923</v>
      </c>
      <c r="B60" s="9" t="s">
        <v>44</v>
      </c>
      <c r="C60" s="10">
        <v>-13230</v>
      </c>
      <c r="D60" s="10">
        <f t="shared" si="1"/>
        <v>4120</v>
      </c>
    </row>
    <row r="61" spans="1:4" x14ac:dyDescent="0.25">
      <c r="A61" s="8">
        <v>45925</v>
      </c>
      <c r="B61" s="9" t="s">
        <v>6</v>
      </c>
      <c r="C61" s="10">
        <v>4510</v>
      </c>
      <c r="D61" s="10">
        <f t="shared" si="1"/>
        <v>8630</v>
      </c>
    </row>
    <row r="62" spans="1:4" x14ac:dyDescent="0.25">
      <c r="A62" s="8">
        <v>45926</v>
      </c>
      <c r="B62" s="9" t="s">
        <v>150</v>
      </c>
      <c r="C62" s="10">
        <v>-4510</v>
      </c>
      <c r="D62" s="10">
        <f t="shared" si="1"/>
        <v>4120</v>
      </c>
    </row>
    <row r="63" spans="1:4" x14ac:dyDescent="0.25">
      <c r="A63" s="8">
        <v>45929</v>
      </c>
      <c r="B63" s="9" t="s">
        <v>6</v>
      </c>
      <c r="C63" s="10">
        <v>6880</v>
      </c>
      <c r="D63" s="10">
        <f t="shared" si="1"/>
        <v>11000</v>
      </c>
    </row>
    <row r="64" spans="1:4" x14ac:dyDescent="0.25">
      <c r="A64" s="8">
        <v>45932</v>
      </c>
      <c r="B64" s="9" t="s">
        <v>44</v>
      </c>
      <c r="C64" s="10">
        <v>-10000</v>
      </c>
      <c r="D64" s="10">
        <f t="shared" si="1"/>
        <v>1000</v>
      </c>
    </row>
    <row r="65" spans="1:4" x14ac:dyDescent="0.25">
      <c r="A65" s="8">
        <v>45932</v>
      </c>
      <c r="B65" s="9" t="s">
        <v>6</v>
      </c>
      <c r="C65" s="10">
        <v>2580</v>
      </c>
      <c r="D65" s="10">
        <f t="shared" si="1"/>
        <v>3580</v>
      </c>
    </row>
    <row r="66" spans="1:4" x14ac:dyDescent="0.25">
      <c r="A66" s="8">
        <v>45936</v>
      </c>
      <c r="B66" s="9" t="s">
        <v>6</v>
      </c>
      <c r="C66" s="10">
        <v>6150</v>
      </c>
      <c r="D66" s="10">
        <f t="shared" si="1"/>
        <v>9730</v>
      </c>
    </row>
    <row r="67" spans="1:4" x14ac:dyDescent="0.25">
      <c r="A67" s="8">
        <v>45936</v>
      </c>
      <c r="B67" s="9" t="s">
        <v>179</v>
      </c>
      <c r="C67" s="10">
        <v>-3620</v>
      </c>
      <c r="D67" s="10">
        <f t="shared" si="1"/>
        <v>6110</v>
      </c>
    </row>
    <row r="68" spans="1:4" x14ac:dyDescent="0.25">
      <c r="A68" s="13">
        <v>45844</v>
      </c>
      <c r="B68" s="9" t="s">
        <v>184</v>
      </c>
      <c r="C68" s="10">
        <v>-6150</v>
      </c>
      <c r="D68" s="10">
        <f t="shared" si="1"/>
        <v>-40</v>
      </c>
    </row>
    <row r="69" spans="1:4" x14ac:dyDescent="0.25">
      <c r="A69" s="8">
        <v>45939</v>
      </c>
      <c r="B69" s="9" t="s">
        <v>3</v>
      </c>
      <c r="C69" s="10">
        <v>3870</v>
      </c>
      <c r="D69" s="10">
        <f t="shared" si="1"/>
        <v>3830</v>
      </c>
    </row>
    <row r="70" spans="1:4" x14ac:dyDescent="0.25">
      <c r="A70" s="8">
        <v>45943</v>
      </c>
      <c r="B70" s="9" t="s">
        <v>3</v>
      </c>
      <c r="C70" s="10">
        <v>2980</v>
      </c>
      <c r="D70" s="10">
        <f t="shared" si="1"/>
        <v>6810</v>
      </c>
    </row>
    <row r="71" spans="1:4" x14ac:dyDescent="0.25">
      <c r="A71" s="8">
        <v>45946</v>
      </c>
      <c r="B71" s="9" t="s">
        <v>3</v>
      </c>
      <c r="C71" s="10">
        <v>4880</v>
      </c>
      <c r="D71" s="10">
        <f t="shared" si="1"/>
        <v>11690</v>
      </c>
    </row>
    <row r="72" spans="1:4" x14ac:dyDescent="0.25">
      <c r="A72" s="8">
        <v>45948</v>
      </c>
      <c r="B72" s="9" t="s">
        <v>179</v>
      </c>
      <c r="C72" s="10">
        <v>-6000</v>
      </c>
      <c r="D72" s="10">
        <f t="shared" si="1"/>
        <v>5690</v>
      </c>
    </row>
    <row r="73" spans="1:4" x14ac:dyDescent="0.25">
      <c r="A73" s="8">
        <v>45950</v>
      </c>
      <c r="B73" s="9" t="s">
        <v>3</v>
      </c>
      <c r="C73" s="10">
        <v>8900</v>
      </c>
      <c r="D73" s="10">
        <f t="shared" si="1"/>
        <v>14590</v>
      </c>
    </row>
    <row r="74" spans="1:4" x14ac:dyDescent="0.25">
      <c r="A74" s="8">
        <v>45951</v>
      </c>
      <c r="B74" s="9" t="s">
        <v>179</v>
      </c>
      <c r="C74" s="10">
        <v>-6000</v>
      </c>
      <c r="D74" s="10">
        <f t="shared" si="1"/>
        <v>8590</v>
      </c>
    </row>
    <row r="75" spans="1:4" x14ac:dyDescent="0.25">
      <c r="A75" s="8">
        <v>45953</v>
      </c>
      <c r="B75" s="9" t="s">
        <v>3</v>
      </c>
      <c r="C75" s="10">
        <v>6790</v>
      </c>
      <c r="D75" s="10">
        <f t="shared" ref="D75:D138" si="2">D74+C75</f>
        <v>15380</v>
      </c>
    </row>
    <row r="76" spans="1:4" x14ac:dyDescent="0.25">
      <c r="A76" s="13">
        <v>45954</v>
      </c>
      <c r="B76" s="9" t="s">
        <v>179</v>
      </c>
      <c r="C76" s="10">
        <v>-10000</v>
      </c>
      <c r="D76" s="10">
        <f t="shared" si="2"/>
        <v>5380</v>
      </c>
    </row>
    <row r="77" spans="1:4" x14ac:dyDescent="0.25">
      <c r="A77" s="8">
        <v>45955</v>
      </c>
      <c r="B77" s="9" t="s">
        <v>127</v>
      </c>
      <c r="C77" s="10">
        <v>-5380</v>
      </c>
      <c r="D77" s="10">
        <f t="shared" si="2"/>
        <v>0</v>
      </c>
    </row>
    <row r="78" spans="1:4" x14ac:dyDescent="0.25">
      <c r="A78" s="8">
        <v>45957</v>
      </c>
      <c r="B78" s="9" t="s">
        <v>3</v>
      </c>
      <c r="C78" s="10">
        <v>12850</v>
      </c>
      <c r="D78" s="10">
        <f t="shared" si="2"/>
        <v>12850</v>
      </c>
    </row>
    <row r="79" spans="1:4" x14ac:dyDescent="0.25">
      <c r="A79" s="8">
        <v>45960</v>
      </c>
      <c r="B79" s="9" t="s">
        <v>3</v>
      </c>
      <c r="C79" s="10">
        <v>7700</v>
      </c>
      <c r="D79" s="10">
        <f t="shared" si="2"/>
        <v>20550</v>
      </c>
    </row>
    <row r="80" spans="1:4" x14ac:dyDescent="0.25">
      <c r="A80" s="8">
        <v>45963</v>
      </c>
      <c r="B80" s="9" t="s">
        <v>179</v>
      </c>
      <c r="C80" s="10">
        <v>-10000</v>
      </c>
      <c r="D80" s="10">
        <f t="shared" si="2"/>
        <v>10550</v>
      </c>
    </row>
    <row r="81" spans="1:4" x14ac:dyDescent="0.25">
      <c r="A81" s="8">
        <v>45964</v>
      </c>
      <c r="B81" s="9" t="s">
        <v>3</v>
      </c>
      <c r="C81" s="10">
        <v>10900</v>
      </c>
      <c r="D81" s="10">
        <f t="shared" si="2"/>
        <v>21450</v>
      </c>
    </row>
    <row r="82" spans="1:4" x14ac:dyDescent="0.25">
      <c r="A82" s="8">
        <v>45967</v>
      </c>
      <c r="B82" s="9" t="s">
        <v>3</v>
      </c>
      <c r="C82" s="10">
        <v>9260</v>
      </c>
      <c r="D82" s="10">
        <f t="shared" si="2"/>
        <v>30710</v>
      </c>
    </row>
    <row r="83" spans="1:4" x14ac:dyDescent="0.25">
      <c r="A83" s="8">
        <v>45968</v>
      </c>
      <c r="B83" s="9" t="s">
        <v>179</v>
      </c>
      <c r="C83" s="10">
        <v>-4200</v>
      </c>
      <c r="D83" s="10">
        <f t="shared" si="2"/>
        <v>26510</v>
      </c>
    </row>
    <row r="84" spans="1:4" x14ac:dyDescent="0.25">
      <c r="A84" s="8">
        <v>45971</v>
      </c>
      <c r="B84" s="9" t="s">
        <v>3</v>
      </c>
      <c r="C84" s="10">
        <v>1910</v>
      </c>
      <c r="D84" s="10">
        <f t="shared" si="2"/>
        <v>28420</v>
      </c>
    </row>
    <row r="85" spans="1:4" x14ac:dyDescent="0.25">
      <c r="A85" s="8">
        <v>45973</v>
      </c>
      <c r="B85" s="9" t="s">
        <v>127</v>
      </c>
      <c r="C85" s="10">
        <v>-6200</v>
      </c>
      <c r="D85" s="10">
        <f t="shared" si="2"/>
        <v>22220</v>
      </c>
    </row>
    <row r="86" spans="1:4" x14ac:dyDescent="0.25">
      <c r="A86" s="8">
        <v>45974</v>
      </c>
      <c r="B86" s="9" t="s">
        <v>127</v>
      </c>
      <c r="C86" s="10">
        <v>-8800</v>
      </c>
      <c r="D86" s="10">
        <f t="shared" si="2"/>
        <v>13420</v>
      </c>
    </row>
    <row r="87" spans="1:4" x14ac:dyDescent="0.25">
      <c r="A87" s="8">
        <v>45974</v>
      </c>
      <c r="B87" s="9" t="s">
        <v>3</v>
      </c>
      <c r="C87" s="10">
        <v>1690</v>
      </c>
      <c r="D87" s="10">
        <f t="shared" si="2"/>
        <v>15110</v>
      </c>
    </row>
    <row r="88" spans="1:4" x14ac:dyDescent="0.25">
      <c r="A88" s="8">
        <v>45978</v>
      </c>
      <c r="B88" s="9" t="s">
        <v>127</v>
      </c>
      <c r="C88" s="10">
        <v>-6700</v>
      </c>
      <c r="D88" s="10">
        <f t="shared" si="2"/>
        <v>8410</v>
      </c>
    </row>
    <row r="89" spans="1:4" x14ac:dyDescent="0.25">
      <c r="A89" s="8">
        <v>45978</v>
      </c>
      <c r="B89" s="9" t="s">
        <v>3</v>
      </c>
      <c r="C89" s="10">
        <v>10020</v>
      </c>
      <c r="D89" s="10">
        <f t="shared" si="2"/>
        <v>18430</v>
      </c>
    </row>
    <row r="90" spans="1:4" x14ac:dyDescent="0.25">
      <c r="A90" s="8">
        <v>45980</v>
      </c>
      <c r="B90" s="9" t="s">
        <v>150</v>
      </c>
      <c r="C90" s="10">
        <v>-4200</v>
      </c>
      <c r="D90" s="10">
        <f t="shared" si="2"/>
        <v>14230</v>
      </c>
    </row>
    <row r="91" spans="1:4" x14ac:dyDescent="0.25">
      <c r="A91" s="8">
        <v>45981</v>
      </c>
      <c r="B91" s="9" t="s">
        <v>3</v>
      </c>
      <c r="C91" s="10">
        <v>8876</v>
      </c>
      <c r="D91" s="10">
        <f t="shared" si="2"/>
        <v>23106</v>
      </c>
    </row>
    <row r="92" spans="1:4" x14ac:dyDescent="0.25">
      <c r="A92" s="8">
        <v>45982</v>
      </c>
      <c r="B92" s="9" t="s">
        <v>150</v>
      </c>
      <c r="C92" s="10">
        <v>-9200</v>
      </c>
      <c r="D92" s="10">
        <f t="shared" si="2"/>
        <v>13906</v>
      </c>
    </row>
    <row r="93" spans="1:4" x14ac:dyDescent="0.25">
      <c r="A93" s="8">
        <v>45985</v>
      </c>
      <c r="B93" s="9" t="s">
        <v>3</v>
      </c>
      <c r="C93" s="10">
        <v>8950</v>
      </c>
      <c r="D93" s="10">
        <f t="shared" si="2"/>
        <v>22856</v>
      </c>
    </row>
    <row r="94" spans="1:4" x14ac:dyDescent="0.25">
      <c r="A94" s="8">
        <v>45985</v>
      </c>
      <c r="B94" s="9" t="s">
        <v>150</v>
      </c>
      <c r="C94" s="10">
        <v>-12200</v>
      </c>
      <c r="D94" s="10">
        <f t="shared" si="2"/>
        <v>10656</v>
      </c>
    </row>
    <row r="95" spans="1:4" x14ac:dyDescent="0.25">
      <c r="A95" s="8">
        <v>45988</v>
      </c>
      <c r="B95" s="9" t="s">
        <v>3</v>
      </c>
      <c r="C95" s="10">
        <v>17280</v>
      </c>
      <c r="D95" s="10">
        <f t="shared" si="2"/>
        <v>27936</v>
      </c>
    </row>
    <row r="96" spans="1:4" x14ac:dyDescent="0.25">
      <c r="A96" s="8">
        <v>45992</v>
      </c>
      <c r="B96" s="9" t="s">
        <v>3</v>
      </c>
      <c r="C96" s="10">
        <v>1680</v>
      </c>
      <c r="D96" s="10">
        <f t="shared" si="2"/>
        <v>29616</v>
      </c>
    </row>
    <row r="97" spans="1:4" x14ac:dyDescent="0.25">
      <c r="A97" s="8">
        <v>45996</v>
      </c>
      <c r="B97" s="9" t="s">
        <v>3</v>
      </c>
      <c r="C97" s="10">
        <v>6840</v>
      </c>
      <c r="D97" s="10">
        <f t="shared" si="2"/>
        <v>36456</v>
      </c>
    </row>
    <row r="98" spans="1:4" x14ac:dyDescent="0.25">
      <c r="A98" s="8">
        <v>45997</v>
      </c>
      <c r="B98" s="9" t="s">
        <v>150</v>
      </c>
      <c r="C98" s="10">
        <v>-14000</v>
      </c>
      <c r="D98" s="10">
        <f t="shared" si="2"/>
        <v>22456</v>
      </c>
    </row>
    <row r="99" spans="1:4" x14ac:dyDescent="0.25">
      <c r="A99" s="8">
        <v>46001</v>
      </c>
      <c r="B99" s="9" t="s">
        <v>7</v>
      </c>
      <c r="C99" s="10">
        <v>-7800</v>
      </c>
      <c r="D99" s="10">
        <f t="shared" si="2"/>
        <v>14656</v>
      </c>
    </row>
    <row r="100" spans="1:4" x14ac:dyDescent="0.25">
      <c r="A100" s="8">
        <v>46001</v>
      </c>
      <c r="B100" s="9" t="s">
        <v>3</v>
      </c>
      <c r="C100" s="10">
        <v>8470</v>
      </c>
      <c r="D100" s="10">
        <f t="shared" si="2"/>
        <v>23126</v>
      </c>
    </row>
    <row r="101" spans="1:4" x14ac:dyDescent="0.25">
      <c r="A101" s="8">
        <v>46002</v>
      </c>
      <c r="B101" s="9" t="s">
        <v>150</v>
      </c>
      <c r="C101" s="10">
        <v>-4700</v>
      </c>
      <c r="D101" s="10">
        <f t="shared" si="2"/>
        <v>18426</v>
      </c>
    </row>
    <row r="102" spans="1:4" x14ac:dyDescent="0.25">
      <c r="A102" s="8">
        <v>46003</v>
      </c>
      <c r="B102" s="9" t="s">
        <v>3</v>
      </c>
      <c r="C102" s="10">
        <v>8740</v>
      </c>
      <c r="D102" s="10">
        <f t="shared" si="2"/>
        <v>27166</v>
      </c>
    </row>
    <row r="103" spans="1:4" x14ac:dyDescent="0.25">
      <c r="A103" s="8">
        <v>46003</v>
      </c>
      <c r="B103" s="9" t="s">
        <v>150</v>
      </c>
      <c r="C103" s="10">
        <v>-2000</v>
      </c>
      <c r="D103" s="10">
        <f t="shared" si="2"/>
        <v>25166</v>
      </c>
    </row>
    <row r="104" spans="1:4" x14ac:dyDescent="0.25">
      <c r="A104" s="8">
        <v>46005</v>
      </c>
      <c r="B104" s="9" t="s">
        <v>7</v>
      </c>
      <c r="C104" s="10">
        <v>-4300</v>
      </c>
      <c r="D104" s="10">
        <f t="shared" si="2"/>
        <v>20866</v>
      </c>
    </row>
    <row r="105" spans="1:4" x14ac:dyDescent="0.25">
      <c r="A105" s="8">
        <v>46006</v>
      </c>
      <c r="B105" s="9" t="s">
        <v>150</v>
      </c>
      <c r="C105" s="10">
        <v>-4200</v>
      </c>
      <c r="D105" s="10">
        <f t="shared" si="2"/>
        <v>16666</v>
      </c>
    </row>
    <row r="106" spans="1:4" x14ac:dyDescent="0.25">
      <c r="A106" s="8">
        <v>46006</v>
      </c>
      <c r="B106" s="9" t="s">
        <v>3</v>
      </c>
      <c r="C106" s="10">
        <v>10595</v>
      </c>
      <c r="D106" s="10">
        <f t="shared" si="2"/>
        <v>27261</v>
      </c>
    </row>
    <row r="107" spans="1:4" x14ac:dyDescent="0.25">
      <c r="A107" s="8">
        <v>46009</v>
      </c>
      <c r="B107" s="9" t="s">
        <v>3</v>
      </c>
      <c r="C107" s="10">
        <v>10950</v>
      </c>
      <c r="D107" s="10">
        <f t="shared" si="2"/>
        <v>38211</v>
      </c>
    </row>
    <row r="108" spans="1:4" x14ac:dyDescent="0.25">
      <c r="A108" s="8">
        <v>46008</v>
      </c>
      <c r="B108" s="9" t="s">
        <v>150</v>
      </c>
      <c r="C108" s="10">
        <v>-5200</v>
      </c>
      <c r="D108" s="10">
        <f t="shared" si="2"/>
        <v>33011</v>
      </c>
    </row>
    <row r="109" spans="1:4" x14ac:dyDescent="0.25">
      <c r="A109" s="8">
        <v>46009</v>
      </c>
      <c r="B109" s="9" t="s">
        <v>150</v>
      </c>
      <c r="C109" s="10">
        <v>-7500</v>
      </c>
      <c r="D109" s="10">
        <f t="shared" si="2"/>
        <v>25511</v>
      </c>
    </row>
    <row r="110" spans="1:4" x14ac:dyDescent="0.25">
      <c r="A110" s="8">
        <v>46009</v>
      </c>
      <c r="B110" s="9" t="s">
        <v>150</v>
      </c>
      <c r="C110" s="10">
        <v>-7200</v>
      </c>
      <c r="D110" s="10">
        <f t="shared" si="2"/>
        <v>18311</v>
      </c>
    </row>
    <row r="111" spans="1:4" x14ac:dyDescent="0.25">
      <c r="A111" s="8">
        <v>45677</v>
      </c>
      <c r="B111" s="9" t="s">
        <v>7</v>
      </c>
      <c r="C111" s="10">
        <v>-9300</v>
      </c>
      <c r="D111" s="10">
        <f t="shared" si="2"/>
        <v>9011</v>
      </c>
    </row>
    <row r="112" spans="1:4" x14ac:dyDescent="0.25">
      <c r="A112" s="8">
        <v>46013</v>
      </c>
      <c r="B112" s="9" t="s">
        <v>3</v>
      </c>
      <c r="C112" s="10">
        <v>9060</v>
      </c>
      <c r="D112" s="10">
        <f t="shared" si="2"/>
        <v>18071</v>
      </c>
    </row>
    <row r="113" spans="1:4" x14ac:dyDescent="0.25">
      <c r="A113" s="8">
        <v>46017</v>
      </c>
      <c r="B113" s="9" t="s">
        <v>127</v>
      </c>
      <c r="C113" s="10">
        <v>-6000</v>
      </c>
      <c r="D113" s="10">
        <f t="shared" si="2"/>
        <v>12071</v>
      </c>
    </row>
    <row r="114" spans="1:4" x14ac:dyDescent="0.25">
      <c r="A114" s="8">
        <v>46018</v>
      </c>
      <c r="B114" s="9" t="s">
        <v>127</v>
      </c>
      <c r="C114" s="10">
        <v>-4800</v>
      </c>
      <c r="D114" s="10">
        <f t="shared" si="2"/>
        <v>7271</v>
      </c>
    </row>
    <row r="115" spans="1:4" x14ac:dyDescent="0.25">
      <c r="A115" s="8">
        <v>46020</v>
      </c>
      <c r="B115" s="9" t="s">
        <v>3</v>
      </c>
      <c r="C115" s="10">
        <v>3450</v>
      </c>
      <c r="D115" s="10">
        <f t="shared" si="2"/>
        <v>10721</v>
      </c>
    </row>
    <row r="116" spans="1:4" x14ac:dyDescent="0.25">
      <c r="A116" s="8">
        <v>46020</v>
      </c>
      <c r="B116" s="9" t="s">
        <v>127</v>
      </c>
      <c r="C116" s="10">
        <v>-8800</v>
      </c>
      <c r="D116" s="10">
        <f t="shared" si="2"/>
        <v>1921</v>
      </c>
    </row>
    <row r="117" spans="1:4" x14ac:dyDescent="0.25">
      <c r="A117" s="8">
        <v>46024</v>
      </c>
      <c r="B117" s="9" t="s">
        <v>127</v>
      </c>
      <c r="C117" s="10">
        <v>-7000</v>
      </c>
      <c r="D117" s="10">
        <f t="shared" si="2"/>
        <v>-5079</v>
      </c>
    </row>
    <row r="118" spans="1:4" x14ac:dyDescent="0.25">
      <c r="A118" s="8">
        <v>46024</v>
      </c>
      <c r="B118" s="9" t="s">
        <v>276</v>
      </c>
      <c r="C118" s="10">
        <v>24600</v>
      </c>
      <c r="D118" s="10">
        <f t="shared" si="2"/>
        <v>19521</v>
      </c>
    </row>
    <row r="119" spans="1:4" x14ac:dyDescent="0.25">
      <c r="A119" s="8">
        <v>46027</v>
      </c>
      <c r="B119" s="9" t="s">
        <v>277</v>
      </c>
      <c r="C119" s="10">
        <v>2030</v>
      </c>
      <c r="D119" s="10">
        <f t="shared" si="2"/>
        <v>21551</v>
      </c>
    </row>
    <row r="120" spans="1:4" x14ac:dyDescent="0.25">
      <c r="A120" s="8">
        <v>46030</v>
      </c>
      <c r="B120" s="9" t="s">
        <v>3</v>
      </c>
      <c r="C120" s="10">
        <v>7320</v>
      </c>
      <c r="D120" s="10">
        <f t="shared" si="2"/>
        <v>28871</v>
      </c>
    </row>
    <row r="121" spans="1:4" x14ac:dyDescent="0.25">
      <c r="A121" s="8">
        <v>46031</v>
      </c>
      <c r="B121" s="9" t="s">
        <v>127</v>
      </c>
      <c r="C121" s="10">
        <v>-3000</v>
      </c>
      <c r="D121" s="10">
        <f t="shared" si="2"/>
        <v>25871</v>
      </c>
    </row>
    <row r="122" spans="1:4" x14ac:dyDescent="0.25">
      <c r="A122" s="8">
        <v>46034</v>
      </c>
      <c r="B122" s="9" t="s">
        <v>3</v>
      </c>
      <c r="C122" s="10">
        <v>3970</v>
      </c>
      <c r="D122" s="10">
        <f t="shared" si="2"/>
        <v>29841</v>
      </c>
    </row>
    <row r="123" spans="1:4" x14ac:dyDescent="0.25">
      <c r="A123" s="8">
        <v>46034</v>
      </c>
      <c r="B123" s="9" t="s">
        <v>179</v>
      </c>
      <c r="C123" s="10">
        <v>-1600</v>
      </c>
      <c r="D123" s="10">
        <f t="shared" si="2"/>
        <v>28241</v>
      </c>
    </row>
    <row r="124" spans="1:4" x14ac:dyDescent="0.25">
      <c r="A124" s="8">
        <v>46036</v>
      </c>
      <c r="B124" s="9" t="s">
        <v>179</v>
      </c>
      <c r="C124" s="10">
        <v>-3900</v>
      </c>
      <c r="D124" s="10">
        <f t="shared" si="2"/>
        <v>24341</v>
      </c>
    </row>
    <row r="125" spans="1:4" x14ac:dyDescent="0.25">
      <c r="A125" s="8">
        <v>46036</v>
      </c>
      <c r="B125" s="9" t="s">
        <v>179</v>
      </c>
      <c r="C125" s="10">
        <v>-11500</v>
      </c>
      <c r="D125" s="10">
        <f t="shared" si="2"/>
        <v>12841</v>
      </c>
    </row>
    <row r="126" spans="1:4" x14ac:dyDescent="0.25">
      <c r="A126" s="8">
        <v>46037</v>
      </c>
      <c r="B126" s="9" t="s">
        <v>3</v>
      </c>
      <c r="C126" s="10">
        <v>11420</v>
      </c>
      <c r="D126" s="10">
        <f t="shared" si="2"/>
        <v>24261</v>
      </c>
    </row>
    <row r="127" spans="1:4" x14ac:dyDescent="0.25">
      <c r="A127" s="8">
        <v>46041</v>
      </c>
      <c r="B127" s="9" t="s">
        <v>3</v>
      </c>
      <c r="C127" s="10">
        <v>5820</v>
      </c>
      <c r="D127" s="10">
        <f t="shared" si="2"/>
        <v>30081</v>
      </c>
    </row>
    <row r="128" spans="1:4" x14ac:dyDescent="0.25">
      <c r="A128" s="8">
        <v>46041</v>
      </c>
      <c r="B128" s="9" t="s">
        <v>179</v>
      </c>
      <c r="C128" s="10">
        <v>-6600</v>
      </c>
      <c r="D128" s="10">
        <f t="shared" si="2"/>
        <v>23481</v>
      </c>
    </row>
    <row r="129" spans="1:4" x14ac:dyDescent="0.25">
      <c r="A129" s="8">
        <v>46042</v>
      </c>
      <c r="B129" s="9" t="s">
        <v>127</v>
      </c>
      <c r="C129" s="10">
        <v>-4300</v>
      </c>
      <c r="D129" s="10">
        <f t="shared" si="2"/>
        <v>19181</v>
      </c>
    </row>
    <row r="130" spans="1:4" x14ac:dyDescent="0.25">
      <c r="A130" s="8">
        <v>46046</v>
      </c>
      <c r="B130" s="9" t="s">
        <v>127</v>
      </c>
      <c r="C130" s="10">
        <v>-8000</v>
      </c>
      <c r="D130" s="10">
        <f t="shared" si="2"/>
        <v>11181</v>
      </c>
    </row>
    <row r="131" spans="1:4" x14ac:dyDescent="0.25">
      <c r="A131" s="8">
        <v>46049</v>
      </c>
      <c r="B131" s="9" t="s">
        <v>127</v>
      </c>
      <c r="C131" s="10">
        <v>-6000</v>
      </c>
      <c r="D131" s="10">
        <f t="shared" si="2"/>
        <v>5181</v>
      </c>
    </row>
    <row r="132" spans="1:4" x14ac:dyDescent="0.25">
      <c r="A132" s="8">
        <v>46051</v>
      </c>
      <c r="B132" s="9" t="s">
        <v>3</v>
      </c>
      <c r="C132" s="10">
        <v>2235</v>
      </c>
      <c r="D132" s="10">
        <f t="shared" si="2"/>
        <v>7416</v>
      </c>
    </row>
    <row r="133" spans="1:4" x14ac:dyDescent="0.25">
      <c r="A133" s="8">
        <v>46066</v>
      </c>
      <c r="B133" s="9" t="s">
        <v>3</v>
      </c>
      <c r="C133" s="10">
        <v>950</v>
      </c>
      <c r="D133" s="10">
        <f t="shared" si="2"/>
        <v>8366</v>
      </c>
    </row>
    <row r="134" spans="1:4" x14ac:dyDescent="0.25">
      <c r="A134" s="8">
        <v>46069</v>
      </c>
      <c r="B134" s="9" t="s">
        <v>327</v>
      </c>
      <c r="C134" s="10">
        <v>1650</v>
      </c>
      <c r="D134" s="10">
        <f t="shared" si="2"/>
        <v>10016</v>
      </c>
    </row>
    <row r="135" spans="1:4" x14ac:dyDescent="0.25">
      <c r="A135" s="8">
        <v>46069</v>
      </c>
      <c r="B135" s="9" t="s">
        <v>178</v>
      </c>
      <c r="C135" s="10">
        <v>-1650</v>
      </c>
      <c r="D135" s="10">
        <f t="shared" si="2"/>
        <v>8366</v>
      </c>
    </row>
    <row r="136" spans="1:4" x14ac:dyDescent="0.25">
      <c r="A136" s="8">
        <v>46068</v>
      </c>
      <c r="B136" s="9" t="s">
        <v>127</v>
      </c>
      <c r="C136" s="10">
        <v>-20000</v>
      </c>
      <c r="D136" s="10">
        <f t="shared" si="2"/>
        <v>-11634</v>
      </c>
    </row>
    <row r="137" spans="1:4" x14ac:dyDescent="0.25">
      <c r="A137" s="8">
        <v>46069</v>
      </c>
      <c r="B137" s="9" t="s">
        <v>178</v>
      </c>
      <c r="C137" s="10">
        <v>-740</v>
      </c>
      <c r="D137" s="10">
        <f t="shared" si="2"/>
        <v>-12374</v>
      </c>
    </row>
    <row r="138" spans="1:4" x14ac:dyDescent="0.25">
      <c r="A138" s="8">
        <v>46072</v>
      </c>
      <c r="B138" s="9" t="s">
        <v>127</v>
      </c>
      <c r="C138" s="10">
        <v>-10000</v>
      </c>
      <c r="D138" s="10">
        <f t="shared" si="2"/>
        <v>-22374</v>
      </c>
    </row>
    <row r="139" spans="1:4" x14ac:dyDescent="0.25">
      <c r="A139" s="8">
        <v>46072</v>
      </c>
      <c r="B139" s="9" t="s">
        <v>327</v>
      </c>
      <c r="C139" s="10">
        <v>2310</v>
      </c>
      <c r="D139" s="10">
        <f t="shared" ref="D139:D146" si="3">D138+C139</f>
        <v>-20064</v>
      </c>
    </row>
    <row r="140" spans="1:4" x14ac:dyDescent="0.25">
      <c r="A140" s="8">
        <v>46074</v>
      </c>
      <c r="B140" s="9" t="s">
        <v>330</v>
      </c>
      <c r="C140" s="10">
        <v>2424</v>
      </c>
      <c r="D140" s="10">
        <f t="shared" si="3"/>
        <v>-17640</v>
      </c>
    </row>
    <row r="141" spans="1:4" x14ac:dyDescent="0.25">
      <c r="A141" s="8">
        <v>46077</v>
      </c>
      <c r="B141" s="9" t="s">
        <v>329</v>
      </c>
      <c r="C141" s="10">
        <v>1480</v>
      </c>
      <c r="D141" s="10">
        <f t="shared" si="3"/>
        <v>-16160</v>
      </c>
    </row>
    <row r="142" spans="1:4" x14ac:dyDescent="0.25">
      <c r="A142" s="8">
        <v>46079</v>
      </c>
      <c r="B142" s="9" t="s">
        <v>3</v>
      </c>
      <c r="C142" s="10">
        <v>850</v>
      </c>
      <c r="D142" s="10">
        <f>D141+C142</f>
        <v>-15310</v>
      </c>
    </row>
    <row r="143" spans="1:4" x14ac:dyDescent="0.25">
      <c r="A143" s="8">
        <v>46086</v>
      </c>
      <c r="B143" s="9" t="s">
        <v>3</v>
      </c>
      <c r="C143" s="10">
        <v>1050</v>
      </c>
      <c r="D143" s="10">
        <f t="shared" si="3"/>
        <v>-14260</v>
      </c>
    </row>
    <row r="144" spans="1:4" x14ac:dyDescent="0.25">
      <c r="A144" s="22">
        <v>46097</v>
      </c>
      <c r="B144" s="42" t="s">
        <v>3</v>
      </c>
      <c r="C144" s="6">
        <v>600</v>
      </c>
      <c r="D144" s="10">
        <f>D143+C144</f>
        <v>-13660</v>
      </c>
    </row>
    <row r="145" spans="1:4" x14ac:dyDescent="0.25">
      <c r="A145" s="8">
        <v>46111</v>
      </c>
      <c r="B145" s="9" t="s">
        <v>379</v>
      </c>
      <c r="C145" s="10">
        <v>2000</v>
      </c>
      <c r="D145" s="10">
        <f t="shared" si="3"/>
        <v>-11660</v>
      </c>
    </row>
    <row r="146" spans="1:4" x14ac:dyDescent="0.25">
      <c r="A146" s="8">
        <v>46111</v>
      </c>
      <c r="B146" s="9" t="s">
        <v>127</v>
      </c>
      <c r="C146" s="10">
        <v>-2000</v>
      </c>
      <c r="D146" s="10">
        <f t="shared" si="3"/>
        <v>-13660</v>
      </c>
    </row>
    <row r="147" spans="1:4" x14ac:dyDescent="0.25">
      <c r="A147" s="8">
        <v>46118</v>
      </c>
      <c r="B147" s="9" t="s">
        <v>3</v>
      </c>
      <c r="C147" s="10">
        <v>2520</v>
      </c>
      <c r="D147" s="10">
        <f>D146+C147</f>
        <v>-11140</v>
      </c>
    </row>
    <row r="148" spans="1:4" x14ac:dyDescent="0.25">
      <c r="A148" s="8">
        <v>46119</v>
      </c>
      <c r="B148" s="9" t="s">
        <v>127</v>
      </c>
      <c r="C148" s="10">
        <v>-2520</v>
      </c>
      <c r="D148" s="10">
        <f t="shared" ref="D148:D206" si="4">D147+C148</f>
        <v>-13660</v>
      </c>
    </row>
    <row r="149" spans="1:4" x14ac:dyDescent="0.25">
      <c r="A149" s="8">
        <v>46121</v>
      </c>
      <c r="B149" s="9" t="s">
        <v>327</v>
      </c>
      <c r="C149" s="10">
        <v>3130</v>
      </c>
      <c r="D149" s="10">
        <f t="shared" si="4"/>
        <v>-10530</v>
      </c>
    </row>
    <row r="150" spans="1:4" x14ac:dyDescent="0.25">
      <c r="A150" s="8">
        <v>46124</v>
      </c>
      <c r="B150" s="9" t="s">
        <v>127</v>
      </c>
      <c r="C150" s="10">
        <v>-3130</v>
      </c>
      <c r="D150" s="10">
        <f t="shared" si="4"/>
        <v>-13660</v>
      </c>
    </row>
    <row r="151" spans="1:4" x14ac:dyDescent="0.25">
      <c r="A151" s="8">
        <v>46125</v>
      </c>
      <c r="B151" s="9" t="s">
        <v>3</v>
      </c>
      <c r="C151" s="10">
        <v>2165</v>
      </c>
      <c r="D151" s="10">
        <f t="shared" si="4"/>
        <v>-11495</v>
      </c>
    </row>
    <row r="152" spans="1:4" x14ac:dyDescent="0.25">
      <c r="A152" s="8">
        <v>46139</v>
      </c>
      <c r="B152" s="9" t="s">
        <v>410</v>
      </c>
      <c r="C152" s="10">
        <v>1460</v>
      </c>
      <c r="D152" s="10">
        <f t="shared" si="4"/>
        <v>-10035</v>
      </c>
    </row>
    <row r="153" spans="1:4" x14ac:dyDescent="0.25">
      <c r="A153" s="8">
        <v>46156</v>
      </c>
      <c r="B153" s="9" t="s">
        <v>3</v>
      </c>
      <c r="C153" s="10">
        <v>6540</v>
      </c>
      <c r="D153" s="10">
        <f t="shared" si="4"/>
        <v>-3495</v>
      </c>
    </row>
    <row r="154" spans="1:4" x14ac:dyDescent="0.25">
      <c r="A154" s="8">
        <v>46160</v>
      </c>
      <c r="B154" s="9" t="s">
        <v>3</v>
      </c>
      <c r="C154" s="10">
        <v>2500</v>
      </c>
      <c r="D154" s="10">
        <f t="shared" si="4"/>
        <v>-995</v>
      </c>
    </row>
    <row r="155" spans="1:4" x14ac:dyDescent="0.25">
      <c r="A155" s="8">
        <v>46163</v>
      </c>
      <c r="B155" s="9" t="s">
        <v>97</v>
      </c>
      <c r="C155" s="10">
        <v>275</v>
      </c>
      <c r="D155" s="10">
        <f t="shared" si="4"/>
        <v>-720</v>
      </c>
    </row>
    <row r="156" spans="1:4" x14ac:dyDescent="0.25">
      <c r="A156" s="8">
        <v>46167</v>
      </c>
      <c r="B156" s="9" t="s">
        <v>3</v>
      </c>
      <c r="C156" s="10">
        <v>1600</v>
      </c>
      <c r="D156" s="10">
        <f t="shared" si="4"/>
        <v>880</v>
      </c>
    </row>
    <row r="157" spans="1:4" x14ac:dyDescent="0.25">
      <c r="A157" s="8">
        <v>46168</v>
      </c>
      <c r="B157" s="9" t="s">
        <v>127</v>
      </c>
      <c r="C157" s="10">
        <v>-1600</v>
      </c>
      <c r="D157" s="10">
        <f t="shared" si="4"/>
        <v>-720</v>
      </c>
    </row>
    <row r="158" spans="1:4" x14ac:dyDescent="0.25">
      <c r="A158" s="8">
        <v>46170</v>
      </c>
      <c r="B158" s="9" t="s">
        <v>3</v>
      </c>
      <c r="C158" s="10">
        <v>920</v>
      </c>
      <c r="D158" s="10">
        <f t="shared" si="4"/>
        <v>200</v>
      </c>
    </row>
    <row r="159" spans="1:4" x14ac:dyDescent="0.25">
      <c r="A159" s="8">
        <v>46181</v>
      </c>
      <c r="B159" s="9" t="s">
        <v>127</v>
      </c>
      <c r="C159" s="10">
        <v>-2500</v>
      </c>
      <c r="D159" s="10">
        <f t="shared" si="4"/>
        <v>-2300</v>
      </c>
    </row>
    <row r="160" spans="1:4" x14ac:dyDescent="0.25">
      <c r="A160" s="8">
        <v>46184</v>
      </c>
      <c r="B160" s="9" t="s">
        <v>3</v>
      </c>
      <c r="C160" s="10">
        <v>4900</v>
      </c>
      <c r="D160" s="10">
        <f t="shared" si="4"/>
        <v>2600</v>
      </c>
    </row>
    <row r="161" spans="1:4" x14ac:dyDescent="0.25">
      <c r="A161" s="8">
        <v>46188</v>
      </c>
      <c r="B161" s="9" t="s">
        <v>3</v>
      </c>
      <c r="C161" s="10">
        <v>2740</v>
      </c>
      <c r="D161" s="10">
        <f t="shared" si="4"/>
        <v>5340</v>
      </c>
    </row>
    <row r="162" spans="1:4" x14ac:dyDescent="0.25">
      <c r="A162" s="8">
        <v>46191</v>
      </c>
      <c r="B162" s="9" t="s">
        <v>3</v>
      </c>
      <c r="C162" s="10">
        <v>3120</v>
      </c>
      <c r="D162" s="10">
        <f t="shared" si="4"/>
        <v>8460</v>
      </c>
    </row>
    <row r="163" spans="1:4" x14ac:dyDescent="0.25">
      <c r="A163" s="8">
        <v>46191</v>
      </c>
      <c r="B163" s="9" t="s">
        <v>127</v>
      </c>
      <c r="C163" s="10">
        <v>-5000</v>
      </c>
      <c r="D163" s="10">
        <f>D162+C163</f>
        <v>3460</v>
      </c>
    </row>
    <row r="164" spans="1:4" x14ac:dyDescent="0.25">
      <c r="A164" s="8">
        <v>46195</v>
      </c>
      <c r="B164" s="9" t="s">
        <v>3</v>
      </c>
      <c r="C164" s="10">
        <v>2410</v>
      </c>
      <c r="D164" s="10">
        <f t="shared" si="4"/>
        <v>5870</v>
      </c>
    </row>
    <row r="165" spans="1:4" x14ac:dyDescent="0.25">
      <c r="A165" s="8">
        <v>46195</v>
      </c>
      <c r="B165" s="9" t="s">
        <v>127</v>
      </c>
      <c r="C165" s="10">
        <v>-5500</v>
      </c>
      <c r="D165" s="10">
        <f t="shared" si="4"/>
        <v>370</v>
      </c>
    </row>
    <row r="166" spans="1:4" x14ac:dyDescent="0.25">
      <c r="A166" s="8">
        <v>46198</v>
      </c>
      <c r="B166" s="9" t="s">
        <v>3</v>
      </c>
      <c r="C166" s="10">
        <v>800</v>
      </c>
      <c r="D166" s="10">
        <f t="shared" si="4"/>
        <v>1170</v>
      </c>
    </row>
    <row r="167" spans="1:4" x14ac:dyDescent="0.25">
      <c r="A167" s="8">
        <v>46200</v>
      </c>
      <c r="B167" s="9" t="s">
        <v>482</v>
      </c>
      <c r="C167" s="10">
        <v>-3470</v>
      </c>
      <c r="D167" s="10">
        <f t="shared" si="4"/>
        <v>-2300</v>
      </c>
    </row>
    <row r="168" spans="1:4" x14ac:dyDescent="0.25">
      <c r="A168" s="8">
        <v>46202</v>
      </c>
      <c r="B168" s="9" t="s">
        <v>148</v>
      </c>
      <c r="C168" s="10">
        <v>4020</v>
      </c>
      <c r="D168" s="10">
        <f t="shared" si="4"/>
        <v>1720</v>
      </c>
    </row>
    <row r="169" spans="1:4" x14ac:dyDescent="0.25">
      <c r="A169" s="8">
        <v>46205</v>
      </c>
      <c r="B169" s="9" t="s">
        <v>3</v>
      </c>
      <c r="C169" s="10">
        <v>1680</v>
      </c>
      <c r="D169" s="10">
        <f t="shared" si="4"/>
        <v>3400</v>
      </c>
    </row>
    <row r="170" spans="1:4" x14ac:dyDescent="0.25">
      <c r="A170" s="8">
        <v>46209</v>
      </c>
      <c r="B170" s="9" t="s">
        <v>3</v>
      </c>
      <c r="C170" s="10">
        <v>3240</v>
      </c>
      <c r="D170" s="10">
        <f t="shared" si="4"/>
        <v>6640</v>
      </c>
    </row>
    <row r="171" spans="1:4" x14ac:dyDescent="0.25">
      <c r="A171" s="8">
        <v>46212</v>
      </c>
      <c r="B171" s="9" t="s">
        <v>3</v>
      </c>
      <c r="C171" s="10">
        <v>510</v>
      </c>
      <c r="D171" s="10">
        <f t="shared" si="4"/>
        <v>7150</v>
      </c>
    </row>
    <row r="172" spans="1:4" x14ac:dyDescent="0.25">
      <c r="A172" s="8">
        <v>46216</v>
      </c>
      <c r="B172" s="9" t="s">
        <v>3</v>
      </c>
      <c r="C172" s="10">
        <v>960</v>
      </c>
      <c r="D172" s="10">
        <f t="shared" si="4"/>
        <v>8110</v>
      </c>
    </row>
    <row r="173" spans="1:4" x14ac:dyDescent="0.25">
      <c r="A173" s="8">
        <v>46219</v>
      </c>
      <c r="B173" s="9" t="s">
        <v>3</v>
      </c>
      <c r="C173" s="10">
        <v>4240</v>
      </c>
      <c r="D173" s="10">
        <f t="shared" si="4"/>
        <v>12350</v>
      </c>
    </row>
    <row r="174" spans="1:4" x14ac:dyDescent="0.25">
      <c r="A174" s="8">
        <v>46223</v>
      </c>
      <c r="B174" s="9" t="s">
        <v>3</v>
      </c>
      <c r="C174" s="10">
        <v>2380</v>
      </c>
      <c r="D174" s="10">
        <f t="shared" si="4"/>
        <v>14730</v>
      </c>
    </row>
    <row r="175" spans="1:4" x14ac:dyDescent="0.25">
      <c r="A175" s="8">
        <v>46226</v>
      </c>
      <c r="B175" s="9" t="s">
        <v>3</v>
      </c>
      <c r="C175" s="10">
        <v>990</v>
      </c>
      <c r="D175" s="10">
        <f t="shared" si="4"/>
        <v>15720</v>
      </c>
    </row>
    <row r="176" spans="1:4" x14ac:dyDescent="0.25">
      <c r="A176" s="8">
        <v>46225</v>
      </c>
      <c r="B176" s="9" t="s">
        <v>127</v>
      </c>
      <c r="C176" s="10">
        <v>-5000</v>
      </c>
      <c r="D176" s="10">
        <f t="shared" si="4"/>
        <v>10720</v>
      </c>
    </row>
    <row r="177" spans="1:4" x14ac:dyDescent="0.25">
      <c r="A177" s="8">
        <v>46237</v>
      </c>
      <c r="B177" s="9" t="s">
        <v>3</v>
      </c>
      <c r="C177" s="10">
        <v>1500</v>
      </c>
      <c r="D177" s="10">
        <f t="shared" si="4"/>
        <v>12220</v>
      </c>
    </row>
    <row r="178" spans="1:4" x14ac:dyDescent="0.25">
      <c r="A178" s="8">
        <v>46238</v>
      </c>
      <c r="B178" s="9" t="s">
        <v>127</v>
      </c>
      <c r="C178" s="10">
        <v>-5000</v>
      </c>
      <c r="D178" s="10">
        <f t="shared" si="4"/>
        <v>7220</v>
      </c>
    </row>
    <row r="179" spans="1:4" x14ac:dyDescent="0.25">
      <c r="A179" s="8">
        <v>46152</v>
      </c>
      <c r="B179" s="9" t="s">
        <v>3</v>
      </c>
      <c r="C179" s="10">
        <v>1050</v>
      </c>
      <c r="D179" s="10">
        <f t="shared" si="4"/>
        <v>8270</v>
      </c>
    </row>
    <row r="180" spans="1:4" x14ac:dyDescent="0.25">
      <c r="A180" s="8">
        <v>46247</v>
      </c>
      <c r="B180" s="9" t="s">
        <v>3</v>
      </c>
      <c r="C180" s="10">
        <v>160</v>
      </c>
      <c r="D180" s="10">
        <f t="shared" si="4"/>
        <v>8430</v>
      </c>
    </row>
    <row r="181" spans="1:4" x14ac:dyDescent="0.25">
      <c r="A181" s="8">
        <v>46251</v>
      </c>
      <c r="B181" s="9" t="s">
        <v>3</v>
      </c>
      <c r="C181" s="10">
        <v>1790</v>
      </c>
      <c r="D181" s="10">
        <f t="shared" si="4"/>
        <v>10220</v>
      </c>
    </row>
    <row r="182" spans="1:4" x14ac:dyDescent="0.25">
      <c r="A182" s="8">
        <v>46256</v>
      </c>
      <c r="B182" s="9" t="s">
        <v>127</v>
      </c>
      <c r="C182" s="10">
        <v>-5000</v>
      </c>
      <c r="D182" s="10">
        <f t="shared" si="4"/>
        <v>5220</v>
      </c>
    </row>
    <row r="183" spans="1:4" x14ac:dyDescent="0.25">
      <c r="A183" s="8">
        <v>46265</v>
      </c>
      <c r="B183" s="9" t="s">
        <v>3</v>
      </c>
      <c r="C183" s="10">
        <v>350</v>
      </c>
      <c r="D183" s="10">
        <f t="shared" si="4"/>
        <v>5570</v>
      </c>
    </row>
    <row r="184" spans="1:4" x14ac:dyDescent="0.25">
      <c r="A184" s="8">
        <v>46268</v>
      </c>
      <c r="B184" s="9" t="s">
        <v>3</v>
      </c>
      <c r="C184" s="10">
        <v>630</v>
      </c>
      <c r="D184" s="10">
        <f t="shared" si="4"/>
        <v>6200</v>
      </c>
    </row>
    <row r="185" spans="1:4" x14ac:dyDescent="0.25">
      <c r="A185" s="8">
        <v>46272</v>
      </c>
      <c r="B185" s="9" t="s">
        <v>127</v>
      </c>
      <c r="C185" s="10">
        <v>-6000</v>
      </c>
      <c r="D185" s="10">
        <f t="shared" si="4"/>
        <v>200</v>
      </c>
    </row>
    <row r="186" spans="1:4" x14ac:dyDescent="0.25">
      <c r="A186" s="8">
        <v>46272</v>
      </c>
      <c r="B186" s="9" t="s">
        <v>3</v>
      </c>
      <c r="C186" s="10">
        <v>630</v>
      </c>
      <c r="D186" s="10">
        <f t="shared" si="4"/>
        <v>830</v>
      </c>
    </row>
    <row r="187" spans="1:4" x14ac:dyDescent="0.25">
      <c r="A187" s="8">
        <v>46273</v>
      </c>
      <c r="B187" s="9" t="s">
        <v>127</v>
      </c>
      <c r="C187" s="10">
        <v>-2780</v>
      </c>
      <c r="D187" s="10">
        <f t="shared" si="4"/>
        <v>-1950</v>
      </c>
    </row>
    <row r="188" spans="1:4" x14ac:dyDescent="0.25">
      <c r="A188" s="8">
        <v>46275</v>
      </c>
      <c r="B188" s="9" t="s">
        <v>3</v>
      </c>
      <c r="C188" s="10">
        <v>1350</v>
      </c>
      <c r="D188" s="10">
        <f t="shared" si="4"/>
        <v>-600</v>
      </c>
    </row>
    <row r="189" spans="1:4" x14ac:dyDescent="0.25">
      <c r="A189" s="8">
        <v>46283</v>
      </c>
      <c r="B189" s="9" t="s">
        <v>129</v>
      </c>
      <c r="C189" s="10">
        <v>4350</v>
      </c>
      <c r="D189" s="10">
        <f t="shared" si="4"/>
        <v>3750</v>
      </c>
    </row>
    <row r="190" spans="1:4" x14ac:dyDescent="0.25">
      <c r="A190" s="8">
        <v>46286</v>
      </c>
      <c r="B190" s="9" t="s">
        <v>127</v>
      </c>
      <c r="C190" s="10">
        <v>-5700</v>
      </c>
      <c r="D190" s="10">
        <f t="shared" si="4"/>
        <v>-1950</v>
      </c>
    </row>
    <row r="191" spans="1:4" x14ac:dyDescent="0.25">
      <c r="A191" s="8">
        <v>46289</v>
      </c>
      <c r="B191" s="9" t="s">
        <v>3</v>
      </c>
      <c r="C191" s="10">
        <v>1460</v>
      </c>
      <c r="D191" s="10">
        <f t="shared" si="4"/>
        <v>-490</v>
      </c>
    </row>
    <row r="192" spans="1:4" x14ac:dyDescent="0.25">
      <c r="A192" s="8">
        <v>46290</v>
      </c>
      <c r="B192" s="9" t="s">
        <v>127</v>
      </c>
      <c r="C192" s="10">
        <v>-1460</v>
      </c>
      <c r="D192" s="10">
        <f t="shared" si="4"/>
        <v>-1950</v>
      </c>
    </row>
    <row r="193" spans="1:4" x14ac:dyDescent="0.25">
      <c r="A193" s="8">
        <v>46293</v>
      </c>
      <c r="B193" s="9" t="s">
        <v>3</v>
      </c>
      <c r="C193" s="10">
        <v>920</v>
      </c>
      <c r="D193" s="10">
        <f t="shared" si="4"/>
        <v>-1030</v>
      </c>
    </row>
    <row r="194" spans="1:4" x14ac:dyDescent="0.25">
      <c r="A194" s="8">
        <v>46296</v>
      </c>
      <c r="B194" s="9" t="s">
        <v>3</v>
      </c>
      <c r="C194" s="10">
        <v>1380</v>
      </c>
      <c r="D194" s="10">
        <f t="shared" si="4"/>
        <v>350</v>
      </c>
    </row>
    <row r="195" spans="1:4" x14ac:dyDescent="0.25">
      <c r="A195" s="8"/>
      <c r="B195" s="9"/>
      <c r="C195" s="10"/>
      <c r="D195" s="10">
        <f t="shared" si="4"/>
        <v>350</v>
      </c>
    </row>
    <row r="196" spans="1:4" x14ac:dyDescent="0.25">
      <c r="A196" s="8"/>
      <c r="B196" s="9"/>
      <c r="C196" s="10"/>
      <c r="D196" s="10">
        <f t="shared" si="4"/>
        <v>350</v>
      </c>
    </row>
    <row r="197" spans="1:4" x14ac:dyDescent="0.25">
      <c r="A197" s="8"/>
      <c r="B197" s="9"/>
      <c r="C197" s="10"/>
      <c r="D197" s="10">
        <f t="shared" si="4"/>
        <v>350</v>
      </c>
    </row>
    <row r="198" spans="1:4" x14ac:dyDescent="0.25">
      <c r="A198" s="8"/>
      <c r="B198" s="9"/>
      <c r="C198" s="10"/>
      <c r="D198" s="10">
        <f t="shared" si="4"/>
        <v>350</v>
      </c>
    </row>
    <row r="199" spans="1:4" x14ac:dyDescent="0.25">
      <c r="A199" s="8"/>
      <c r="B199" s="9"/>
      <c r="C199" s="10"/>
      <c r="D199" s="10">
        <f t="shared" si="4"/>
        <v>350</v>
      </c>
    </row>
    <row r="200" spans="1:4" x14ac:dyDescent="0.25">
      <c r="A200" s="8"/>
      <c r="B200" s="9"/>
      <c r="C200" s="10"/>
      <c r="D200" s="10">
        <f t="shared" si="4"/>
        <v>350</v>
      </c>
    </row>
    <row r="201" spans="1:4" x14ac:dyDescent="0.25">
      <c r="A201" s="8"/>
      <c r="B201" s="9"/>
      <c r="C201" s="10"/>
      <c r="D201" s="10">
        <f t="shared" si="4"/>
        <v>350</v>
      </c>
    </row>
    <row r="202" spans="1:4" x14ac:dyDescent="0.25">
      <c r="A202" s="9"/>
      <c r="B202" s="9"/>
      <c r="C202" s="10"/>
      <c r="D202" s="10">
        <f t="shared" si="4"/>
        <v>350</v>
      </c>
    </row>
    <row r="203" spans="1:4" x14ac:dyDescent="0.25">
      <c r="A203" s="9"/>
      <c r="B203" s="9"/>
      <c r="C203" s="10"/>
      <c r="D203" s="10">
        <f t="shared" si="4"/>
        <v>350</v>
      </c>
    </row>
    <row r="204" spans="1:4" x14ac:dyDescent="0.25">
      <c r="A204" s="9"/>
      <c r="B204" s="9"/>
      <c r="C204" s="10"/>
      <c r="D204" s="10">
        <f t="shared" si="4"/>
        <v>350</v>
      </c>
    </row>
    <row r="205" spans="1:4" x14ac:dyDescent="0.25">
      <c r="A205" s="9"/>
      <c r="B205" s="9"/>
      <c r="C205" s="10"/>
      <c r="D205" s="10">
        <f t="shared" si="4"/>
        <v>350</v>
      </c>
    </row>
    <row r="206" spans="1:4" x14ac:dyDescent="0.25">
      <c r="A206" s="9"/>
      <c r="B206" s="9"/>
      <c r="C206" s="10"/>
      <c r="D206" s="10">
        <f t="shared" si="4"/>
        <v>350</v>
      </c>
    </row>
  </sheetData>
  <mergeCells count="2">
    <mergeCell ref="A4:D4"/>
    <mergeCell ref="B6:D6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48C77-BAD6-4F6B-BCE7-B4900481829C}">
  <dimension ref="A4:G189"/>
  <sheetViews>
    <sheetView topLeftCell="A139" workbookViewId="0">
      <selection activeCell="F164" sqref="F164"/>
    </sheetView>
  </sheetViews>
  <sheetFormatPr baseColWidth="10" defaultRowHeight="15" x14ac:dyDescent="0.25"/>
  <cols>
    <col min="1" max="1" width="28.28515625" customWidth="1"/>
    <col min="2" max="2" width="27.140625" customWidth="1"/>
    <col min="3" max="3" width="23.42578125" style="6" customWidth="1"/>
    <col min="4" max="4" width="21.85546875" style="6" customWidth="1"/>
  </cols>
  <sheetData>
    <row r="4" spans="1:4" ht="18" x14ac:dyDescent="0.25">
      <c r="A4" s="98" t="s">
        <v>0</v>
      </c>
      <c r="B4" s="98"/>
      <c r="C4" s="98"/>
      <c r="D4" s="98"/>
    </row>
    <row r="6" spans="1:4" x14ac:dyDescent="0.25">
      <c r="A6" s="2" t="s">
        <v>1</v>
      </c>
      <c r="B6" s="96" t="s">
        <v>36</v>
      </c>
      <c r="C6" s="97"/>
      <c r="D6" s="97"/>
    </row>
    <row r="7" spans="1:4" x14ac:dyDescent="0.25">
      <c r="A7" s="3" t="s">
        <v>11</v>
      </c>
      <c r="B7" s="4" t="s">
        <v>27</v>
      </c>
      <c r="C7" s="4"/>
      <c r="D7" s="4"/>
    </row>
    <row r="8" spans="1:4" x14ac:dyDescent="0.25">
      <c r="B8" s="5"/>
    </row>
    <row r="9" spans="1:4" x14ac:dyDescent="0.25">
      <c r="A9" s="2" t="s">
        <v>2</v>
      </c>
      <c r="B9" s="2" t="s">
        <v>3</v>
      </c>
      <c r="C9" s="7" t="s">
        <v>4</v>
      </c>
      <c r="D9" s="7" t="s">
        <v>5</v>
      </c>
    </row>
    <row r="10" spans="1:4" x14ac:dyDescent="0.25">
      <c r="A10" s="8">
        <v>45834</v>
      </c>
      <c r="B10" s="9" t="s">
        <v>6</v>
      </c>
      <c r="C10" s="10">
        <v>77405</v>
      </c>
      <c r="D10" s="10">
        <f>C10</f>
        <v>77405</v>
      </c>
    </row>
    <row r="11" spans="1:4" x14ac:dyDescent="0.25">
      <c r="A11" s="8">
        <v>45836</v>
      </c>
      <c r="B11" s="9" t="s">
        <v>42</v>
      </c>
      <c r="C11" s="10">
        <v>7010</v>
      </c>
      <c r="D11" s="10">
        <f>D10+C11</f>
        <v>84415</v>
      </c>
    </row>
    <row r="12" spans="1:4" x14ac:dyDescent="0.25">
      <c r="A12" s="8">
        <v>45838</v>
      </c>
      <c r="B12" s="9" t="s">
        <v>38</v>
      </c>
      <c r="C12" s="10">
        <v>10830</v>
      </c>
      <c r="D12" s="10">
        <f t="shared" ref="D12:D31" si="0">D11+C12</f>
        <v>95245</v>
      </c>
    </row>
    <row r="13" spans="1:4" x14ac:dyDescent="0.25">
      <c r="A13" s="8">
        <v>45841</v>
      </c>
      <c r="B13" s="9" t="s">
        <v>47</v>
      </c>
      <c r="C13" s="10">
        <v>7615</v>
      </c>
      <c r="D13" s="10">
        <f t="shared" si="0"/>
        <v>102860</v>
      </c>
    </row>
    <row r="14" spans="1:4" x14ac:dyDescent="0.25">
      <c r="A14" s="8">
        <v>45845</v>
      </c>
      <c r="B14" s="9" t="s">
        <v>52</v>
      </c>
      <c r="C14" s="10">
        <v>5730</v>
      </c>
      <c r="D14" s="10">
        <f t="shared" si="0"/>
        <v>108590</v>
      </c>
    </row>
    <row r="15" spans="1:4" x14ac:dyDescent="0.25">
      <c r="A15" s="8">
        <v>45848</v>
      </c>
      <c r="B15" s="9" t="s">
        <v>53</v>
      </c>
      <c r="C15" s="10">
        <v>7535</v>
      </c>
      <c r="D15" s="11">
        <f t="shared" si="0"/>
        <v>116125</v>
      </c>
    </row>
    <row r="16" spans="1:4" x14ac:dyDescent="0.25">
      <c r="A16" s="8">
        <v>45849</v>
      </c>
      <c r="B16" s="9" t="s">
        <v>7</v>
      </c>
      <c r="C16" s="10">
        <v>-20000</v>
      </c>
      <c r="D16" s="10">
        <f t="shared" si="0"/>
        <v>96125</v>
      </c>
    </row>
    <row r="17" spans="1:4" x14ac:dyDescent="0.25">
      <c r="A17" s="8">
        <v>45850</v>
      </c>
      <c r="B17" s="9" t="s">
        <v>7</v>
      </c>
      <c r="C17" s="10">
        <v>-15000</v>
      </c>
      <c r="D17" s="10">
        <f t="shared" si="0"/>
        <v>81125</v>
      </c>
    </row>
    <row r="18" spans="1:4" x14ac:dyDescent="0.25">
      <c r="A18" s="8">
        <v>45852</v>
      </c>
      <c r="B18" s="9" t="s">
        <v>3</v>
      </c>
      <c r="C18" s="10">
        <v>10140</v>
      </c>
      <c r="D18" s="10">
        <f t="shared" si="0"/>
        <v>91265</v>
      </c>
    </row>
    <row r="19" spans="1:4" x14ac:dyDescent="0.25">
      <c r="A19" s="8">
        <v>45764</v>
      </c>
      <c r="B19" s="9" t="s">
        <v>7</v>
      </c>
      <c r="C19" s="10">
        <v>-15000</v>
      </c>
      <c r="D19" s="10">
        <f t="shared" si="0"/>
        <v>76265</v>
      </c>
    </row>
    <row r="20" spans="1:4" x14ac:dyDescent="0.25">
      <c r="A20" s="8">
        <v>45764</v>
      </c>
      <c r="B20" s="9" t="s">
        <v>54</v>
      </c>
      <c r="C20" s="10">
        <v>7060</v>
      </c>
      <c r="D20" s="10">
        <f t="shared" si="0"/>
        <v>83325</v>
      </c>
    </row>
    <row r="21" spans="1:4" x14ac:dyDescent="0.25">
      <c r="A21" s="8">
        <v>45859</v>
      </c>
      <c r="B21" s="9" t="s">
        <v>70</v>
      </c>
      <c r="C21" s="10">
        <v>9420</v>
      </c>
      <c r="D21" s="10">
        <f t="shared" si="0"/>
        <v>92745</v>
      </c>
    </row>
    <row r="22" spans="1:4" x14ac:dyDescent="0.25">
      <c r="A22" s="8">
        <v>45861</v>
      </c>
      <c r="B22" s="9" t="s">
        <v>73</v>
      </c>
      <c r="C22" s="10">
        <v>11930</v>
      </c>
      <c r="D22" s="10">
        <f t="shared" si="0"/>
        <v>104675</v>
      </c>
    </row>
    <row r="23" spans="1:4" x14ac:dyDescent="0.25">
      <c r="A23" s="8">
        <v>45863</v>
      </c>
      <c r="B23" s="9" t="s">
        <v>7</v>
      </c>
      <c r="C23" s="10">
        <v>-49000</v>
      </c>
      <c r="D23" s="10">
        <f t="shared" si="0"/>
        <v>55675</v>
      </c>
    </row>
    <row r="24" spans="1:4" x14ac:dyDescent="0.25">
      <c r="A24" s="8">
        <v>45864</v>
      </c>
      <c r="B24" s="9" t="s">
        <v>7</v>
      </c>
      <c r="C24" s="10">
        <v>-20000</v>
      </c>
      <c r="D24" s="10">
        <f t="shared" si="0"/>
        <v>35675</v>
      </c>
    </row>
    <row r="25" spans="1:4" x14ac:dyDescent="0.25">
      <c r="A25" s="8">
        <v>45866</v>
      </c>
      <c r="B25" s="9" t="s">
        <v>77</v>
      </c>
      <c r="C25" s="10">
        <v>13210</v>
      </c>
      <c r="D25" s="10">
        <f>D24+C25</f>
        <v>48885</v>
      </c>
    </row>
    <row r="26" spans="1:4" x14ac:dyDescent="0.25">
      <c r="A26" s="8">
        <v>45867</v>
      </c>
      <c r="B26" s="9" t="s">
        <v>7</v>
      </c>
      <c r="C26" s="10">
        <v>-20000</v>
      </c>
      <c r="D26" s="10">
        <f t="shared" si="0"/>
        <v>28885</v>
      </c>
    </row>
    <row r="27" spans="1:4" x14ac:dyDescent="0.25">
      <c r="A27" s="8">
        <v>45869</v>
      </c>
      <c r="B27" s="9" t="s">
        <v>79</v>
      </c>
      <c r="C27" s="10">
        <v>11080</v>
      </c>
      <c r="D27" s="10">
        <f t="shared" si="0"/>
        <v>39965</v>
      </c>
    </row>
    <row r="28" spans="1:4" x14ac:dyDescent="0.25">
      <c r="A28" s="8">
        <v>45873</v>
      </c>
      <c r="B28" s="9" t="s">
        <v>56</v>
      </c>
      <c r="C28" s="10">
        <v>-39965</v>
      </c>
      <c r="D28" s="10">
        <f t="shared" si="0"/>
        <v>0</v>
      </c>
    </row>
    <row r="29" spans="1:4" x14ac:dyDescent="0.25">
      <c r="A29" s="8">
        <v>45901</v>
      </c>
      <c r="B29" s="9" t="s">
        <v>3</v>
      </c>
      <c r="C29" s="10">
        <v>4485</v>
      </c>
      <c r="D29" s="10">
        <f t="shared" si="0"/>
        <v>4485</v>
      </c>
    </row>
    <row r="30" spans="1:4" x14ac:dyDescent="0.25">
      <c r="A30" s="8">
        <v>45905</v>
      </c>
      <c r="B30" s="9" t="s">
        <v>3</v>
      </c>
      <c r="C30" s="10">
        <v>540</v>
      </c>
      <c r="D30" s="10">
        <f t="shared" si="0"/>
        <v>5025</v>
      </c>
    </row>
    <row r="31" spans="1:4" x14ac:dyDescent="0.25">
      <c r="A31" s="8">
        <v>45916</v>
      </c>
      <c r="B31" s="9" t="s">
        <v>69</v>
      </c>
      <c r="C31" s="10">
        <v>-5025</v>
      </c>
      <c r="D31" s="10">
        <f t="shared" si="0"/>
        <v>0</v>
      </c>
    </row>
    <row r="32" spans="1:4" x14ac:dyDescent="0.25">
      <c r="A32" s="8">
        <v>45922</v>
      </c>
      <c r="B32" s="9" t="s">
        <v>6</v>
      </c>
      <c r="C32" s="10">
        <v>5840</v>
      </c>
      <c r="D32" s="10">
        <f>D31+C32</f>
        <v>5840</v>
      </c>
    </row>
    <row r="33" spans="1:4" x14ac:dyDescent="0.25">
      <c r="A33" s="8">
        <v>45924</v>
      </c>
      <c r="B33" s="9" t="s">
        <v>6</v>
      </c>
      <c r="C33" s="10">
        <v>-5840</v>
      </c>
      <c r="D33" s="10">
        <f t="shared" ref="D33:D98" si="1">D32+C33</f>
        <v>0</v>
      </c>
    </row>
    <row r="34" spans="1:4" x14ac:dyDescent="0.25">
      <c r="A34" s="8">
        <v>45929</v>
      </c>
      <c r="B34" s="9" t="s">
        <v>6</v>
      </c>
      <c r="C34" s="10">
        <v>1700</v>
      </c>
      <c r="D34" s="10">
        <f t="shared" si="1"/>
        <v>1700</v>
      </c>
    </row>
    <row r="35" spans="1:4" x14ac:dyDescent="0.25">
      <c r="A35" s="8">
        <v>45930</v>
      </c>
      <c r="B35" s="9" t="s">
        <v>134</v>
      </c>
      <c r="C35" s="10">
        <v>-1700</v>
      </c>
      <c r="D35" s="10">
        <f t="shared" si="1"/>
        <v>0</v>
      </c>
    </row>
    <row r="36" spans="1:4" x14ac:dyDescent="0.25">
      <c r="A36" s="8">
        <v>45983</v>
      </c>
      <c r="B36" s="9" t="s">
        <v>3</v>
      </c>
      <c r="C36" s="10">
        <v>19530</v>
      </c>
      <c r="D36" s="10">
        <f t="shared" si="1"/>
        <v>19530</v>
      </c>
    </row>
    <row r="37" spans="1:4" x14ac:dyDescent="0.25">
      <c r="A37" s="8">
        <v>45985</v>
      </c>
      <c r="B37" s="9" t="s">
        <v>3</v>
      </c>
      <c r="C37" s="10">
        <v>3300</v>
      </c>
      <c r="D37" s="10">
        <f t="shared" si="1"/>
        <v>22830</v>
      </c>
    </row>
    <row r="38" spans="1:4" x14ac:dyDescent="0.25">
      <c r="A38" s="8">
        <v>45985</v>
      </c>
      <c r="B38" s="9" t="s">
        <v>150</v>
      </c>
      <c r="C38" s="10">
        <v>-22830</v>
      </c>
      <c r="D38" s="10">
        <f t="shared" si="1"/>
        <v>0</v>
      </c>
    </row>
    <row r="39" spans="1:4" x14ac:dyDescent="0.25">
      <c r="A39" s="8">
        <v>45988</v>
      </c>
      <c r="B39" s="9" t="s">
        <v>3</v>
      </c>
      <c r="C39" s="10">
        <v>18810</v>
      </c>
      <c r="D39" s="10">
        <f t="shared" si="1"/>
        <v>18810</v>
      </c>
    </row>
    <row r="40" spans="1:4" x14ac:dyDescent="0.25">
      <c r="A40" s="8">
        <v>45990</v>
      </c>
      <c r="B40" s="9" t="s">
        <v>150</v>
      </c>
      <c r="C40" s="10">
        <v>-18810</v>
      </c>
      <c r="D40" s="10">
        <f t="shared" si="1"/>
        <v>0</v>
      </c>
    </row>
    <row r="41" spans="1:4" x14ac:dyDescent="0.25">
      <c r="A41" s="8">
        <v>45992</v>
      </c>
      <c r="B41" s="9" t="s">
        <v>3</v>
      </c>
      <c r="C41" s="10">
        <v>11000</v>
      </c>
      <c r="D41" s="10">
        <f t="shared" si="1"/>
        <v>11000</v>
      </c>
    </row>
    <row r="42" spans="1:4" x14ac:dyDescent="0.25">
      <c r="A42" s="8">
        <v>45994</v>
      </c>
      <c r="B42" s="9" t="s">
        <v>150</v>
      </c>
      <c r="C42" s="10">
        <v>-11000</v>
      </c>
      <c r="D42" s="10">
        <f t="shared" si="1"/>
        <v>0</v>
      </c>
    </row>
    <row r="43" spans="1:4" x14ac:dyDescent="0.25">
      <c r="A43" s="8">
        <v>45997</v>
      </c>
      <c r="B43" s="9" t="s">
        <v>3</v>
      </c>
      <c r="C43" s="10">
        <v>9446</v>
      </c>
      <c r="D43" s="10">
        <f t="shared" si="1"/>
        <v>9446</v>
      </c>
    </row>
    <row r="44" spans="1:4" x14ac:dyDescent="0.25">
      <c r="A44" s="8">
        <v>45996</v>
      </c>
      <c r="B44" s="9" t="s">
        <v>3</v>
      </c>
      <c r="C44" s="10">
        <v>9930</v>
      </c>
      <c r="D44" s="10">
        <f t="shared" si="1"/>
        <v>19376</v>
      </c>
    </row>
    <row r="45" spans="1:4" x14ac:dyDescent="0.25">
      <c r="A45" s="8">
        <v>45997</v>
      </c>
      <c r="B45" s="9" t="s">
        <v>150</v>
      </c>
      <c r="C45" s="10">
        <v>-19376</v>
      </c>
      <c r="D45" s="10">
        <f t="shared" si="1"/>
        <v>0</v>
      </c>
    </row>
    <row r="46" spans="1:4" x14ac:dyDescent="0.25">
      <c r="A46" s="8">
        <v>46002</v>
      </c>
      <c r="B46" s="9" t="s">
        <v>3</v>
      </c>
      <c r="C46" s="10">
        <v>8410</v>
      </c>
      <c r="D46" s="10">
        <f t="shared" si="1"/>
        <v>8410</v>
      </c>
    </row>
    <row r="47" spans="1:4" x14ac:dyDescent="0.25">
      <c r="A47" s="8">
        <v>46009</v>
      </c>
      <c r="B47" s="9" t="s">
        <v>3</v>
      </c>
      <c r="C47" s="10">
        <v>13510</v>
      </c>
      <c r="D47" s="10">
        <f t="shared" si="1"/>
        <v>21920</v>
      </c>
    </row>
    <row r="48" spans="1:4" x14ac:dyDescent="0.25">
      <c r="A48" s="8">
        <v>46009</v>
      </c>
      <c r="B48" s="9" t="s">
        <v>150</v>
      </c>
      <c r="C48" s="10">
        <v>-21920</v>
      </c>
      <c r="D48" s="10">
        <f t="shared" si="1"/>
        <v>0</v>
      </c>
    </row>
    <row r="49" spans="1:4" x14ac:dyDescent="0.25">
      <c r="A49" s="8">
        <v>46013</v>
      </c>
      <c r="B49" s="9" t="s">
        <v>279</v>
      </c>
      <c r="C49" s="10">
        <v>7150</v>
      </c>
      <c r="D49" s="10">
        <f t="shared" si="1"/>
        <v>7150</v>
      </c>
    </row>
    <row r="50" spans="1:4" x14ac:dyDescent="0.25">
      <c r="A50" s="8">
        <v>46014</v>
      </c>
      <c r="B50" s="9" t="s">
        <v>280</v>
      </c>
      <c r="C50" s="10">
        <v>9790</v>
      </c>
      <c r="D50" s="10">
        <f t="shared" si="1"/>
        <v>16940</v>
      </c>
    </row>
    <row r="51" spans="1:4" x14ac:dyDescent="0.25">
      <c r="A51" s="8">
        <v>46027</v>
      </c>
      <c r="B51" s="9" t="s">
        <v>281</v>
      </c>
      <c r="C51" s="10">
        <v>19120</v>
      </c>
      <c r="D51" s="10">
        <f t="shared" si="1"/>
        <v>36060</v>
      </c>
    </row>
    <row r="52" spans="1:4" x14ac:dyDescent="0.25">
      <c r="A52" s="8">
        <v>46028</v>
      </c>
      <c r="B52" s="9" t="s">
        <v>179</v>
      </c>
      <c r="C52" s="10">
        <v>-19120</v>
      </c>
      <c r="D52" s="10">
        <f t="shared" si="1"/>
        <v>16940</v>
      </c>
    </row>
    <row r="53" spans="1:4" x14ac:dyDescent="0.25">
      <c r="A53" s="8">
        <v>46028</v>
      </c>
      <c r="B53" s="9" t="s">
        <v>179</v>
      </c>
      <c r="C53" s="10">
        <v>-16940</v>
      </c>
      <c r="D53" s="10">
        <f t="shared" si="1"/>
        <v>0</v>
      </c>
    </row>
    <row r="54" spans="1:4" x14ac:dyDescent="0.25">
      <c r="A54" s="8">
        <v>46030</v>
      </c>
      <c r="B54" s="9" t="s">
        <v>282</v>
      </c>
      <c r="C54" s="10">
        <v>15790</v>
      </c>
      <c r="D54" s="10">
        <f t="shared" si="1"/>
        <v>15790</v>
      </c>
    </row>
    <row r="55" spans="1:4" x14ac:dyDescent="0.25">
      <c r="A55" s="8">
        <v>46034</v>
      </c>
      <c r="B55" s="9" t="s">
        <v>283</v>
      </c>
      <c r="C55" s="10">
        <v>8210</v>
      </c>
      <c r="D55" s="10">
        <f t="shared" si="1"/>
        <v>24000</v>
      </c>
    </row>
    <row r="56" spans="1:4" x14ac:dyDescent="0.25">
      <c r="A56" s="8">
        <v>46037</v>
      </c>
      <c r="B56" s="9" t="s">
        <v>303</v>
      </c>
      <c r="C56" s="10">
        <v>11970</v>
      </c>
      <c r="D56" s="10">
        <f t="shared" si="1"/>
        <v>35970</v>
      </c>
    </row>
    <row r="57" spans="1:4" x14ac:dyDescent="0.25">
      <c r="A57" s="8">
        <v>46041</v>
      </c>
      <c r="B57" s="9" t="s">
        <v>179</v>
      </c>
      <c r="C57" s="10">
        <v>-35970</v>
      </c>
      <c r="D57" s="10">
        <f t="shared" si="1"/>
        <v>0</v>
      </c>
    </row>
    <row r="58" spans="1:4" x14ac:dyDescent="0.25">
      <c r="A58" s="8">
        <v>46041</v>
      </c>
      <c r="B58" s="9" t="s">
        <v>302</v>
      </c>
      <c r="C58" s="10">
        <v>10900</v>
      </c>
      <c r="D58" s="10">
        <f t="shared" si="1"/>
        <v>10900</v>
      </c>
    </row>
    <row r="59" spans="1:4" x14ac:dyDescent="0.25">
      <c r="A59" s="8">
        <v>46045</v>
      </c>
      <c r="B59" s="9" t="s">
        <v>318</v>
      </c>
      <c r="C59" s="10">
        <v>43190</v>
      </c>
      <c r="D59" s="10">
        <f t="shared" si="1"/>
        <v>54090</v>
      </c>
    </row>
    <row r="60" spans="1:4" x14ac:dyDescent="0.25">
      <c r="A60" s="8">
        <v>46044</v>
      </c>
      <c r="B60" s="9" t="s">
        <v>317</v>
      </c>
      <c r="C60" s="10">
        <v>4050</v>
      </c>
      <c r="D60" s="10">
        <f t="shared" si="1"/>
        <v>58140</v>
      </c>
    </row>
    <row r="61" spans="1:4" x14ac:dyDescent="0.25">
      <c r="A61" s="8">
        <v>46049</v>
      </c>
      <c r="B61" s="9" t="s">
        <v>316</v>
      </c>
      <c r="C61" s="10">
        <v>980</v>
      </c>
      <c r="D61" s="10">
        <f t="shared" si="1"/>
        <v>59120</v>
      </c>
    </row>
    <row r="62" spans="1:4" x14ac:dyDescent="0.25">
      <c r="A62" s="8">
        <v>46052</v>
      </c>
      <c r="B62" s="9" t="s">
        <v>315</v>
      </c>
      <c r="C62" s="10">
        <v>15090</v>
      </c>
      <c r="D62" s="10">
        <f t="shared" si="1"/>
        <v>74210</v>
      </c>
    </row>
    <row r="63" spans="1:4" x14ac:dyDescent="0.25">
      <c r="A63" s="8">
        <v>46055</v>
      </c>
      <c r="B63" s="9" t="s">
        <v>127</v>
      </c>
      <c r="C63" s="10">
        <v>-33500</v>
      </c>
      <c r="D63" s="10">
        <f t="shared" si="1"/>
        <v>40710</v>
      </c>
    </row>
    <row r="64" spans="1:4" x14ac:dyDescent="0.25">
      <c r="A64" s="8">
        <v>46055</v>
      </c>
      <c r="B64" s="9" t="s">
        <v>314</v>
      </c>
      <c r="C64" s="10">
        <v>-27500</v>
      </c>
      <c r="D64" s="10">
        <f t="shared" si="1"/>
        <v>13210</v>
      </c>
    </row>
    <row r="65" spans="1:4" x14ac:dyDescent="0.25">
      <c r="A65" s="8">
        <v>46058</v>
      </c>
      <c r="B65" s="9" t="s">
        <v>179</v>
      </c>
      <c r="C65" s="10">
        <v>-13210</v>
      </c>
      <c r="D65" s="10">
        <f t="shared" si="1"/>
        <v>0</v>
      </c>
    </row>
    <row r="66" spans="1:4" x14ac:dyDescent="0.25">
      <c r="A66" s="8">
        <v>46059</v>
      </c>
      <c r="B66" s="9" t="s">
        <v>321</v>
      </c>
      <c r="C66" s="10">
        <v>16495</v>
      </c>
      <c r="D66" s="10">
        <f t="shared" si="1"/>
        <v>16495</v>
      </c>
    </row>
    <row r="67" spans="1:4" x14ac:dyDescent="0.25">
      <c r="A67" s="8">
        <v>46063</v>
      </c>
      <c r="B67" s="9" t="s">
        <v>335</v>
      </c>
      <c r="C67" s="10">
        <v>123660</v>
      </c>
      <c r="D67" s="10">
        <f t="shared" si="1"/>
        <v>140155</v>
      </c>
    </row>
    <row r="68" spans="1:4" x14ac:dyDescent="0.25">
      <c r="A68" s="8">
        <v>46067</v>
      </c>
      <c r="B68" s="9" t="s">
        <v>334</v>
      </c>
      <c r="C68" s="10">
        <v>17410</v>
      </c>
      <c r="D68" s="10">
        <f t="shared" si="1"/>
        <v>157565</v>
      </c>
    </row>
    <row r="69" spans="1:4" x14ac:dyDescent="0.25">
      <c r="A69" s="8">
        <v>46070</v>
      </c>
      <c r="B69" s="9" t="s">
        <v>333</v>
      </c>
      <c r="C69" s="10">
        <v>5550</v>
      </c>
      <c r="D69" s="10">
        <f t="shared" si="1"/>
        <v>163115</v>
      </c>
    </row>
    <row r="70" spans="1:4" x14ac:dyDescent="0.25">
      <c r="A70" s="8">
        <v>46071</v>
      </c>
      <c r="B70" s="9" t="s">
        <v>127</v>
      </c>
      <c r="C70" s="10">
        <v>-163115</v>
      </c>
      <c r="D70" s="10">
        <f t="shared" si="1"/>
        <v>0</v>
      </c>
    </row>
    <row r="71" spans="1:4" x14ac:dyDescent="0.25">
      <c r="A71" s="8">
        <v>46073</v>
      </c>
      <c r="B71" s="9" t="s">
        <v>332</v>
      </c>
      <c r="C71" s="10">
        <v>11090</v>
      </c>
      <c r="D71" s="10">
        <f t="shared" si="1"/>
        <v>11090</v>
      </c>
    </row>
    <row r="72" spans="1:4" x14ac:dyDescent="0.25">
      <c r="A72" s="8">
        <v>46076</v>
      </c>
      <c r="B72" s="9" t="s">
        <v>331</v>
      </c>
      <c r="C72" s="10">
        <v>8030</v>
      </c>
      <c r="D72" s="10">
        <f t="shared" si="1"/>
        <v>19120</v>
      </c>
    </row>
    <row r="73" spans="1:4" x14ac:dyDescent="0.25">
      <c r="A73" s="8">
        <v>46079</v>
      </c>
      <c r="B73" s="9" t="s">
        <v>341</v>
      </c>
      <c r="C73" s="10">
        <v>11720</v>
      </c>
      <c r="D73" s="10">
        <f t="shared" si="1"/>
        <v>30840</v>
      </c>
    </row>
    <row r="74" spans="1:4" x14ac:dyDescent="0.25">
      <c r="A74" s="8">
        <v>46083</v>
      </c>
      <c r="B74" s="9" t="s">
        <v>343</v>
      </c>
      <c r="C74" s="10">
        <v>7790</v>
      </c>
      <c r="D74" s="10">
        <f t="shared" si="1"/>
        <v>38630</v>
      </c>
    </row>
    <row r="75" spans="1:4" x14ac:dyDescent="0.25">
      <c r="A75" s="8">
        <v>46086</v>
      </c>
      <c r="B75" s="9" t="s">
        <v>348</v>
      </c>
      <c r="C75" s="10">
        <v>4485</v>
      </c>
      <c r="D75" s="10">
        <f t="shared" si="1"/>
        <v>43115</v>
      </c>
    </row>
    <row r="76" spans="1:4" x14ac:dyDescent="0.25">
      <c r="A76" s="8">
        <v>46086</v>
      </c>
      <c r="B76" s="9" t="s">
        <v>127</v>
      </c>
      <c r="C76" s="10">
        <v>-10000</v>
      </c>
      <c r="D76" s="10">
        <f t="shared" si="1"/>
        <v>33115</v>
      </c>
    </row>
    <row r="77" spans="1:4" x14ac:dyDescent="0.25">
      <c r="A77" s="8">
        <v>46090</v>
      </c>
      <c r="B77" s="9" t="s">
        <v>355</v>
      </c>
      <c r="C77" s="10">
        <v>6070</v>
      </c>
      <c r="D77" s="10">
        <f t="shared" si="1"/>
        <v>39185</v>
      </c>
    </row>
    <row r="78" spans="1:4" x14ac:dyDescent="0.25">
      <c r="A78" s="8">
        <v>46093</v>
      </c>
      <c r="B78" s="9" t="s">
        <v>3</v>
      </c>
      <c r="C78" s="10">
        <v>8140</v>
      </c>
      <c r="D78" s="10">
        <f t="shared" si="1"/>
        <v>47325</v>
      </c>
    </row>
    <row r="79" spans="1:4" x14ac:dyDescent="0.25">
      <c r="A79" s="8">
        <v>46097</v>
      </c>
      <c r="B79" s="9" t="s">
        <v>361</v>
      </c>
      <c r="C79" s="10">
        <v>13190</v>
      </c>
      <c r="D79" s="10">
        <f t="shared" si="1"/>
        <v>60515</v>
      </c>
    </row>
    <row r="80" spans="1:4" x14ac:dyDescent="0.25">
      <c r="A80" s="8">
        <v>46100</v>
      </c>
      <c r="B80" s="9" t="s">
        <v>365</v>
      </c>
      <c r="C80" s="10">
        <v>18260</v>
      </c>
      <c r="D80" s="10">
        <f t="shared" si="1"/>
        <v>78775</v>
      </c>
    </row>
    <row r="81" spans="1:4" x14ac:dyDescent="0.25">
      <c r="A81" s="8">
        <v>46101</v>
      </c>
      <c r="B81" s="9" t="s">
        <v>314</v>
      </c>
      <c r="C81" s="10">
        <v>-48000</v>
      </c>
      <c r="D81" s="10">
        <f t="shared" si="1"/>
        <v>30775</v>
      </c>
    </row>
    <row r="82" spans="1:4" x14ac:dyDescent="0.25">
      <c r="A82" s="8">
        <v>46104</v>
      </c>
      <c r="B82" s="9" t="s">
        <v>369</v>
      </c>
      <c r="C82" s="10">
        <v>5590</v>
      </c>
      <c r="D82" s="10">
        <f t="shared" si="1"/>
        <v>36365</v>
      </c>
    </row>
    <row r="83" spans="1:4" x14ac:dyDescent="0.25">
      <c r="A83" s="8">
        <v>46107</v>
      </c>
      <c r="B83" s="9" t="s">
        <v>373</v>
      </c>
      <c r="C83" s="10">
        <v>6950</v>
      </c>
      <c r="D83" s="10">
        <f t="shared" si="1"/>
        <v>43315</v>
      </c>
    </row>
    <row r="84" spans="1:4" x14ac:dyDescent="0.25">
      <c r="A84" s="8">
        <v>46111</v>
      </c>
      <c r="B84" s="9" t="s">
        <v>380</v>
      </c>
      <c r="C84" s="10">
        <v>1800</v>
      </c>
      <c r="D84" s="10">
        <f t="shared" si="1"/>
        <v>45115</v>
      </c>
    </row>
    <row r="85" spans="1:4" x14ac:dyDescent="0.25">
      <c r="A85" s="8">
        <v>46111</v>
      </c>
      <c r="B85" s="9" t="s">
        <v>127</v>
      </c>
      <c r="C85" s="10">
        <v>-45115</v>
      </c>
      <c r="D85" s="10">
        <f t="shared" si="1"/>
        <v>0</v>
      </c>
    </row>
    <row r="86" spans="1:4" x14ac:dyDescent="0.25">
      <c r="A86" s="8">
        <v>46118</v>
      </c>
      <c r="B86" s="9" t="s">
        <v>388</v>
      </c>
      <c r="C86" s="10">
        <v>13750</v>
      </c>
      <c r="D86" s="10">
        <f t="shared" si="1"/>
        <v>13750</v>
      </c>
    </row>
    <row r="87" spans="1:4" x14ac:dyDescent="0.25">
      <c r="A87" s="8">
        <v>46121</v>
      </c>
      <c r="B87" s="9" t="s">
        <v>127</v>
      </c>
      <c r="C87" s="10">
        <v>-13750</v>
      </c>
      <c r="D87" s="10">
        <f t="shared" si="1"/>
        <v>0</v>
      </c>
    </row>
    <row r="88" spans="1:4" x14ac:dyDescent="0.25">
      <c r="A88" s="8">
        <v>46121</v>
      </c>
      <c r="B88" s="9" t="s">
        <v>394</v>
      </c>
      <c r="C88" s="10">
        <v>7010</v>
      </c>
      <c r="D88" s="10">
        <f t="shared" si="1"/>
        <v>7010</v>
      </c>
    </row>
    <row r="89" spans="1:4" x14ac:dyDescent="0.25">
      <c r="A89" s="8">
        <v>46125</v>
      </c>
      <c r="B89" s="9" t="s">
        <v>396</v>
      </c>
      <c r="C89" s="10">
        <v>9490</v>
      </c>
      <c r="D89" s="10">
        <f t="shared" si="1"/>
        <v>16500</v>
      </c>
    </row>
    <row r="90" spans="1:4" x14ac:dyDescent="0.25">
      <c r="A90" s="8">
        <v>46128</v>
      </c>
      <c r="B90" s="9" t="s">
        <v>400</v>
      </c>
      <c r="C90" s="10">
        <v>11860</v>
      </c>
      <c r="D90" s="10">
        <f t="shared" si="1"/>
        <v>28360</v>
      </c>
    </row>
    <row r="91" spans="1:4" x14ac:dyDescent="0.25">
      <c r="A91" s="8">
        <v>46130</v>
      </c>
      <c r="B91" s="9" t="s">
        <v>401</v>
      </c>
      <c r="C91" s="10">
        <v>7250</v>
      </c>
      <c r="D91" s="10">
        <f t="shared" si="1"/>
        <v>35610</v>
      </c>
    </row>
    <row r="92" spans="1:4" x14ac:dyDescent="0.25">
      <c r="A92" s="8">
        <v>46132</v>
      </c>
      <c r="B92" s="9" t="s">
        <v>403</v>
      </c>
      <c r="C92" s="10">
        <v>7710</v>
      </c>
      <c r="D92" s="10">
        <f t="shared" si="1"/>
        <v>43320</v>
      </c>
    </row>
    <row r="93" spans="1:4" x14ac:dyDescent="0.25">
      <c r="A93" s="8">
        <v>46139</v>
      </c>
      <c r="B93" s="9" t="s">
        <v>411</v>
      </c>
      <c r="C93" s="10">
        <v>15460</v>
      </c>
      <c r="D93" s="10">
        <f t="shared" si="1"/>
        <v>58780</v>
      </c>
    </row>
    <row r="94" spans="1:4" x14ac:dyDescent="0.25">
      <c r="A94" s="8">
        <v>46140</v>
      </c>
      <c r="B94" s="9" t="s">
        <v>127</v>
      </c>
      <c r="C94" s="10">
        <v>-30780</v>
      </c>
      <c r="D94" s="10">
        <f t="shared" si="1"/>
        <v>28000</v>
      </c>
    </row>
    <row r="95" spans="1:4" x14ac:dyDescent="0.25">
      <c r="A95" s="8">
        <v>46141</v>
      </c>
      <c r="B95" s="9" t="s">
        <v>127</v>
      </c>
      <c r="C95" s="10">
        <v>-26700</v>
      </c>
      <c r="D95" s="10">
        <f t="shared" si="1"/>
        <v>1300</v>
      </c>
    </row>
    <row r="96" spans="1:4" x14ac:dyDescent="0.25">
      <c r="A96" s="8">
        <v>46172</v>
      </c>
      <c r="B96" s="9" t="s">
        <v>423</v>
      </c>
      <c r="C96" s="10">
        <v>10260</v>
      </c>
      <c r="D96" s="10">
        <f t="shared" si="1"/>
        <v>11560</v>
      </c>
    </row>
    <row r="97" spans="1:4" x14ac:dyDescent="0.25">
      <c r="A97" s="8">
        <v>46153</v>
      </c>
      <c r="B97" s="9" t="s">
        <v>424</v>
      </c>
      <c r="C97" s="10">
        <v>4600</v>
      </c>
      <c r="D97" s="10">
        <f t="shared" si="1"/>
        <v>16160</v>
      </c>
    </row>
    <row r="98" spans="1:4" x14ac:dyDescent="0.25">
      <c r="A98" s="8">
        <v>46154</v>
      </c>
      <c r="B98" s="9" t="s">
        <v>425</v>
      </c>
      <c r="C98" s="10">
        <v>183630</v>
      </c>
      <c r="D98" s="10">
        <f t="shared" si="1"/>
        <v>199790</v>
      </c>
    </row>
    <row r="99" spans="1:4" x14ac:dyDescent="0.25">
      <c r="A99" s="8">
        <v>46160</v>
      </c>
      <c r="B99" s="9" t="s">
        <v>431</v>
      </c>
      <c r="C99" s="10">
        <v>7160</v>
      </c>
      <c r="D99" s="10">
        <f t="shared" ref="D99:D157" si="2">D98+C99</f>
        <v>206950</v>
      </c>
    </row>
    <row r="100" spans="1:4" x14ac:dyDescent="0.25">
      <c r="A100" s="8">
        <v>46167</v>
      </c>
      <c r="B100" s="9" t="s">
        <v>443</v>
      </c>
      <c r="C100" s="10">
        <v>4210</v>
      </c>
      <c r="D100" s="10">
        <f t="shared" si="2"/>
        <v>211160</v>
      </c>
    </row>
    <row r="101" spans="1:4" x14ac:dyDescent="0.25">
      <c r="A101" s="8">
        <v>46169</v>
      </c>
      <c r="B101" s="9" t="s">
        <v>127</v>
      </c>
      <c r="C101" s="10">
        <v>-30000</v>
      </c>
      <c r="D101" s="10">
        <f t="shared" si="2"/>
        <v>181160</v>
      </c>
    </row>
    <row r="102" spans="1:4" x14ac:dyDescent="0.25">
      <c r="A102" s="8">
        <v>46174</v>
      </c>
      <c r="B102" s="9" t="s">
        <v>127</v>
      </c>
      <c r="C102" s="10">
        <v>-20000</v>
      </c>
      <c r="D102" s="10">
        <f t="shared" si="2"/>
        <v>161160</v>
      </c>
    </row>
    <row r="103" spans="1:4" x14ac:dyDescent="0.25">
      <c r="A103" s="8">
        <v>46174</v>
      </c>
      <c r="B103" s="9" t="s">
        <v>449</v>
      </c>
      <c r="C103" s="10">
        <v>5460</v>
      </c>
      <c r="D103" s="10">
        <f t="shared" si="2"/>
        <v>166620</v>
      </c>
    </row>
    <row r="104" spans="1:4" x14ac:dyDescent="0.25">
      <c r="A104" s="8">
        <v>46177</v>
      </c>
      <c r="B104" s="9" t="s">
        <v>450</v>
      </c>
      <c r="C104" s="10">
        <v>6650</v>
      </c>
      <c r="D104" s="10">
        <f t="shared" si="2"/>
        <v>173270</v>
      </c>
    </row>
    <row r="105" spans="1:4" x14ac:dyDescent="0.25">
      <c r="A105" s="8">
        <v>46181</v>
      </c>
      <c r="B105" s="9" t="s">
        <v>97</v>
      </c>
      <c r="C105" s="10">
        <v>7600</v>
      </c>
      <c r="D105" s="10">
        <f t="shared" si="2"/>
        <v>180870</v>
      </c>
    </row>
    <row r="106" spans="1:4" x14ac:dyDescent="0.25">
      <c r="A106" s="8">
        <v>46182</v>
      </c>
      <c r="B106" s="9" t="s">
        <v>127</v>
      </c>
      <c r="C106" s="10">
        <v>-40000</v>
      </c>
      <c r="D106" s="10">
        <f t="shared" si="2"/>
        <v>140870</v>
      </c>
    </row>
    <row r="107" spans="1:4" x14ac:dyDescent="0.25">
      <c r="A107" s="8">
        <v>46184</v>
      </c>
      <c r="B107" s="9" t="s">
        <v>462</v>
      </c>
      <c r="C107" s="10">
        <v>12260</v>
      </c>
      <c r="D107" s="10">
        <f t="shared" si="2"/>
        <v>153130</v>
      </c>
    </row>
    <row r="108" spans="1:4" x14ac:dyDescent="0.25">
      <c r="A108" s="8">
        <v>46185</v>
      </c>
      <c r="B108" s="9" t="s">
        <v>127</v>
      </c>
      <c r="C108" s="10">
        <v>-20000</v>
      </c>
      <c r="D108" s="10">
        <f t="shared" si="2"/>
        <v>133130</v>
      </c>
    </row>
    <row r="109" spans="1:4" x14ac:dyDescent="0.25">
      <c r="A109" s="8">
        <v>46188</v>
      </c>
      <c r="B109" s="9" t="s">
        <v>127</v>
      </c>
      <c r="C109" s="10">
        <v>-20000</v>
      </c>
      <c r="D109" s="10">
        <f t="shared" si="2"/>
        <v>113130</v>
      </c>
    </row>
    <row r="110" spans="1:4" x14ac:dyDescent="0.25">
      <c r="A110" s="8">
        <v>46190</v>
      </c>
      <c r="B110" s="9" t="s">
        <v>464</v>
      </c>
      <c r="C110" s="10">
        <v>7760</v>
      </c>
      <c r="D110" s="10">
        <f t="shared" si="2"/>
        <v>120890</v>
      </c>
    </row>
    <row r="111" spans="1:4" x14ac:dyDescent="0.25">
      <c r="A111" s="8">
        <v>46191</v>
      </c>
      <c r="B111" s="9" t="s">
        <v>465</v>
      </c>
      <c r="C111" s="10">
        <v>4570</v>
      </c>
      <c r="D111" s="10">
        <f t="shared" si="2"/>
        <v>125460</v>
      </c>
    </row>
    <row r="112" spans="1:4" x14ac:dyDescent="0.25">
      <c r="A112" s="8">
        <v>46195</v>
      </c>
      <c r="B112" s="9" t="s">
        <v>470</v>
      </c>
      <c r="C112" s="10">
        <v>11030</v>
      </c>
      <c r="D112" s="10">
        <f t="shared" si="2"/>
        <v>136490</v>
      </c>
    </row>
    <row r="113" spans="1:7" x14ac:dyDescent="0.25">
      <c r="A113" s="8">
        <v>46198</v>
      </c>
      <c r="B113" s="9" t="s">
        <v>475</v>
      </c>
      <c r="C113" s="10">
        <v>13520</v>
      </c>
      <c r="D113" s="10">
        <f t="shared" si="2"/>
        <v>150010</v>
      </c>
    </row>
    <row r="114" spans="1:7" x14ac:dyDescent="0.25">
      <c r="A114" s="8">
        <v>46202</v>
      </c>
      <c r="B114" s="8" t="s">
        <v>483</v>
      </c>
      <c r="C114" s="10">
        <v>8330</v>
      </c>
      <c r="D114" s="10">
        <f t="shared" si="2"/>
        <v>158340</v>
      </c>
    </row>
    <row r="115" spans="1:7" x14ac:dyDescent="0.25">
      <c r="A115" s="8">
        <v>46205</v>
      </c>
      <c r="B115" s="9" t="s">
        <v>490</v>
      </c>
      <c r="C115" s="10">
        <v>9600</v>
      </c>
      <c r="D115" s="10">
        <f t="shared" si="2"/>
        <v>167940</v>
      </c>
    </row>
    <row r="116" spans="1:7" x14ac:dyDescent="0.25">
      <c r="A116" s="8">
        <v>46209</v>
      </c>
      <c r="B116" s="9" t="s">
        <v>497</v>
      </c>
      <c r="C116" s="10">
        <v>7340</v>
      </c>
      <c r="D116" s="10">
        <f t="shared" si="2"/>
        <v>175280</v>
      </c>
    </row>
    <row r="117" spans="1:7" x14ac:dyDescent="0.25">
      <c r="A117" s="8">
        <v>46209</v>
      </c>
      <c r="B117" s="9" t="s">
        <v>127</v>
      </c>
      <c r="C117" s="10">
        <v>-35000</v>
      </c>
      <c r="D117" s="10">
        <f t="shared" si="2"/>
        <v>140280</v>
      </c>
      <c r="F117" s="6"/>
    </row>
    <row r="118" spans="1:7" x14ac:dyDescent="0.25">
      <c r="A118" s="8">
        <v>46212</v>
      </c>
      <c r="B118" s="9" t="s">
        <v>498</v>
      </c>
      <c r="C118" s="10">
        <v>10520</v>
      </c>
      <c r="D118" s="10">
        <f t="shared" si="2"/>
        <v>150800</v>
      </c>
      <c r="G118" s="6"/>
    </row>
    <row r="119" spans="1:7" x14ac:dyDescent="0.25">
      <c r="A119" s="8">
        <v>46216</v>
      </c>
      <c r="B119" s="9" t="s">
        <v>504</v>
      </c>
      <c r="C119" s="10">
        <v>9390</v>
      </c>
      <c r="D119" s="10">
        <f t="shared" si="2"/>
        <v>160190</v>
      </c>
    </row>
    <row r="120" spans="1:7" x14ac:dyDescent="0.25">
      <c r="A120" s="8">
        <v>46216</v>
      </c>
      <c r="B120" s="9" t="s">
        <v>505</v>
      </c>
      <c r="C120" s="10">
        <v>1600</v>
      </c>
      <c r="D120" s="10">
        <f t="shared" si="2"/>
        <v>161790</v>
      </c>
    </row>
    <row r="121" spans="1:7" x14ac:dyDescent="0.25">
      <c r="A121" s="8">
        <v>46217</v>
      </c>
      <c r="B121" s="9" t="s">
        <v>127</v>
      </c>
      <c r="C121" s="10">
        <v>-50000</v>
      </c>
      <c r="D121" s="10">
        <f t="shared" si="2"/>
        <v>111790</v>
      </c>
    </row>
    <row r="122" spans="1:7" x14ac:dyDescent="0.25">
      <c r="A122" s="8">
        <v>46219</v>
      </c>
      <c r="B122" s="9" t="s">
        <v>508</v>
      </c>
      <c r="C122" s="10">
        <v>11250</v>
      </c>
      <c r="D122" s="10">
        <f t="shared" si="2"/>
        <v>123040</v>
      </c>
    </row>
    <row r="123" spans="1:7" x14ac:dyDescent="0.25">
      <c r="A123" s="8">
        <v>46220</v>
      </c>
      <c r="B123" s="9" t="s">
        <v>509</v>
      </c>
      <c r="C123" s="10">
        <v>1470</v>
      </c>
      <c r="D123" s="10">
        <f t="shared" si="2"/>
        <v>124510</v>
      </c>
    </row>
    <row r="124" spans="1:7" x14ac:dyDescent="0.25">
      <c r="A124" s="8">
        <v>46223</v>
      </c>
      <c r="B124" s="9" t="s">
        <v>514</v>
      </c>
      <c r="C124" s="10">
        <v>9100</v>
      </c>
      <c r="D124" s="10">
        <f t="shared" si="2"/>
        <v>133610</v>
      </c>
    </row>
    <row r="125" spans="1:7" x14ac:dyDescent="0.25">
      <c r="A125" s="8">
        <v>38921</v>
      </c>
      <c r="B125" s="9" t="s">
        <v>521</v>
      </c>
      <c r="C125" s="10">
        <v>7840</v>
      </c>
      <c r="D125" s="10">
        <f t="shared" si="2"/>
        <v>141450</v>
      </c>
    </row>
    <row r="126" spans="1:7" x14ac:dyDescent="0.25">
      <c r="A126" s="8">
        <v>46227</v>
      </c>
      <c r="B126" s="9" t="s">
        <v>179</v>
      </c>
      <c r="C126" s="10">
        <v>-118000</v>
      </c>
      <c r="D126" s="10">
        <f t="shared" si="2"/>
        <v>23450</v>
      </c>
    </row>
    <row r="127" spans="1:7" x14ac:dyDescent="0.25">
      <c r="A127" s="8">
        <v>46230</v>
      </c>
      <c r="B127" s="9" t="s">
        <v>528</v>
      </c>
      <c r="C127" s="10">
        <v>10010</v>
      </c>
      <c r="D127" s="10">
        <f t="shared" si="2"/>
        <v>33460</v>
      </c>
    </row>
    <row r="128" spans="1:7" x14ac:dyDescent="0.25">
      <c r="A128" s="8">
        <v>46233</v>
      </c>
      <c r="B128" s="9" t="s">
        <v>533</v>
      </c>
      <c r="C128" s="10">
        <v>14700</v>
      </c>
      <c r="D128" s="10">
        <f t="shared" si="2"/>
        <v>48160</v>
      </c>
    </row>
    <row r="129" spans="1:4" x14ac:dyDescent="0.25">
      <c r="A129" s="8">
        <v>46237</v>
      </c>
      <c r="B129" s="9" t="s">
        <v>540</v>
      </c>
      <c r="C129" s="10">
        <v>10410</v>
      </c>
      <c r="D129" s="10">
        <f t="shared" si="2"/>
        <v>58570</v>
      </c>
    </row>
    <row r="130" spans="1:4" x14ac:dyDescent="0.25">
      <c r="A130" s="8">
        <v>46238</v>
      </c>
      <c r="B130" s="9" t="s">
        <v>127</v>
      </c>
      <c r="C130" s="10">
        <v>-25000</v>
      </c>
      <c r="D130" s="10">
        <f t="shared" si="2"/>
        <v>33570</v>
      </c>
    </row>
    <row r="131" spans="1:4" x14ac:dyDescent="0.25">
      <c r="A131" s="8">
        <v>46240</v>
      </c>
      <c r="B131" s="9" t="s">
        <v>543</v>
      </c>
      <c r="C131" s="10">
        <v>12120</v>
      </c>
      <c r="D131" s="10">
        <f t="shared" si="2"/>
        <v>45690</v>
      </c>
    </row>
    <row r="132" spans="1:4" x14ac:dyDescent="0.25">
      <c r="A132" s="8">
        <v>46240</v>
      </c>
      <c r="B132" s="9" t="s">
        <v>179</v>
      </c>
      <c r="C132" s="10">
        <v>-33570</v>
      </c>
      <c r="D132" s="10">
        <f t="shared" si="2"/>
        <v>12120</v>
      </c>
    </row>
    <row r="133" spans="1:4" x14ac:dyDescent="0.25">
      <c r="A133" s="8">
        <v>46241</v>
      </c>
      <c r="B133" s="9" t="s">
        <v>179</v>
      </c>
      <c r="C133" s="10">
        <v>-12120</v>
      </c>
      <c r="D133" s="10">
        <f t="shared" si="2"/>
        <v>0</v>
      </c>
    </row>
    <row r="134" spans="1:4" x14ac:dyDescent="0.25">
      <c r="A134" s="8">
        <v>46244</v>
      </c>
      <c r="B134" s="9" t="s">
        <v>549</v>
      </c>
      <c r="C134" s="10">
        <v>12270</v>
      </c>
      <c r="D134" s="10">
        <f t="shared" si="2"/>
        <v>12270</v>
      </c>
    </row>
    <row r="135" spans="1:4" x14ac:dyDescent="0.25">
      <c r="A135" s="8">
        <v>46247</v>
      </c>
      <c r="B135" s="9" t="s">
        <v>551</v>
      </c>
      <c r="C135" s="10">
        <v>7920</v>
      </c>
      <c r="D135" s="10">
        <f t="shared" si="2"/>
        <v>20190</v>
      </c>
    </row>
    <row r="136" spans="1:4" x14ac:dyDescent="0.25">
      <c r="A136" s="8">
        <v>46248</v>
      </c>
      <c r="B136" s="9" t="s">
        <v>127</v>
      </c>
      <c r="C136" s="10">
        <v>-20190</v>
      </c>
      <c r="D136" s="10">
        <f t="shared" si="2"/>
        <v>0</v>
      </c>
    </row>
    <row r="137" spans="1:4" x14ac:dyDescent="0.25">
      <c r="A137" s="8">
        <v>46251</v>
      </c>
      <c r="B137" s="9" t="s">
        <v>554</v>
      </c>
      <c r="C137" s="10">
        <v>14060</v>
      </c>
      <c r="D137" s="10">
        <f t="shared" si="2"/>
        <v>14060</v>
      </c>
    </row>
    <row r="138" spans="1:4" x14ac:dyDescent="0.25">
      <c r="A138" s="8">
        <v>46251</v>
      </c>
      <c r="B138" s="9" t="s">
        <v>127</v>
      </c>
      <c r="C138" s="10">
        <v>-14060</v>
      </c>
      <c r="D138" s="10">
        <f t="shared" si="2"/>
        <v>0</v>
      </c>
    </row>
    <row r="139" spans="1:4" x14ac:dyDescent="0.25">
      <c r="A139" s="8">
        <v>46254</v>
      </c>
      <c r="B139" s="9" t="s">
        <v>555</v>
      </c>
      <c r="C139" s="10">
        <v>14700</v>
      </c>
      <c r="D139" s="10">
        <f t="shared" si="2"/>
        <v>14700</v>
      </c>
    </row>
    <row r="140" spans="1:4" x14ac:dyDescent="0.25">
      <c r="A140" s="8">
        <v>46258</v>
      </c>
      <c r="B140" s="9" t="s">
        <v>559</v>
      </c>
      <c r="C140" s="10">
        <v>15930</v>
      </c>
      <c r="D140" s="10">
        <f t="shared" si="2"/>
        <v>30630</v>
      </c>
    </row>
    <row r="141" spans="1:4" x14ac:dyDescent="0.25">
      <c r="A141" s="8">
        <v>46260</v>
      </c>
      <c r="B141" s="9" t="s">
        <v>127</v>
      </c>
      <c r="C141" s="10">
        <v>-30630</v>
      </c>
      <c r="D141" s="10">
        <f t="shared" si="2"/>
        <v>0</v>
      </c>
    </row>
    <row r="142" spans="1:4" x14ac:dyDescent="0.25">
      <c r="A142" s="8">
        <v>46261</v>
      </c>
      <c r="B142" s="9" t="s">
        <v>566</v>
      </c>
      <c r="C142" s="10">
        <v>2420</v>
      </c>
      <c r="D142" s="10">
        <f t="shared" si="2"/>
        <v>2420</v>
      </c>
    </row>
    <row r="143" spans="1:4" x14ac:dyDescent="0.25">
      <c r="A143" s="8">
        <v>46265</v>
      </c>
      <c r="B143" s="9" t="s">
        <v>571</v>
      </c>
      <c r="C143" s="10">
        <v>8010</v>
      </c>
      <c r="D143" s="10">
        <f t="shared" si="2"/>
        <v>10430</v>
      </c>
    </row>
    <row r="144" spans="1:4" x14ac:dyDescent="0.25">
      <c r="A144" s="8">
        <v>46267</v>
      </c>
      <c r="B144" s="9" t="s">
        <v>127</v>
      </c>
      <c r="C144" s="10">
        <v>-10430</v>
      </c>
      <c r="D144" s="10">
        <f t="shared" si="2"/>
        <v>0</v>
      </c>
    </row>
    <row r="145" spans="1:4" x14ac:dyDescent="0.25">
      <c r="A145" s="8">
        <v>46268</v>
      </c>
      <c r="B145" s="9" t="s">
        <v>573</v>
      </c>
      <c r="C145" s="10">
        <v>15240</v>
      </c>
      <c r="D145" s="10">
        <f t="shared" si="2"/>
        <v>15240</v>
      </c>
    </row>
    <row r="146" spans="1:4" x14ac:dyDescent="0.25">
      <c r="A146" s="8">
        <v>46272</v>
      </c>
      <c r="B146" s="9" t="s">
        <v>577</v>
      </c>
      <c r="C146" s="10">
        <v>5440</v>
      </c>
      <c r="D146" s="10">
        <f t="shared" si="2"/>
        <v>20680</v>
      </c>
    </row>
    <row r="147" spans="1:4" x14ac:dyDescent="0.25">
      <c r="A147" s="8">
        <v>46275</v>
      </c>
      <c r="B147" s="9" t="s">
        <v>583</v>
      </c>
      <c r="C147" s="10">
        <v>9620</v>
      </c>
      <c r="D147" s="10">
        <f t="shared" si="2"/>
        <v>30300</v>
      </c>
    </row>
    <row r="148" spans="1:4" x14ac:dyDescent="0.25">
      <c r="A148" s="8">
        <v>46276</v>
      </c>
      <c r="B148" s="9" t="s">
        <v>179</v>
      </c>
      <c r="C148" s="10">
        <v>-30300</v>
      </c>
      <c r="D148" s="10">
        <f t="shared" si="2"/>
        <v>0</v>
      </c>
    </row>
    <row r="149" spans="1:4" x14ac:dyDescent="0.25">
      <c r="A149" s="8">
        <v>46279</v>
      </c>
      <c r="B149" s="9" t="s">
        <v>588</v>
      </c>
      <c r="C149" s="10">
        <v>5600</v>
      </c>
      <c r="D149" s="10">
        <f t="shared" si="2"/>
        <v>5600</v>
      </c>
    </row>
    <row r="150" spans="1:4" x14ac:dyDescent="0.25">
      <c r="A150" s="8">
        <v>46283</v>
      </c>
      <c r="B150" s="9" t="s">
        <v>598</v>
      </c>
      <c r="C150" s="10">
        <v>18210</v>
      </c>
      <c r="D150" s="10">
        <f t="shared" si="2"/>
        <v>23810</v>
      </c>
    </row>
    <row r="151" spans="1:4" x14ac:dyDescent="0.25">
      <c r="A151" s="8">
        <v>46287</v>
      </c>
      <c r="B151" s="9" t="s">
        <v>597</v>
      </c>
      <c r="C151" s="10">
        <v>3750</v>
      </c>
      <c r="D151" s="10">
        <f t="shared" si="2"/>
        <v>27560</v>
      </c>
    </row>
    <row r="152" spans="1:4" x14ac:dyDescent="0.25">
      <c r="A152" s="8">
        <v>46289</v>
      </c>
      <c r="B152" s="9" t="s">
        <v>599</v>
      </c>
      <c r="C152" s="10">
        <v>14970</v>
      </c>
      <c r="D152" s="10">
        <f t="shared" si="2"/>
        <v>42530</v>
      </c>
    </row>
    <row r="153" spans="1:4" x14ac:dyDescent="0.25">
      <c r="A153" s="8">
        <v>46293</v>
      </c>
      <c r="B153" s="9" t="s">
        <v>607</v>
      </c>
      <c r="C153" s="10">
        <v>1900</v>
      </c>
      <c r="D153" s="10">
        <f t="shared" si="2"/>
        <v>44430</v>
      </c>
    </row>
    <row r="154" spans="1:4" x14ac:dyDescent="0.25">
      <c r="A154" s="8">
        <v>46296</v>
      </c>
      <c r="B154" s="9" t="s">
        <v>589</v>
      </c>
      <c r="C154" s="10">
        <v>850</v>
      </c>
      <c r="D154" s="10">
        <f t="shared" si="2"/>
        <v>45280</v>
      </c>
    </row>
    <row r="155" spans="1:4" x14ac:dyDescent="0.25">
      <c r="A155" s="8">
        <v>46294</v>
      </c>
      <c r="B155" s="9" t="s">
        <v>610</v>
      </c>
      <c r="C155" s="10">
        <v>-44430</v>
      </c>
      <c r="D155" s="10">
        <f t="shared" si="2"/>
        <v>850</v>
      </c>
    </row>
    <row r="156" spans="1:4" x14ac:dyDescent="0.25">
      <c r="A156" s="8">
        <v>46300</v>
      </c>
      <c r="B156" s="9" t="s">
        <v>589</v>
      </c>
      <c r="C156" s="10">
        <v>1050</v>
      </c>
      <c r="D156" s="10">
        <f t="shared" si="2"/>
        <v>1900</v>
      </c>
    </row>
    <row r="157" spans="1:4" x14ac:dyDescent="0.25">
      <c r="A157" s="9"/>
      <c r="B157" s="9"/>
      <c r="C157" s="10"/>
      <c r="D157" s="10">
        <f t="shared" si="2"/>
        <v>1900</v>
      </c>
    </row>
    <row r="158" spans="1:4" x14ac:dyDescent="0.25">
      <c r="A158" s="9"/>
      <c r="B158" s="9"/>
      <c r="C158" s="10"/>
      <c r="D158" s="10"/>
    </row>
    <row r="159" spans="1:4" x14ac:dyDescent="0.25">
      <c r="A159" s="9"/>
      <c r="B159" s="9"/>
      <c r="C159" s="10"/>
      <c r="D159" s="10"/>
    </row>
    <row r="160" spans="1:4" x14ac:dyDescent="0.25">
      <c r="A160" s="9"/>
      <c r="B160" s="9"/>
      <c r="C160" s="10"/>
      <c r="D160" s="10"/>
    </row>
    <row r="161" spans="1:4" x14ac:dyDescent="0.25">
      <c r="A161" s="9"/>
      <c r="B161" s="9"/>
      <c r="C161" s="10"/>
      <c r="D161" s="10"/>
    </row>
    <row r="162" spans="1:4" x14ac:dyDescent="0.25">
      <c r="A162" s="9"/>
      <c r="B162" s="9"/>
      <c r="C162" s="10"/>
      <c r="D162" s="10"/>
    </row>
    <row r="163" spans="1:4" x14ac:dyDescent="0.25">
      <c r="A163" s="9"/>
      <c r="B163" s="9"/>
      <c r="C163" s="10"/>
      <c r="D163" s="10"/>
    </row>
    <row r="164" spans="1:4" x14ac:dyDescent="0.25">
      <c r="A164" s="9"/>
      <c r="B164" s="9"/>
      <c r="C164" s="10"/>
      <c r="D164" s="10"/>
    </row>
    <row r="165" spans="1:4" x14ac:dyDescent="0.25">
      <c r="A165" s="9"/>
      <c r="B165" s="9"/>
      <c r="C165" s="10"/>
      <c r="D165" s="10"/>
    </row>
    <row r="166" spans="1:4" x14ac:dyDescent="0.25">
      <c r="A166" s="9"/>
      <c r="B166" s="9"/>
      <c r="C166" s="10"/>
      <c r="D166" s="10"/>
    </row>
    <row r="167" spans="1:4" x14ac:dyDescent="0.25">
      <c r="A167" s="9"/>
      <c r="B167" s="9"/>
      <c r="C167" s="10"/>
      <c r="D167" s="10"/>
    </row>
    <row r="168" spans="1:4" x14ac:dyDescent="0.25">
      <c r="A168" s="9"/>
      <c r="B168" s="9"/>
      <c r="C168" s="10"/>
      <c r="D168" s="10"/>
    </row>
    <row r="169" spans="1:4" x14ac:dyDescent="0.25">
      <c r="A169" s="9"/>
      <c r="B169" s="9"/>
      <c r="C169" s="10"/>
      <c r="D169" s="10"/>
    </row>
    <row r="170" spans="1:4" x14ac:dyDescent="0.25">
      <c r="A170" s="9"/>
      <c r="B170" s="9"/>
      <c r="C170" s="10"/>
      <c r="D170" s="10"/>
    </row>
    <row r="171" spans="1:4" x14ac:dyDescent="0.25">
      <c r="A171" s="9"/>
      <c r="B171" s="9"/>
      <c r="C171" s="10"/>
      <c r="D171" s="10"/>
    </row>
    <row r="172" spans="1:4" x14ac:dyDescent="0.25">
      <c r="A172" s="9"/>
      <c r="B172" s="9"/>
      <c r="C172" s="10"/>
      <c r="D172" s="10"/>
    </row>
    <row r="173" spans="1:4" x14ac:dyDescent="0.25">
      <c r="A173" s="9"/>
      <c r="B173" s="9"/>
      <c r="C173" s="10"/>
      <c r="D173" s="10"/>
    </row>
    <row r="174" spans="1:4" x14ac:dyDescent="0.25">
      <c r="A174" s="9"/>
      <c r="B174" s="9"/>
      <c r="C174" s="10"/>
      <c r="D174" s="10"/>
    </row>
    <row r="175" spans="1:4" x14ac:dyDescent="0.25">
      <c r="A175" s="9"/>
      <c r="B175" s="9"/>
      <c r="C175" s="10"/>
      <c r="D175" s="10"/>
    </row>
    <row r="176" spans="1:4" x14ac:dyDescent="0.25">
      <c r="A176" s="9"/>
      <c r="B176" s="9"/>
      <c r="C176" s="10"/>
      <c r="D176" s="10"/>
    </row>
    <row r="177" spans="1:4" x14ac:dyDescent="0.25">
      <c r="A177" s="9"/>
      <c r="B177" s="9"/>
      <c r="C177" s="10"/>
      <c r="D177" s="10"/>
    </row>
    <row r="178" spans="1:4" x14ac:dyDescent="0.25">
      <c r="A178" s="9"/>
      <c r="B178" s="9"/>
      <c r="C178" s="10"/>
      <c r="D178" s="10"/>
    </row>
    <row r="179" spans="1:4" x14ac:dyDescent="0.25">
      <c r="A179" s="9"/>
      <c r="B179" s="9"/>
      <c r="C179" s="10"/>
      <c r="D179" s="10"/>
    </row>
    <row r="180" spans="1:4" x14ac:dyDescent="0.25">
      <c r="A180" s="9"/>
      <c r="B180" s="9"/>
      <c r="C180" s="10"/>
      <c r="D180" s="10"/>
    </row>
    <row r="181" spans="1:4" x14ac:dyDescent="0.25">
      <c r="A181" s="9"/>
      <c r="B181" s="9"/>
      <c r="C181" s="10"/>
      <c r="D181" s="10"/>
    </row>
    <row r="182" spans="1:4" x14ac:dyDescent="0.25">
      <c r="A182" s="9"/>
      <c r="B182" s="9"/>
      <c r="C182" s="10"/>
      <c r="D182" s="10"/>
    </row>
    <row r="183" spans="1:4" x14ac:dyDescent="0.25">
      <c r="A183" s="9"/>
      <c r="B183" s="9"/>
      <c r="C183" s="10"/>
      <c r="D183" s="10"/>
    </row>
    <row r="184" spans="1:4" x14ac:dyDescent="0.25">
      <c r="A184" s="9"/>
      <c r="B184" s="9"/>
      <c r="C184" s="10"/>
      <c r="D184" s="10"/>
    </row>
    <row r="185" spans="1:4" x14ac:dyDescent="0.25">
      <c r="A185" s="9"/>
      <c r="B185" s="9"/>
      <c r="C185" s="10"/>
      <c r="D185" s="10"/>
    </row>
    <row r="186" spans="1:4" x14ac:dyDescent="0.25">
      <c r="A186" s="9"/>
      <c r="B186" s="9"/>
      <c r="C186" s="10"/>
      <c r="D186" s="10"/>
    </row>
    <row r="187" spans="1:4" x14ac:dyDescent="0.25">
      <c r="A187" s="9"/>
      <c r="B187" s="9"/>
      <c r="C187" s="10"/>
      <c r="D187" s="10"/>
    </row>
    <row r="188" spans="1:4" x14ac:dyDescent="0.25">
      <c r="A188" s="9"/>
      <c r="B188" s="9"/>
      <c r="C188" s="10"/>
      <c r="D188" s="10"/>
    </row>
    <row r="189" spans="1:4" x14ac:dyDescent="0.25">
      <c r="A189" s="9"/>
      <c r="B189" s="9"/>
      <c r="C189" s="10"/>
      <c r="D189" s="10"/>
    </row>
  </sheetData>
  <mergeCells count="2">
    <mergeCell ref="A4:D4"/>
    <mergeCell ref="B6:D6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A2AD4-3654-46A0-A813-C2AD74A7410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86947-89F4-4944-9673-17A38F5F5F67}">
  <dimension ref="A4:F187"/>
  <sheetViews>
    <sheetView topLeftCell="A128" workbookViewId="0">
      <selection activeCell="E151" sqref="E151"/>
    </sheetView>
  </sheetViews>
  <sheetFormatPr baseColWidth="10" defaultRowHeight="15" x14ac:dyDescent="0.25"/>
  <cols>
    <col min="1" max="1" width="28.28515625" customWidth="1"/>
    <col min="2" max="2" width="27.140625" customWidth="1"/>
    <col min="3" max="3" width="23.42578125" style="6" customWidth="1"/>
    <col min="4" max="4" width="21.85546875" style="6" customWidth="1"/>
  </cols>
  <sheetData>
    <row r="4" spans="1:4" ht="18" x14ac:dyDescent="0.25">
      <c r="A4" s="98" t="s">
        <v>0</v>
      </c>
      <c r="B4" s="98"/>
      <c r="C4" s="98"/>
      <c r="D4" s="98"/>
    </row>
    <row r="6" spans="1:4" x14ac:dyDescent="0.25">
      <c r="A6" s="2" t="s">
        <v>1</v>
      </c>
      <c r="B6" s="107" t="s">
        <v>34</v>
      </c>
      <c r="C6" s="108"/>
      <c r="D6" s="108"/>
    </row>
    <row r="7" spans="1:4" x14ac:dyDescent="0.25">
      <c r="A7" s="3" t="s">
        <v>11</v>
      </c>
      <c r="B7" s="12" t="s">
        <v>27</v>
      </c>
      <c r="C7" s="12"/>
      <c r="D7" s="12"/>
    </row>
    <row r="8" spans="1:4" x14ac:dyDescent="0.25">
      <c r="B8" s="5"/>
    </row>
    <row r="9" spans="1:4" x14ac:dyDescent="0.25">
      <c r="A9" s="2" t="s">
        <v>2</v>
      </c>
      <c r="B9" s="2" t="s">
        <v>3</v>
      </c>
      <c r="C9" s="7" t="s">
        <v>4</v>
      </c>
      <c r="D9" s="7" t="s">
        <v>5</v>
      </c>
    </row>
    <row r="10" spans="1:4" x14ac:dyDescent="0.25">
      <c r="A10" s="8">
        <v>45834</v>
      </c>
      <c r="B10" s="9" t="s">
        <v>6</v>
      </c>
      <c r="C10" s="10">
        <v>26610</v>
      </c>
      <c r="D10" s="10">
        <f>C10</f>
        <v>26610</v>
      </c>
    </row>
    <row r="11" spans="1:4" x14ac:dyDescent="0.25">
      <c r="A11" s="8">
        <v>45839</v>
      </c>
      <c r="B11" s="9" t="s">
        <v>7</v>
      </c>
      <c r="C11" s="10">
        <v>-11000</v>
      </c>
      <c r="D11" s="10">
        <f>D10+C11</f>
        <v>15610</v>
      </c>
    </row>
    <row r="12" spans="1:4" x14ac:dyDescent="0.25">
      <c r="A12" s="8">
        <v>45840</v>
      </c>
      <c r="B12" s="9" t="s">
        <v>44</v>
      </c>
      <c r="C12" s="10">
        <v>-5000</v>
      </c>
      <c r="D12" s="10">
        <f t="shared" ref="D12:D30" si="0">D11+C12</f>
        <v>10610</v>
      </c>
    </row>
    <row r="13" spans="1:4" x14ac:dyDescent="0.25">
      <c r="A13" s="8">
        <v>45841</v>
      </c>
      <c r="B13" s="9" t="s">
        <v>6</v>
      </c>
      <c r="C13" s="10">
        <v>4940</v>
      </c>
      <c r="D13" s="10">
        <f t="shared" si="0"/>
        <v>15550</v>
      </c>
    </row>
    <row r="14" spans="1:4" x14ac:dyDescent="0.25">
      <c r="A14" s="8">
        <v>45845</v>
      </c>
      <c r="B14" s="9" t="s">
        <v>7</v>
      </c>
      <c r="C14" s="10">
        <v>-8000</v>
      </c>
      <c r="D14" s="10">
        <f t="shared" si="0"/>
        <v>7550</v>
      </c>
    </row>
    <row r="15" spans="1:4" x14ac:dyDescent="0.25">
      <c r="A15" s="8">
        <v>45852</v>
      </c>
      <c r="B15" s="9" t="s">
        <v>6</v>
      </c>
      <c r="C15" s="10">
        <v>2410</v>
      </c>
      <c r="D15" s="11">
        <f t="shared" si="0"/>
        <v>9960</v>
      </c>
    </row>
    <row r="16" spans="1:4" x14ac:dyDescent="0.25">
      <c r="A16" s="8">
        <v>45852</v>
      </c>
      <c r="B16" s="9" t="s">
        <v>7</v>
      </c>
      <c r="C16" s="10">
        <v>-1840</v>
      </c>
      <c r="D16" s="10">
        <f t="shared" si="0"/>
        <v>8120</v>
      </c>
    </row>
    <row r="17" spans="1:4" x14ac:dyDescent="0.25">
      <c r="A17" s="8">
        <v>45848</v>
      </c>
      <c r="B17" s="9" t="s">
        <v>6</v>
      </c>
      <c r="C17" s="10">
        <v>1790</v>
      </c>
      <c r="D17" s="10">
        <f t="shared" si="0"/>
        <v>9910</v>
      </c>
    </row>
    <row r="18" spans="1:4" x14ac:dyDescent="0.25">
      <c r="A18" s="8">
        <v>45855</v>
      </c>
      <c r="B18" s="9" t="s">
        <v>6</v>
      </c>
      <c r="C18" s="10">
        <v>800</v>
      </c>
      <c r="D18" s="10">
        <f t="shared" si="0"/>
        <v>10710</v>
      </c>
    </row>
    <row r="19" spans="1:4" x14ac:dyDescent="0.25">
      <c r="A19" s="8">
        <v>45861</v>
      </c>
      <c r="B19" s="9" t="s">
        <v>7</v>
      </c>
      <c r="C19" s="10">
        <v>-2500</v>
      </c>
      <c r="D19" s="10">
        <f t="shared" si="0"/>
        <v>8210</v>
      </c>
    </row>
    <row r="20" spans="1:4" x14ac:dyDescent="0.25">
      <c r="A20" s="8">
        <v>45862</v>
      </c>
      <c r="B20" s="9" t="s">
        <v>6</v>
      </c>
      <c r="C20" s="10">
        <v>3670</v>
      </c>
      <c r="D20" s="10">
        <f t="shared" si="0"/>
        <v>11880</v>
      </c>
    </row>
    <row r="21" spans="1:4" x14ac:dyDescent="0.25">
      <c r="A21" s="8">
        <v>45869</v>
      </c>
      <c r="B21" s="9" t="s">
        <v>46</v>
      </c>
      <c r="C21" s="10">
        <v>-3720</v>
      </c>
      <c r="D21" s="10">
        <f t="shared" si="0"/>
        <v>8160</v>
      </c>
    </row>
    <row r="22" spans="1:4" x14ac:dyDescent="0.25">
      <c r="A22" s="8">
        <v>45877</v>
      </c>
      <c r="B22" s="9" t="s">
        <v>6</v>
      </c>
      <c r="C22" s="10">
        <v>2630</v>
      </c>
      <c r="D22" s="10">
        <f t="shared" si="0"/>
        <v>10790</v>
      </c>
    </row>
    <row r="23" spans="1:4" x14ac:dyDescent="0.25">
      <c r="A23" s="8">
        <v>45880</v>
      </c>
      <c r="B23" s="9" t="s">
        <v>6</v>
      </c>
      <c r="C23" s="10">
        <v>1220</v>
      </c>
      <c r="D23" s="10">
        <f t="shared" si="0"/>
        <v>12010</v>
      </c>
    </row>
    <row r="24" spans="1:4" x14ac:dyDescent="0.25">
      <c r="A24" s="8">
        <v>45880</v>
      </c>
      <c r="B24" s="9" t="s">
        <v>46</v>
      </c>
      <c r="C24" s="10">
        <v>-4000</v>
      </c>
      <c r="D24" s="10">
        <f>D23+C24</f>
        <v>8010</v>
      </c>
    </row>
    <row r="25" spans="1:4" x14ac:dyDescent="0.25">
      <c r="A25" s="8">
        <v>45890</v>
      </c>
      <c r="B25" s="9" t="s">
        <v>46</v>
      </c>
      <c r="C25" s="10">
        <v>-2500</v>
      </c>
      <c r="D25" s="10">
        <f t="shared" si="0"/>
        <v>5510</v>
      </c>
    </row>
    <row r="26" spans="1:4" x14ac:dyDescent="0.25">
      <c r="A26" s="8">
        <v>45890</v>
      </c>
      <c r="B26" s="9" t="s">
        <v>6</v>
      </c>
      <c r="C26" s="10">
        <v>930</v>
      </c>
      <c r="D26" s="10">
        <f t="shared" si="0"/>
        <v>6440</v>
      </c>
    </row>
    <row r="27" spans="1:4" x14ac:dyDescent="0.25">
      <c r="A27" s="8">
        <v>45897</v>
      </c>
      <c r="B27" s="9" t="s">
        <v>6</v>
      </c>
      <c r="C27" s="10">
        <v>13350</v>
      </c>
      <c r="D27" s="10">
        <f t="shared" si="0"/>
        <v>19790</v>
      </c>
    </row>
    <row r="28" spans="1:4" x14ac:dyDescent="0.25">
      <c r="A28" s="8">
        <v>45901</v>
      </c>
      <c r="B28" s="9" t="s">
        <v>6</v>
      </c>
      <c r="C28" s="10">
        <v>4030</v>
      </c>
      <c r="D28" s="10">
        <f t="shared" si="0"/>
        <v>23820</v>
      </c>
    </row>
    <row r="29" spans="1:4" x14ac:dyDescent="0.25">
      <c r="A29" s="8">
        <v>45902</v>
      </c>
      <c r="B29" s="9" t="s">
        <v>56</v>
      </c>
      <c r="C29" s="10">
        <v>-19000</v>
      </c>
      <c r="D29" s="10">
        <f t="shared" si="0"/>
        <v>4820</v>
      </c>
    </row>
    <row r="30" spans="1:4" x14ac:dyDescent="0.25">
      <c r="A30" s="8">
        <v>45905</v>
      </c>
      <c r="B30" s="9" t="s">
        <v>6</v>
      </c>
      <c r="C30" s="10">
        <v>610</v>
      </c>
      <c r="D30" s="10">
        <f t="shared" si="0"/>
        <v>5430</v>
      </c>
    </row>
    <row r="31" spans="1:4" x14ac:dyDescent="0.25">
      <c r="A31" s="8">
        <v>45911</v>
      </c>
      <c r="B31" s="9" t="s">
        <v>6</v>
      </c>
      <c r="C31" s="10">
        <v>2390</v>
      </c>
      <c r="D31" s="10">
        <f>D30+C31</f>
        <v>7820</v>
      </c>
    </row>
    <row r="32" spans="1:4" x14ac:dyDescent="0.25">
      <c r="A32" s="8"/>
      <c r="B32" s="9"/>
      <c r="C32" s="10"/>
      <c r="D32" s="10">
        <f t="shared" ref="D32:D95" si="1">D31+C32</f>
        <v>7820</v>
      </c>
    </row>
    <row r="33" spans="1:4" x14ac:dyDescent="0.25">
      <c r="A33" s="8">
        <v>45918</v>
      </c>
      <c r="B33" s="9" t="s">
        <v>74</v>
      </c>
      <c r="C33" s="10">
        <v>-9000</v>
      </c>
      <c r="D33" s="10">
        <f t="shared" si="1"/>
        <v>-1180</v>
      </c>
    </row>
    <row r="34" spans="1:4" x14ac:dyDescent="0.25">
      <c r="A34" s="8">
        <v>45918</v>
      </c>
      <c r="B34" s="9" t="s">
        <v>6</v>
      </c>
      <c r="C34" s="10">
        <v>6720</v>
      </c>
      <c r="D34" s="10">
        <f t="shared" si="1"/>
        <v>5540</v>
      </c>
    </row>
    <row r="35" spans="1:4" x14ac:dyDescent="0.25">
      <c r="A35" s="8">
        <v>45922</v>
      </c>
      <c r="B35" s="9" t="s">
        <v>154</v>
      </c>
      <c r="C35" s="10">
        <v>1030</v>
      </c>
      <c r="D35" s="10">
        <f t="shared" si="1"/>
        <v>6570</v>
      </c>
    </row>
    <row r="36" spans="1:4" x14ac:dyDescent="0.25">
      <c r="A36" s="8">
        <v>45925</v>
      </c>
      <c r="B36" s="9" t="s">
        <v>3</v>
      </c>
      <c r="C36" s="10">
        <v>1060</v>
      </c>
      <c r="D36" s="10">
        <f t="shared" si="1"/>
        <v>7630</v>
      </c>
    </row>
    <row r="37" spans="1:4" x14ac:dyDescent="0.25">
      <c r="A37" s="8">
        <v>45925</v>
      </c>
      <c r="B37" s="9" t="s">
        <v>155</v>
      </c>
      <c r="C37" s="10">
        <v>-8000</v>
      </c>
      <c r="D37" s="10">
        <f t="shared" si="1"/>
        <v>-370</v>
      </c>
    </row>
    <row r="38" spans="1:4" x14ac:dyDescent="0.25">
      <c r="A38" s="8">
        <v>45929</v>
      </c>
      <c r="B38" s="9" t="s">
        <v>6</v>
      </c>
      <c r="C38" s="10">
        <v>550</v>
      </c>
      <c r="D38" s="10">
        <f t="shared" si="1"/>
        <v>180</v>
      </c>
    </row>
    <row r="39" spans="1:4" x14ac:dyDescent="0.25">
      <c r="A39" s="8">
        <v>45931</v>
      </c>
      <c r="B39" s="9" t="s">
        <v>138</v>
      </c>
      <c r="C39" s="10">
        <v>-2000</v>
      </c>
      <c r="D39" s="10">
        <f t="shared" si="1"/>
        <v>-1820</v>
      </c>
    </row>
    <row r="40" spans="1:4" x14ac:dyDescent="0.25">
      <c r="A40" s="8">
        <v>45932</v>
      </c>
      <c r="B40" s="9" t="s">
        <v>6</v>
      </c>
      <c r="C40" s="10">
        <v>2080</v>
      </c>
      <c r="D40" s="10">
        <f t="shared" si="1"/>
        <v>260</v>
      </c>
    </row>
    <row r="41" spans="1:4" x14ac:dyDescent="0.25">
      <c r="A41" s="8">
        <v>45936</v>
      </c>
      <c r="B41" s="9" t="s">
        <v>3</v>
      </c>
      <c r="C41" s="10">
        <v>1510</v>
      </c>
      <c r="D41" s="10">
        <f t="shared" si="1"/>
        <v>1770</v>
      </c>
    </row>
    <row r="42" spans="1:4" x14ac:dyDescent="0.25">
      <c r="A42" s="8">
        <v>45939</v>
      </c>
      <c r="B42" s="9" t="s">
        <v>3</v>
      </c>
      <c r="C42" s="10">
        <v>1170</v>
      </c>
      <c r="D42" s="10">
        <f t="shared" si="1"/>
        <v>2940</v>
      </c>
    </row>
    <row r="43" spans="1:4" x14ac:dyDescent="0.25">
      <c r="A43" s="8">
        <v>45939</v>
      </c>
      <c r="B43" s="9" t="s">
        <v>178</v>
      </c>
      <c r="C43" s="10">
        <v>-4000</v>
      </c>
      <c r="D43" s="10">
        <f t="shared" si="1"/>
        <v>-1060</v>
      </c>
    </row>
    <row r="44" spans="1:4" x14ac:dyDescent="0.25">
      <c r="A44" s="8">
        <v>45943</v>
      </c>
      <c r="B44" s="9" t="s">
        <v>3</v>
      </c>
      <c r="C44" s="10">
        <v>1170</v>
      </c>
      <c r="D44" s="10">
        <f t="shared" si="1"/>
        <v>110</v>
      </c>
    </row>
    <row r="45" spans="1:4" x14ac:dyDescent="0.25">
      <c r="A45" s="8">
        <v>45946</v>
      </c>
      <c r="B45" s="9" t="s">
        <v>3</v>
      </c>
      <c r="C45" s="10">
        <v>3800</v>
      </c>
      <c r="D45" s="10">
        <f t="shared" si="1"/>
        <v>3910</v>
      </c>
    </row>
    <row r="46" spans="1:4" x14ac:dyDescent="0.25">
      <c r="A46" s="8">
        <v>45950</v>
      </c>
      <c r="B46" s="9" t="s">
        <v>3</v>
      </c>
      <c r="C46" s="10">
        <v>950</v>
      </c>
      <c r="D46" s="10">
        <f t="shared" si="1"/>
        <v>4860</v>
      </c>
    </row>
    <row r="47" spans="1:4" x14ac:dyDescent="0.25">
      <c r="A47" s="8">
        <v>45953</v>
      </c>
      <c r="B47" s="9" t="s">
        <v>3</v>
      </c>
      <c r="C47" s="10">
        <v>1340</v>
      </c>
      <c r="D47" s="10">
        <f t="shared" si="1"/>
        <v>6200</v>
      </c>
    </row>
    <row r="48" spans="1:4" x14ac:dyDescent="0.25">
      <c r="A48" s="8">
        <v>45953</v>
      </c>
      <c r="B48" s="9" t="s">
        <v>179</v>
      </c>
      <c r="C48" s="10">
        <v>-6000</v>
      </c>
      <c r="D48" s="10">
        <f t="shared" si="1"/>
        <v>200</v>
      </c>
    </row>
    <row r="49" spans="1:4" x14ac:dyDescent="0.25">
      <c r="A49" s="8">
        <v>45957</v>
      </c>
      <c r="B49" s="9" t="s">
        <v>3</v>
      </c>
      <c r="C49" s="10">
        <v>1940</v>
      </c>
      <c r="D49" s="10">
        <f t="shared" si="1"/>
        <v>2140</v>
      </c>
    </row>
    <row r="50" spans="1:4" x14ac:dyDescent="0.25">
      <c r="A50" s="8">
        <v>45964</v>
      </c>
      <c r="B50" s="9" t="s">
        <v>3</v>
      </c>
      <c r="C50" s="10">
        <v>1050</v>
      </c>
      <c r="D50" s="10">
        <f t="shared" si="1"/>
        <v>3190</v>
      </c>
    </row>
    <row r="51" spans="1:4" x14ac:dyDescent="0.25">
      <c r="A51" s="8">
        <v>45967</v>
      </c>
      <c r="B51" s="9" t="s">
        <v>3</v>
      </c>
      <c r="C51" s="10">
        <v>5210</v>
      </c>
      <c r="D51" s="10">
        <f t="shared" si="1"/>
        <v>8400</v>
      </c>
    </row>
    <row r="52" spans="1:4" x14ac:dyDescent="0.25">
      <c r="A52" s="8">
        <v>45967</v>
      </c>
      <c r="B52" s="9" t="s">
        <v>223</v>
      </c>
      <c r="C52" s="10">
        <v>-5500</v>
      </c>
      <c r="D52" s="10">
        <f t="shared" si="1"/>
        <v>2900</v>
      </c>
    </row>
    <row r="53" spans="1:4" x14ac:dyDescent="0.25">
      <c r="A53" s="8">
        <v>45974</v>
      </c>
      <c r="B53" s="9" t="s">
        <v>3</v>
      </c>
      <c r="C53" s="10">
        <v>1730</v>
      </c>
      <c r="D53" s="10">
        <f t="shared" si="1"/>
        <v>4630</v>
      </c>
    </row>
    <row r="54" spans="1:4" x14ac:dyDescent="0.25">
      <c r="A54" s="8">
        <v>45984</v>
      </c>
      <c r="B54" s="9" t="s">
        <v>3</v>
      </c>
      <c r="C54" s="10">
        <v>1510</v>
      </c>
      <c r="D54" s="10">
        <f t="shared" si="1"/>
        <v>6140</v>
      </c>
    </row>
    <row r="55" spans="1:4" x14ac:dyDescent="0.25">
      <c r="A55" s="8">
        <v>45985</v>
      </c>
      <c r="B55" s="9" t="s">
        <v>150</v>
      </c>
      <c r="C55" s="10">
        <v>-2000</v>
      </c>
      <c r="D55" s="10">
        <f t="shared" si="1"/>
        <v>4140</v>
      </c>
    </row>
    <row r="56" spans="1:4" x14ac:dyDescent="0.25">
      <c r="A56" s="8">
        <v>45985</v>
      </c>
      <c r="B56" s="9" t="s">
        <v>92</v>
      </c>
      <c r="C56" s="10">
        <v>-5500</v>
      </c>
      <c r="D56" s="10">
        <f t="shared" si="1"/>
        <v>-1360</v>
      </c>
    </row>
    <row r="57" spans="1:4" x14ac:dyDescent="0.25">
      <c r="A57" s="8">
        <v>45986</v>
      </c>
      <c r="B57" s="9" t="s">
        <v>3</v>
      </c>
      <c r="C57" s="10">
        <v>3260</v>
      </c>
      <c r="D57" s="10">
        <f t="shared" si="1"/>
        <v>1900</v>
      </c>
    </row>
    <row r="58" spans="1:4" x14ac:dyDescent="0.25">
      <c r="A58" s="8">
        <v>45986</v>
      </c>
      <c r="B58" s="9" t="s">
        <v>150</v>
      </c>
      <c r="C58" s="10">
        <v>-3260</v>
      </c>
      <c r="D58" s="10">
        <f t="shared" si="1"/>
        <v>-1360</v>
      </c>
    </row>
    <row r="59" spans="1:4" x14ac:dyDescent="0.25">
      <c r="A59" s="8">
        <v>45988</v>
      </c>
      <c r="B59" s="9" t="s">
        <v>3</v>
      </c>
      <c r="C59" s="10">
        <v>1770</v>
      </c>
      <c r="D59" s="10">
        <f t="shared" si="1"/>
        <v>410</v>
      </c>
    </row>
    <row r="60" spans="1:4" x14ac:dyDescent="0.25">
      <c r="A60" s="8">
        <v>46003</v>
      </c>
      <c r="B60" s="9" t="s">
        <v>3</v>
      </c>
      <c r="C60" s="10">
        <v>5460</v>
      </c>
      <c r="D60" s="10">
        <f t="shared" si="1"/>
        <v>5870</v>
      </c>
    </row>
    <row r="61" spans="1:4" x14ac:dyDescent="0.25">
      <c r="A61" s="8">
        <v>46006</v>
      </c>
      <c r="B61" s="9" t="s">
        <v>3</v>
      </c>
      <c r="C61" s="10">
        <v>2270</v>
      </c>
      <c r="D61" s="10">
        <f t="shared" si="1"/>
        <v>8140</v>
      </c>
    </row>
    <row r="62" spans="1:4" x14ac:dyDescent="0.25">
      <c r="A62" s="8">
        <v>46009</v>
      </c>
      <c r="B62" s="9" t="s">
        <v>3</v>
      </c>
      <c r="C62" s="10">
        <v>8390</v>
      </c>
      <c r="D62" s="10">
        <f t="shared" si="1"/>
        <v>16530</v>
      </c>
    </row>
    <row r="63" spans="1:4" x14ac:dyDescent="0.25">
      <c r="A63" s="8">
        <v>46009</v>
      </c>
      <c r="B63" s="9" t="s">
        <v>92</v>
      </c>
      <c r="C63" s="10">
        <v>-15000</v>
      </c>
      <c r="D63" s="10">
        <f t="shared" si="1"/>
        <v>1530</v>
      </c>
    </row>
    <row r="64" spans="1:4" x14ac:dyDescent="0.25">
      <c r="A64" s="8">
        <v>46012</v>
      </c>
      <c r="B64" s="9" t="s">
        <v>178</v>
      </c>
      <c r="C64" s="10">
        <v>2180</v>
      </c>
      <c r="D64" s="10">
        <f t="shared" si="1"/>
        <v>3710</v>
      </c>
    </row>
    <row r="65" spans="1:4" x14ac:dyDescent="0.25">
      <c r="A65" s="8">
        <v>46012</v>
      </c>
      <c r="B65" s="9" t="s">
        <v>284</v>
      </c>
      <c r="C65" s="10">
        <v>1900</v>
      </c>
      <c r="D65" s="10">
        <f t="shared" si="1"/>
        <v>5610</v>
      </c>
    </row>
    <row r="66" spans="1:4" x14ac:dyDescent="0.25">
      <c r="A66" s="8">
        <v>46014</v>
      </c>
      <c r="B66" s="9" t="s">
        <v>3</v>
      </c>
      <c r="C66" s="10">
        <v>2610</v>
      </c>
      <c r="D66" s="10">
        <f t="shared" si="1"/>
        <v>8220</v>
      </c>
    </row>
    <row r="67" spans="1:4" x14ac:dyDescent="0.25">
      <c r="A67" s="8">
        <v>46015</v>
      </c>
      <c r="B67" s="9" t="s">
        <v>178</v>
      </c>
      <c r="C67" s="10">
        <v>-2610</v>
      </c>
      <c r="D67" s="10">
        <f t="shared" si="1"/>
        <v>5610</v>
      </c>
    </row>
    <row r="68" spans="1:4" x14ac:dyDescent="0.25">
      <c r="A68" s="8">
        <v>46037</v>
      </c>
      <c r="B68" s="9" t="s">
        <v>3</v>
      </c>
      <c r="C68" s="10">
        <v>2340</v>
      </c>
      <c r="D68" s="10">
        <f t="shared" si="1"/>
        <v>7950</v>
      </c>
    </row>
    <row r="69" spans="1:4" x14ac:dyDescent="0.25">
      <c r="A69" s="8">
        <v>46039</v>
      </c>
      <c r="B69" s="9" t="s">
        <v>129</v>
      </c>
      <c r="C69" s="10">
        <v>1250</v>
      </c>
      <c r="D69" s="10">
        <f t="shared" si="1"/>
        <v>9200</v>
      </c>
    </row>
    <row r="70" spans="1:4" x14ac:dyDescent="0.25">
      <c r="A70" s="8">
        <v>46041</v>
      </c>
      <c r="B70" s="9" t="s">
        <v>3</v>
      </c>
      <c r="C70" s="10">
        <v>1100</v>
      </c>
      <c r="D70" s="10">
        <f t="shared" si="1"/>
        <v>10300</v>
      </c>
    </row>
    <row r="71" spans="1:4" x14ac:dyDescent="0.25">
      <c r="A71" s="8">
        <v>46041</v>
      </c>
      <c r="B71" s="9" t="s">
        <v>178</v>
      </c>
      <c r="C71" s="10">
        <v>-5000</v>
      </c>
      <c r="D71" s="10">
        <f t="shared" si="1"/>
        <v>5300</v>
      </c>
    </row>
    <row r="72" spans="1:4" x14ac:dyDescent="0.25">
      <c r="A72" s="8">
        <v>46044</v>
      </c>
      <c r="B72" s="9" t="s">
        <v>3</v>
      </c>
      <c r="C72" s="10">
        <v>4660</v>
      </c>
      <c r="D72" s="10">
        <f t="shared" si="1"/>
        <v>9960</v>
      </c>
    </row>
    <row r="73" spans="1:4" x14ac:dyDescent="0.25">
      <c r="A73" s="8">
        <v>46048</v>
      </c>
      <c r="B73" s="9" t="s">
        <v>178</v>
      </c>
      <c r="C73" s="10">
        <v>-6000</v>
      </c>
      <c r="D73" s="10">
        <f t="shared" si="1"/>
        <v>3960</v>
      </c>
    </row>
    <row r="74" spans="1:4" x14ac:dyDescent="0.25">
      <c r="A74" s="8">
        <v>46048</v>
      </c>
      <c r="B74" s="9" t="s">
        <v>127</v>
      </c>
      <c r="C74" s="10">
        <v>-2000</v>
      </c>
      <c r="D74" s="10">
        <f t="shared" si="1"/>
        <v>1960</v>
      </c>
    </row>
    <row r="75" spans="1:4" x14ac:dyDescent="0.25">
      <c r="A75" s="8">
        <v>46051</v>
      </c>
      <c r="B75" s="9" t="s">
        <v>3</v>
      </c>
      <c r="C75" s="10">
        <v>1340</v>
      </c>
      <c r="D75" s="10">
        <f t="shared" si="1"/>
        <v>3300</v>
      </c>
    </row>
    <row r="76" spans="1:4" x14ac:dyDescent="0.25">
      <c r="A76" s="8">
        <v>46055</v>
      </c>
      <c r="B76" s="9" t="s">
        <v>3</v>
      </c>
      <c r="C76" s="10">
        <v>2980</v>
      </c>
      <c r="D76" s="10">
        <f t="shared" si="1"/>
        <v>6280</v>
      </c>
    </row>
    <row r="77" spans="1:4" x14ac:dyDescent="0.25">
      <c r="A77" s="8">
        <v>46304</v>
      </c>
      <c r="B77" s="9" t="s">
        <v>92</v>
      </c>
      <c r="C77" s="10">
        <v>-5000</v>
      </c>
      <c r="D77" s="10">
        <f t="shared" si="1"/>
        <v>1280</v>
      </c>
    </row>
    <row r="78" spans="1:4" x14ac:dyDescent="0.25">
      <c r="A78" s="8">
        <v>46065</v>
      </c>
      <c r="B78" s="9" t="s">
        <v>327</v>
      </c>
      <c r="C78" s="10">
        <v>31190</v>
      </c>
      <c r="D78" s="10">
        <f t="shared" si="1"/>
        <v>32470</v>
      </c>
    </row>
    <row r="79" spans="1:4" x14ac:dyDescent="0.25">
      <c r="A79" s="8">
        <v>46066</v>
      </c>
      <c r="B79" s="9" t="s">
        <v>178</v>
      </c>
      <c r="C79" s="10">
        <v>-6000</v>
      </c>
      <c r="D79" s="10">
        <f t="shared" si="1"/>
        <v>26470</v>
      </c>
    </row>
    <row r="80" spans="1:4" x14ac:dyDescent="0.25">
      <c r="A80" s="8">
        <v>46069</v>
      </c>
      <c r="B80" s="9" t="s">
        <v>127</v>
      </c>
      <c r="C80" s="10">
        <v>-25790</v>
      </c>
      <c r="D80" s="10">
        <f t="shared" si="1"/>
        <v>680</v>
      </c>
    </row>
    <row r="81" spans="1:5" x14ac:dyDescent="0.25">
      <c r="A81" s="8">
        <v>46077</v>
      </c>
      <c r="B81" s="9" t="s">
        <v>336</v>
      </c>
      <c r="C81" s="10">
        <v>13570</v>
      </c>
      <c r="D81" s="10">
        <f t="shared" si="1"/>
        <v>14250</v>
      </c>
    </row>
    <row r="82" spans="1:5" x14ac:dyDescent="0.25">
      <c r="A82" s="8">
        <v>46083</v>
      </c>
      <c r="B82" s="9" t="s">
        <v>3</v>
      </c>
      <c r="C82" s="10">
        <v>950</v>
      </c>
      <c r="D82" s="10">
        <f t="shared" si="1"/>
        <v>15200</v>
      </c>
    </row>
    <row r="83" spans="1:5" x14ac:dyDescent="0.25">
      <c r="A83" s="8">
        <v>46083</v>
      </c>
      <c r="B83" s="9" t="s">
        <v>178</v>
      </c>
      <c r="C83" s="10">
        <v>-13000</v>
      </c>
      <c r="D83" s="10">
        <f t="shared" si="1"/>
        <v>2200</v>
      </c>
    </row>
    <row r="84" spans="1:5" x14ac:dyDescent="0.25">
      <c r="A84" s="8">
        <v>46086</v>
      </c>
      <c r="B84" s="9" t="s">
        <v>178</v>
      </c>
      <c r="C84" s="10">
        <v>-2200</v>
      </c>
      <c r="D84" s="10">
        <f t="shared" si="1"/>
        <v>0</v>
      </c>
    </row>
    <row r="85" spans="1:5" x14ac:dyDescent="0.25">
      <c r="A85" s="8">
        <v>46086</v>
      </c>
      <c r="B85" s="9" t="s">
        <v>3</v>
      </c>
      <c r="C85" s="10">
        <v>400</v>
      </c>
      <c r="D85" s="10">
        <f t="shared" si="1"/>
        <v>400</v>
      </c>
    </row>
    <row r="86" spans="1:5" x14ac:dyDescent="0.25">
      <c r="A86" s="8">
        <v>46304</v>
      </c>
      <c r="B86" s="9" t="s">
        <v>3</v>
      </c>
      <c r="C86" s="10">
        <v>1890</v>
      </c>
      <c r="D86" s="10">
        <f t="shared" si="1"/>
        <v>2290</v>
      </c>
    </row>
    <row r="87" spans="1:5" x14ac:dyDescent="0.25">
      <c r="A87" s="8">
        <v>46093</v>
      </c>
      <c r="B87" s="9" t="s">
        <v>357</v>
      </c>
      <c r="C87" s="10">
        <v>260</v>
      </c>
      <c r="D87" s="10">
        <f t="shared" si="1"/>
        <v>2550</v>
      </c>
    </row>
    <row r="88" spans="1:5" x14ac:dyDescent="0.25">
      <c r="A88" s="8">
        <v>46094</v>
      </c>
      <c r="B88" s="9" t="s">
        <v>358</v>
      </c>
      <c r="C88" s="10">
        <v>5163</v>
      </c>
      <c r="D88" s="10">
        <f t="shared" si="1"/>
        <v>7713</v>
      </c>
    </row>
    <row r="89" spans="1:5" x14ac:dyDescent="0.25">
      <c r="A89" s="8">
        <v>46097</v>
      </c>
      <c r="B89" s="9" t="s">
        <v>3</v>
      </c>
      <c r="C89" s="10">
        <v>1630</v>
      </c>
      <c r="D89" s="10">
        <f t="shared" si="1"/>
        <v>9343</v>
      </c>
    </row>
    <row r="90" spans="1:5" x14ac:dyDescent="0.25">
      <c r="A90" s="8">
        <v>46097</v>
      </c>
      <c r="B90" s="9" t="s">
        <v>178</v>
      </c>
      <c r="C90" s="10">
        <v>-5000</v>
      </c>
      <c r="D90" s="10">
        <f t="shared" si="1"/>
        <v>4343</v>
      </c>
    </row>
    <row r="91" spans="1:5" x14ac:dyDescent="0.25">
      <c r="A91" s="8">
        <v>46100</v>
      </c>
      <c r="B91" s="9" t="s">
        <v>3</v>
      </c>
      <c r="C91" s="10">
        <v>7690</v>
      </c>
      <c r="D91" s="10">
        <f t="shared" si="1"/>
        <v>12033</v>
      </c>
    </row>
    <row r="92" spans="1:5" x14ac:dyDescent="0.25">
      <c r="A92" s="8">
        <v>46100</v>
      </c>
      <c r="B92" s="9" t="s">
        <v>3</v>
      </c>
      <c r="C92" s="10">
        <v>10370</v>
      </c>
      <c r="D92" s="10">
        <f t="shared" si="1"/>
        <v>22403</v>
      </c>
    </row>
    <row r="93" spans="1:5" x14ac:dyDescent="0.25">
      <c r="A93" s="8">
        <v>46104</v>
      </c>
      <c r="B93" s="9" t="s">
        <v>3</v>
      </c>
      <c r="C93" s="10">
        <v>1640</v>
      </c>
      <c r="D93" s="10">
        <f t="shared" si="1"/>
        <v>24043</v>
      </c>
    </row>
    <row r="94" spans="1:5" x14ac:dyDescent="0.25">
      <c r="A94" s="8">
        <v>46104</v>
      </c>
      <c r="B94" s="9" t="s">
        <v>127</v>
      </c>
      <c r="C94" s="10">
        <v>-20000</v>
      </c>
      <c r="D94" s="10">
        <f t="shared" si="1"/>
        <v>4043</v>
      </c>
    </row>
    <row r="95" spans="1:5" x14ac:dyDescent="0.25">
      <c r="A95" s="8">
        <v>46107</v>
      </c>
      <c r="B95" s="9" t="s">
        <v>3</v>
      </c>
      <c r="C95" s="10">
        <v>2461</v>
      </c>
      <c r="D95" s="10">
        <f t="shared" si="1"/>
        <v>6504</v>
      </c>
      <c r="E95" t="s">
        <v>376</v>
      </c>
    </row>
    <row r="96" spans="1:5" x14ac:dyDescent="0.25">
      <c r="A96" s="8">
        <v>46107</v>
      </c>
      <c r="B96" s="9" t="s">
        <v>3</v>
      </c>
      <c r="C96" s="10">
        <v>10820</v>
      </c>
      <c r="D96" s="10">
        <f t="shared" ref="D96:D157" si="2">D95+C96</f>
        <v>17324</v>
      </c>
    </row>
    <row r="97" spans="1:4" x14ac:dyDescent="0.25">
      <c r="A97" s="8">
        <v>46111</v>
      </c>
      <c r="B97" s="9" t="s">
        <v>178</v>
      </c>
      <c r="C97" s="10">
        <v>-5980</v>
      </c>
      <c r="D97" s="10">
        <f t="shared" si="2"/>
        <v>11344</v>
      </c>
    </row>
    <row r="98" spans="1:4" x14ac:dyDescent="0.25">
      <c r="A98" s="8">
        <v>46118</v>
      </c>
      <c r="B98" s="9" t="s">
        <v>3</v>
      </c>
      <c r="C98" s="10">
        <v>1710</v>
      </c>
      <c r="D98" s="10">
        <f t="shared" si="2"/>
        <v>13054</v>
      </c>
    </row>
    <row r="99" spans="1:4" x14ac:dyDescent="0.25">
      <c r="A99" s="8">
        <v>46118</v>
      </c>
      <c r="B99" s="9" t="s">
        <v>127</v>
      </c>
      <c r="C99" s="10">
        <v>-11000</v>
      </c>
      <c r="D99" s="10">
        <f t="shared" si="2"/>
        <v>2054</v>
      </c>
    </row>
    <row r="100" spans="1:4" x14ac:dyDescent="0.25">
      <c r="A100" s="8">
        <v>46121</v>
      </c>
      <c r="B100" s="9" t="s">
        <v>327</v>
      </c>
      <c r="C100" s="10">
        <v>2070</v>
      </c>
      <c r="D100" s="10">
        <f t="shared" si="2"/>
        <v>4124</v>
      </c>
    </row>
    <row r="101" spans="1:4" x14ac:dyDescent="0.25">
      <c r="A101" s="8">
        <v>46125</v>
      </c>
      <c r="B101" s="9" t="s">
        <v>3</v>
      </c>
      <c r="C101" s="10">
        <v>530</v>
      </c>
      <c r="D101" s="10">
        <f t="shared" si="2"/>
        <v>4654</v>
      </c>
    </row>
    <row r="102" spans="1:4" x14ac:dyDescent="0.25">
      <c r="A102" s="8">
        <v>46128</v>
      </c>
      <c r="B102" s="9" t="s">
        <v>3</v>
      </c>
      <c r="C102" s="10">
        <v>900</v>
      </c>
      <c r="D102" s="10">
        <f t="shared" si="2"/>
        <v>5554</v>
      </c>
    </row>
    <row r="103" spans="1:4" x14ac:dyDescent="0.25">
      <c r="A103" s="8">
        <v>46132</v>
      </c>
      <c r="B103" s="9" t="s">
        <v>3</v>
      </c>
      <c r="C103" s="10">
        <v>1950</v>
      </c>
      <c r="D103" s="10">
        <f t="shared" si="2"/>
        <v>7504</v>
      </c>
    </row>
    <row r="104" spans="1:4" x14ac:dyDescent="0.25">
      <c r="A104" s="8">
        <v>46139</v>
      </c>
      <c r="B104" s="9" t="s">
        <v>3</v>
      </c>
      <c r="C104" s="10">
        <v>1380</v>
      </c>
      <c r="D104" s="10">
        <f t="shared" si="2"/>
        <v>8884</v>
      </c>
    </row>
    <row r="105" spans="1:4" x14ac:dyDescent="0.25">
      <c r="A105" s="8">
        <v>46149</v>
      </c>
      <c r="B105" s="9" t="s">
        <v>416</v>
      </c>
      <c r="C105" s="10">
        <v>28770</v>
      </c>
      <c r="D105" s="10">
        <f t="shared" si="2"/>
        <v>37654</v>
      </c>
    </row>
    <row r="106" spans="1:4" x14ac:dyDescent="0.25">
      <c r="A106" s="8">
        <v>46156</v>
      </c>
      <c r="B106" s="9" t="s">
        <v>127</v>
      </c>
      <c r="C106" s="10">
        <v>-30000</v>
      </c>
      <c r="D106" s="10">
        <f t="shared" si="2"/>
        <v>7654</v>
      </c>
    </row>
    <row r="107" spans="1:4" x14ac:dyDescent="0.25">
      <c r="A107" s="8">
        <v>46156</v>
      </c>
      <c r="B107" s="9" t="s">
        <v>178</v>
      </c>
      <c r="C107" s="10">
        <v>-5000</v>
      </c>
      <c r="D107" s="10">
        <f t="shared" si="2"/>
        <v>2654</v>
      </c>
    </row>
    <row r="108" spans="1:4" x14ac:dyDescent="0.25">
      <c r="A108" s="8">
        <v>46159</v>
      </c>
      <c r="B108" s="9" t="s">
        <v>429</v>
      </c>
      <c r="C108" s="10">
        <v>4010</v>
      </c>
      <c r="D108" s="10">
        <f t="shared" si="2"/>
        <v>6664</v>
      </c>
    </row>
    <row r="109" spans="1:4" x14ac:dyDescent="0.25">
      <c r="A109" s="8">
        <v>46163</v>
      </c>
      <c r="B109" s="9" t="s">
        <v>3</v>
      </c>
      <c r="C109" s="10">
        <v>650</v>
      </c>
      <c r="D109" s="10">
        <f t="shared" si="2"/>
        <v>7314</v>
      </c>
    </row>
    <row r="110" spans="1:4" ht="14.25" customHeight="1" x14ac:dyDescent="0.25">
      <c r="A110" s="8">
        <v>46164</v>
      </c>
      <c r="B110" s="9" t="s">
        <v>129</v>
      </c>
      <c r="C110" s="10">
        <v>2240</v>
      </c>
      <c r="D110" s="10">
        <f t="shared" si="2"/>
        <v>9554</v>
      </c>
    </row>
    <row r="111" spans="1:4" x14ac:dyDescent="0.25">
      <c r="A111" s="8">
        <v>46170</v>
      </c>
      <c r="B111" s="9" t="s">
        <v>444</v>
      </c>
      <c r="C111" s="10">
        <v>2182.25</v>
      </c>
      <c r="D111" s="10">
        <f t="shared" si="2"/>
        <v>11736.25</v>
      </c>
    </row>
    <row r="112" spans="1:4" x14ac:dyDescent="0.25">
      <c r="A112" s="8">
        <v>46170</v>
      </c>
      <c r="B112" s="9" t="s">
        <v>327</v>
      </c>
      <c r="C112" s="10">
        <v>9390</v>
      </c>
      <c r="D112" s="10">
        <f t="shared" si="2"/>
        <v>21126.25</v>
      </c>
    </row>
    <row r="113" spans="1:6" x14ac:dyDescent="0.25">
      <c r="A113" s="8">
        <v>46175</v>
      </c>
      <c r="B113" s="9" t="s">
        <v>178</v>
      </c>
      <c r="C113" s="10">
        <v>-17180</v>
      </c>
      <c r="D113" s="10">
        <f t="shared" si="2"/>
        <v>3946.25</v>
      </c>
    </row>
    <row r="114" spans="1:6" x14ac:dyDescent="0.25">
      <c r="A114" s="8">
        <v>46177</v>
      </c>
      <c r="B114" s="9" t="s">
        <v>3</v>
      </c>
      <c r="C114" s="10">
        <v>5370</v>
      </c>
      <c r="D114" s="10">
        <f t="shared" si="2"/>
        <v>9316.25</v>
      </c>
    </row>
    <row r="115" spans="1:6" x14ac:dyDescent="0.25">
      <c r="A115" s="8">
        <v>46177</v>
      </c>
      <c r="B115" s="9" t="s">
        <v>451</v>
      </c>
      <c r="C115" s="10">
        <v>3573</v>
      </c>
      <c r="D115" s="10">
        <f t="shared" si="2"/>
        <v>12889.25</v>
      </c>
    </row>
    <row r="116" spans="1:6" x14ac:dyDescent="0.25">
      <c r="A116" s="8">
        <v>46184</v>
      </c>
      <c r="B116" s="9" t="s">
        <v>3</v>
      </c>
      <c r="C116" s="10">
        <v>1070</v>
      </c>
      <c r="D116" s="10">
        <f t="shared" si="2"/>
        <v>13959.25</v>
      </c>
    </row>
    <row r="117" spans="1:6" x14ac:dyDescent="0.25">
      <c r="A117" s="8">
        <v>46184</v>
      </c>
      <c r="B117" s="9" t="s">
        <v>461</v>
      </c>
      <c r="C117" s="10">
        <v>3251</v>
      </c>
      <c r="D117" s="10">
        <f t="shared" si="2"/>
        <v>17210.25</v>
      </c>
    </row>
    <row r="118" spans="1:6" x14ac:dyDescent="0.25">
      <c r="A118" s="8">
        <v>46188</v>
      </c>
      <c r="B118" s="9" t="s">
        <v>3</v>
      </c>
      <c r="C118" s="10">
        <v>1000</v>
      </c>
      <c r="D118" s="10">
        <f t="shared" si="2"/>
        <v>18210.25</v>
      </c>
    </row>
    <row r="119" spans="1:6" x14ac:dyDescent="0.25">
      <c r="A119" s="8">
        <v>46191</v>
      </c>
      <c r="B119" s="9" t="s">
        <v>467</v>
      </c>
      <c r="C119" s="10">
        <v>3515.5</v>
      </c>
      <c r="D119" s="10">
        <f t="shared" si="2"/>
        <v>21725.75</v>
      </c>
    </row>
    <row r="120" spans="1:6" x14ac:dyDescent="0.25">
      <c r="A120" s="8">
        <v>46191</v>
      </c>
      <c r="B120" s="9" t="s">
        <v>178</v>
      </c>
      <c r="C120" s="10">
        <v>-6824</v>
      </c>
      <c r="D120" s="10">
        <f t="shared" si="2"/>
        <v>14901.75</v>
      </c>
    </row>
    <row r="121" spans="1:6" x14ac:dyDescent="0.25">
      <c r="A121" s="8">
        <v>46195</v>
      </c>
      <c r="B121" s="9" t="s">
        <v>3</v>
      </c>
      <c r="C121" s="10">
        <v>1630</v>
      </c>
      <c r="D121" s="10">
        <f t="shared" si="2"/>
        <v>16531.75</v>
      </c>
    </row>
    <row r="122" spans="1:6" x14ac:dyDescent="0.25">
      <c r="A122" s="8">
        <v>46198</v>
      </c>
      <c r="B122" s="9" t="s">
        <v>3</v>
      </c>
      <c r="C122" s="10">
        <v>400</v>
      </c>
      <c r="D122" s="10">
        <f t="shared" si="2"/>
        <v>16931.75</v>
      </c>
    </row>
    <row r="123" spans="1:6" x14ac:dyDescent="0.25">
      <c r="A123" s="8">
        <v>46198</v>
      </c>
      <c r="B123" s="9" t="s">
        <v>3</v>
      </c>
      <c r="C123" s="10">
        <v>3709.5</v>
      </c>
      <c r="D123" s="10">
        <f t="shared" si="2"/>
        <v>20641.25</v>
      </c>
    </row>
    <row r="124" spans="1:6" x14ac:dyDescent="0.25">
      <c r="A124" s="8">
        <v>46204</v>
      </c>
      <c r="B124" s="9" t="s">
        <v>127</v>
      </c>
      <c r="C124" s="10">
        <v>-5000</v>
      </c>
      <c r="D124" s="10">
        <f t="shared" si="2"/>
        <v>15641.25</v>
      </c>
    </row>
    <row r="125" spans="1:6" x14ac:dyDescent="0.25">
      <c r="A125" s="8">
        <v>46205</v>
      </c>
      <c r="B125" s="9" t="s">
        <v>178</v>
      </c>
      <c r="C125" s="10">
        <v>-15000</v>
      </c>
      <c r="D125" s="10">
        <f t="shared" si="2"/>
        <v>641.25</v>
      </c>
    </row>
    <row r="126" spans="1:6" x14ac:dyDescent="0.25">
      <c r="A126" s="8">
        <v>46209</v>
      </c>
      <c r="B126" s="9" t="s">
        <v>3</v>
      </c>
      <c r="C126" s="10">
        <f>700+140+240+1050+340+350+170+300</f>
        <v>3290</v>
      </c>
      <c r="D126" s="10">
        <f t="shared" si="2"/>
        <v>3931.25</v>
      </c>
      <c r="F126" s="6"/>
    </row>
    <row r="127" spans="1:6" x14ac:dyDescent="0.25">
      <c r="A127" s="8">
        <v>46212</v>
      </c>
      <c r="B127" s="9" t="s">
        <v>501</v>
      </c>
      <c r="C127" s="10">
        <v>3182.5</v>
      </c>
      <c r="D127" s="10">
        <f t="shared" si="2"/>
        <v>7113.75</v>
      </c>
      <c r="F127" s="6"/>
    </row>
    <row r="128" spans="1:6" x14ac:dyDescent="0.25">
      <c r="A128" s="8">
        <v>46212</v>
      </c>
      <c r="B128" s="9" t="s">
        <v>3</v>
      </c>
      <c r="C128" s="10">
        <v>4850</v>
      </c>
      <c r="D128" s="10">
        <f t="shared" si="2"/>
        <v>11963.75</v>
      </c>
    </row>
    <row r="129" spans="1:4" x14ac:dyDescent="0.25">
      <c r="A129" s="8">
        <v>46216</v>
      </c>
      <c r="B129" s="9" t="s">
        <v>3</v>
      </c>
      <c r="C129" s="10">
        <v>1150</v>
      </c>
      <c r="D129" s="10">
        <f t="shared" si="2"/>
        <v>13113.75</v>
      </c>
    </row>
    <row r="130" spans="1:4" x14ac:dyDescent="0.25">
      <c r="A130" s="8">
        <v>46219</v>
      </c>
      <c r="B130" s="9" t="s">
        <v>3</v>
      </c>
      <c r="C130" s="10">
        <v>3570</v>
      </c>
      <c r="D130" s="10">
        <f t="shared" si="2"/>
        <v>16683.75</v>
      </c>
    </row>
    <row r="131" spans="1:4" x14ac:dyDescent="0.25">
      <c r="A131" s="8">
        <v>46219</v>
      </c>
      <c r="B131" s="9" t="s">
        <v>510</v>
      </c>
      <c r="C131" s="10">
        <v>6540</v>
      </c>
      <c r="D131" s="10">
        <f t="shared" si="2"/>
        <v>23223.75</v>
      </c>
    </row>
    <row r="132" spans="1:4" x14ac:dyDescent="0.25">
      <c r="A132" s="8">
        <v>46219</v>
      </c>
      <c r="B132" s="9" t="s">
        <v>178</v>
      </c>
      <c r="C132" s="10">
        <v>-10723</v>
      </c>
      <c r="D132" s="10">
        <f t="shared" si="2"/>
        <v>12500.75</v>
      </c>
    </row>
    <row r="133" spans="1:4" x14ac:dyDescent="0.25">
      <c r="A133" s="8">
        <v>46226</v>
      </c>
      <c r="B133" s="9" t="s">
        <v>522</v>
      </c>
      <c r="C133" s="10">
        <v>4493</v>
      </c>
      <c r="D133" s="10">
        <f t="shared" si="2"/>
        <v>16993.75</v>
      </c>
    </row>
    <row r="134" spans="1:4" x14ac:dyDescent="0.25">
      <c r="A134" s="8">
        <v>46226</v>
      </c>
      <c r="B134" s="9" t="s">
        <v>523</v>
      </c>
      <c r="C134" s="10">
        <v>5570</v>
      </c>
      <c r="D134" s="10">
        <f t="shared" si="2"/>
        <v>22563.75</v>
      </c>
    </row>
    <row r="135" spans="1:4" x14ac:dyDescent="0.25">
      <c r="A135" s="8">
        <v>46233</v>
      </c>
      <c r="B135" s="9" t="s">
        <v>3</v>
      </c>
      <c r="C135" s="10">
        <v>930</v>
      </c>
      <c r="D135" s="10">
        <f t="shared" si="2"/>
        <v>23493.75</v>
      </c>
    </row>
    <row r="136" spans="1:4" x14ac:dyDescent="0.25">
      <c r="A136" s="8">
        <v>46237</v>
      </c>
      <c r="B136" s="9" t="s">
        <v>178</v>
      </c>
      <c r="C136" s="10">
        <v>-4493</v>
      </c>
      <c r="D136" s="10">
        <f t="shared" si="2"/>
        <v>19000.75</v>
      </c>
    </row>
    <row r="137" spans="1:4" x14ac:dyDescent="0.25">
      <c r="A137" s="8">
        <v>46240</v>
      </c>
      <c r="B137" s="9" t="s">
        <v>127</v>
      </c>
      <c r="C137" s="10">
        <v>-5900</v>
      </c>
      <c r="D137" s="10">
        <f t="shared" si="2"/>
        <v>13100.75</v>
      </c>
    </row>
    <row r="138" spans="1:4" x14ac:dyDescent="0.25">
      <c r="A138" s="8">
        <v>46240</v>
      </c>
      <c r="B138" s="9" t="s">
        <v>178</v>
      </c>
      <c r="C138" s="10">
        <v>-5000</v>
      </c>
      <c r="D138" s="10">
        <f t="shared" si="2"/>
        <v>8100.75</v>
      </c>
    </row>
    <row r="139" spans="1:4" x14ac:dyDescent="0.25">
      <c r="A139" s="8">
        <v>46247</v>
      </c>
      <c r="B139" s="9" t="s">
        <v>552</v>
      </c>
      <c r="C139" s="10">
        <v>17097</v>
      </c>
      <c r="D139" s="10">
        <f t="shared" si="2"/>
        <v>25197.75</v>
      </c>
    </row>
    <row r="140" spans="1:4" x14ac:dyDescent="0.25">
      <c r="A140" s="8">
        <v>46247</v>
      </c>
      <c r="B140" s="9" t="s">
        <v>553</v>
      </c>
      <c r="C140" s="10">
        <v>-18477</v>
      </c>
      <c r="D140" s="10">
        <f t="shared" si="2"/>
        <v>6720.75</v>
      </c>
    </row>
    <row r="141" spans="1:4" x14ac:dyDescent="0.25">
      <c r="A141" s="8">
        <v>46254</v>
      </c>
      <c r="B141" s="9" t="s">
        <v>556</v>
      </c>
      <c r="C141" s="10">
        <v>7790</v>
      </c>
      <c r="D141" s="10">
        <f t="shared" si="2"/>
        <v>14510.75</v>
      </c>
    </row>
    <row r="142" spans="1:4" x14ac:dyDescent="0.25">
      <c r="A142" s="8">
        <v>46261</v>
      </c>
      <c r="B142" s="9" t="s">
        <v>567</v>
      </c>
      <c r="C142" s="10">
        <v>13083.5</v>
      </c>
      <c r="D142" s="10">
        <f t="shared" si="2"/>
        <v>27594.25</v>
      </c>
    </row>
    <row r="143" spans="1:4" x14ac:dyDescent="0.25">
      <c r="A143" s="8">
        <v>46261</v>
      </c>
      <c r="B143" s="9" t="s">
        <v>568</v>
      </c>
      <c r="C143" s="10">
        <v>-15000</v>
      </c>
      <c r="D143" s="10">
        <f t="shared" si="2"/>
        <v>12594.25</v>
      </c>
    </row>
    <row r="144" spans="1:4" x14ac:dyDescent="0.25">
      <c r="A144" s="8">
        <v>46261</v>
      </c>
      <c r="B144" s="9" t="s">
        <v>178</v>
      </c>
      <c r="C144" s="10">
        <v>-2000</v>
      </c>
      <c r="D144" s="10">
        <f t="shared" si="2"/>
        <v>10594.25</v>
      </c>
    </row>
    <row r="145" spans="1:4" x14ac:dyDescent="0.25">
      <c r="A145" s="8">
        <v>46265</v>
      </c>
      <c r="B145" s="9" t="s">
        <v>3</v>
      </c>
      <c r="C145" s="10">
        <v>1140</v>
      </c>
      <c r="D145" s="10">
        <f t="shared" si="2"/>
        <v>11734.25</v>
      </c>
    </row>
    <row r="146" spans="1:4" x14ac:dyDescent="0.25">
      <c r="A146" s="8">
        <v>46268</v>
      </c>
      <c r="B146" s="9" t="s">
        <v>3</v>
      </c>
      <c r="C146" s="10">
        <v>780</v>
      </c>
      <c r="D146" s="10">
        <f t="shared" si="2"/>
        <v>12514.25</v>
      </c>
    </row>
    <row r="147" spans="1:4" x14ac:dyDescent="0.25">
      <c r="A147" s="8">
        <v>46272</v>
      </c>
      <c r="B147" s="9" t="s">
        <v>3</v>
      </c>
      <c r="C147" s="10">
        <v>1720</v>
      </c>
      <c r="D147" s="10">
        <f t="shared" si="2"/>
        <v>14234.25</v>
      </c>
    </row>
    <row r="148" spans="1:4" x14ac:dyDescent="0.25">
      <c r="A148" s="8">
        <v>46275</v>
      </c>
      <c r="B148" s="9" t="s">
        <v>3</v>
      </c>
      <c r="C148" s="10">
        <v>1490</v>
      </c>
      <c r="D148" s="10">
        <f t="shared" si="2"/>
        <v>15724.25</v>
      </c>
    </row>
    <row r="149" spans="1:4" x14ac:dyDescent="0.25">
      <c r="A149" s="8">
        <v>46296</v>
      </c>
      <c r="B149" s="9" t="s">
        <v>609</v>
      </c>
      <c r="C149" s="10">
        <v>-16293</v>
      </c>
      <c r="D149" s="10">
        <f t="shared" si="2"/>
        <v>-568.75</v>
      </c>
    </row>
    <row r="150" spans="1:4" x14ac:dyDescent="0.25">
      <c r="A150" s="8">
        <v>46297</v>
      </c>
      <c r="B150" s="9" t="s">
        <v>616</v>
      </c>
      <c r="C150" s="10">
        <v>7820</v>
      </c>
      <c r="D150" s="10">
        <f t="shared" si="2"/>
        <v>7251.25</v>
      </c>
    </row>
    <row r="151" spans="1:4" x14ac:dyDescent="0.25">
      <c r="A151" s="8">
        <v>46300</v>
      </c>
      <c r="B151" s="9" t="s">
        <v>589</v>
      </c>
      <c r="C151" s="10">
        <v>2240</v>
      </c>
      <c r="D151" s="10">
        <f t="shared" si="2"/>
        <v>9491.25</v>
      </c>
    </row>
    <row r="152" spans="1:4" x14ac:dyDescent="0.25">
      <c r="A152" s="9"/>
      <c r="B152" s="9"/>
      <c r="C152" s="10"/>
      <c r="D152" s="10">
        <f t="shared" si="2"/>
        <v>9491.25</v>
      </c>
    </row>
    <row r="153" spans="1:4" x14ac:dyDescent="0.25">
      <c r="A153" s="9"/>
      <c r="B153" s="9"/>
      <c r="C153" s="10"/>
      <c r="D153" s="10">
        <f t="shared" si="2"/>
        <v>9491.25</v>
      </c>
    </row>
    <row r="154" spans="1:4" x14ac:dyDescent="0.25">
      <c r="A154" s="9"/>
      <c r="B154" s="9"/>
      <c r="C154" s="10"/>
      <c r="D154" s="10">
        <f t="shared" si="2"/>
        <v>9491.25</v>
      </c>
    </row>
    <row r="155" spans="1:4" x14ac:dyDescent="0.25">
      <c r="A155" s="9"/>
      <c r="B155" s="9"/>
      <c r="C155" s="10"/>
      <c r="D155" s="10">
        <f t="shared" si="2"/>
        <v>9491.25</v>
      </c>
    </row>
    <row r="156" spans="1:4" x14ac:dyDescent="0.25">
      <c r="A156" s="9"/>
      <c r="B156" s="9"/>
      <c r="C156" s="10"/>
      <c r="D156" s="10">
        <f t="shared" si="2"/>
        <v>9491.25</v>
      </c>
    </row>
    <row r="157" spans="1:4" x14ac:dyDescent="0.25">
      <c r="A157" s="9"/>
      <c r="B157" s="9"/>
      <c r="C157" s="10"/>
      <c r="D157" s="10">
        <f t="shared" si="2"/>
        <v>9491.25</v>
      </c>
    </row>
    <row r="158" spans="1:4" x14ac:dyDescent="0.25">
      <c r="A158" s="9"/>
      <c r="B158" s="9"/>
      <c r="C158" s="10"/>
      <c r="D158" s="10"/>
    </row>
    <row r="159" spans="1:4" x14ac:dyDescent="0.25">
      <c r="A159" s="9"/>
      <c r="B159" s="9"/>
      <c r="C159" s="10"/>
      <c r="D159" s="10"/>
    </row>
    <row r="160" spans="1:4" x14ac:dyDescent="0.25">
      <c r="A160" s="9"/>
      <c r="B160" s="9"/>
      <c r="C160" s="10"/>
      <c r="D160" s="10"/>
    </row>
    <row r="161" spans="1:4" x14ac:dyDescent="0.25">
      <c r="A161" s="9"/>
      <c r="B161" s="9"/>
      <c r="C161" s="10"/>
      <c r="D161" s="10"/>
    </row>
    <row r="162" spans="1:4" x14ac:dyDescent="0.25">
      <c r="A162" s="9"/>
      <c r="B162" s="9"/>
      <c r="C162" s="10"/>
      <c r="D162" s="10"/>
    </row>
    <row r="163" spans="1:4" x14ac:dyDescent="0.25">
      <c r="A163" s="9"/>
      <c r="B163" s="9"/>
      <c r="C163" s="10"/>
      <c r="D163" s="10"/>
    </row>
    <row r="164" spans="1:4" x14ac:dyDescent="0.25">
      <c r="A164" s="9"/>
      <c r="B164" s="9"/>
      <c r="C164" s="10"/>
      <c r="D164" s="10"/>
    </row>
    <row r="165" spans="1:4" x14ac:dyDescent="0.25">
      <c r="A165" s="9"/>
      <c r="B165" s="9"/>
      <c r="C165" s="10"/>
      <c r="D165" s="10"/>
    </row>
    <row r="166" spans="1:4" x14ac:dyDescent="0.25">
      <c r="A166" s="9"/>
      <c r="B166" s="9"/>
      <c r="C166" s="10"/>
      <c r="D166" s="10"/>
    </row>
    <row r="167" spans="1:4" x14ac:dyDescent="0.25">
      <c r="A167" s="9"/>
      <c r="B167" s="9"/>
      <c r="C167" s="10"/>
      <c r="D167" s="10"/>
    </row>
    <row r="168" spans="1:4" x14ac:dyDescent="0.25">
      <c r="A168" s="9"/>
      <c r="B168" s="9"/>
      <c r="C168" s="10"/>
      <c r="D168" s="10"/>
    </row>
    <row r="169" spans="1:4" x14ac:dyDescent="0.25">
      <c r="A169" s="9"/>
      <c r="B169" s="9"/>
      <c r="C169" s="10"/>
      <c r="D169" s="10"/>
    </row>
    <row r="170" spans="1:4" x14ac:dyDescent="0.25">
      <c r="A170" s="9"/>
      <c r="B170" s="9"/>
      <c r="C170" s="10"/>
      <c r="D170" s="10"/>
    </row>
    <row r="171" spans="1:4" x14ac:dyDescent="0.25">
      <c r="A171" s="9"/>
      <c r="B171" s="9"/>
      <c r="C171" s="10"/>
      <c r="D171" s="10"/>
    </row>
    <row r="172" spans="1:4" x14ac:dyDescent="0.25">
      <c r="A172" s="9"/>
      <c r="B172" s="9"/>
      <c r="C172" s="10"/>
      <c r="D172" s="10"/>
    </row>
    <row r="173" spans="1:4" x14ac:dyDescent="0.25">
      <c r="A173" s="9"/>
      <c r="B173" s="9"/>
      <c r="C173" s="10"/>
      <c r="D173" s="10"/>
    </row>
    <row r="174" spans="1:4" x14ac:dyDescent="0.25">
      <c r="A174" s="9"/>
      <c r="B174" s="9"/>
      <c r="C174" s="10"/>
      <c r="D174" s="10"/>
    </row>
    <row r="175" spans="1:4" x14ac:dyDescent="0.25">
      <c r="A175" s="9"/>
      <c r="B175" s="9"/>
      <c r="C175" s="10"/>
      <c r="D175" s="10"/>
    </row>
    <row r="176" spans="1:4" x14ac:dyDescent="0.25">
      <c r="A176" s="9"/>
      <c r="B176" s="9"/>
      <c r="C176" s="10"/>
      <c r="D176" s="10"/>
    </row>
    <row r="177" spans="1:4" x14ac:dyDescent="0.25">
      <c r="A177" s="9"/>
      <c r="B177" s="9"/>
      <c r="C177" s="10"/>
      <c r="D177" s="10"/>
    </row>
    <row r="178" spans="1:4" x14ac:dyDescent="0.25">
      <c r="A178" s="9"/>
      <c r="B178" s="9"/>
      <c r="C178" s="10"/>
      <c r="D178" s="10"/>
    </row>
    <row r="179" spans="1:4" x14ac:dyDescent="0.25">
      <c r="A179" s="9"/>
      <c r="B179" s="9"/>
      <c r="C179" s="10"/>
      <c r="D179" s="10"/>
    </row>
    <row r="180" spans="1:4" x14ac:dyDescent="0.25">
      <c r="A180" s="9"/>
      <c r="B180" s="9"/>
      <c r="C180" s="10"/>
      <c r="D180" s="10"/>
    </row>
    <row r="181" spans="1:4" x14ac:dyDescent="0.25">
      <c r="A181" s="9"/>
      <c r="B181" s="9"/>
      <c r="C181" s="10"/>
      <c r="D181" s="10"/>
    </row>
    <row r="182" spans="1:4" x14ac:dyDescent="0.25">
      <c r="A182" s="9"/>
      <c r="B182" s="9"/>
      <c r="C182" s="10"/>
      <c r="D182" s="10"/>
    </row>
    <row r="183" spans="1:4" x14ac:dyDescent="0.25">
      <c r="A183" s="9"/>
      <c r="B183" s="9"/>
      <c r="C183" s="10"/>
      <c r="D183" s="10"/>
    </row>
    <row r="184" spans="1:4" x14ac:dyDescent="0.25">
      <c r="A184" s="9"/>
      <c r="B184" s="9"/>
      <c r="C184" s="10"/>
      <c r="D184" s="10"/>
    </row>
    <row r="185" spans="1:4" x14ac:dyDescent="0.25">
      <c r="A185" s="9"/>
      <c r="B185" s="9"/>
      <c r="C185" s="10"/>
      <c r="D185" s="10"/>
    </row>
    <row r="186" spans="1:4" x14ac:dyDescent="0.25">
      <c r="A186" s="9"/>
      <c r="B186" s="9"/>
      <c r="C186" s="10"/>
      <c r="D186" s="10"/>
    </row>
    <row r="187" spans="1:4" x14ac:dyDescent="0.25">
      <c r="A187" s="9"/>
      <c r="B187" s="9"/>
      <c r="C187" s="10"/>
      <c r="D187" s="10"/>
    </row>
  </sheetData>
  <mergeCells count="2">
    <mergeCell ref="A4:D4"/>
    <mergeCell ref="B6:D6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5F3D5-2B11-4B3C-BE8E-ED4E01518997}">
  <dimension ref="A4:G180"/>
  <sheetViews>
    <sheetView topLeftCell="A48" workbookViewId="0">
      <selection activeCell="B76" sqref="B76"/>
    </sheetView>
  </sheetViews>
  <sheetFormatPr baseColWidth="10" defaultRowHeight="15" x14ac:dyDescent="0.25"/>
  <cols>
    <col min="1" max="1" width="28.28515625" customWidth="1"/>
    <col min="2" max="2" width="27.140625" customWidth="1"/>
    <col min="3" max="3" width="23.42578125" style="6" customWidth="1"/>
    <col min="4" max="4" width="21.85546875" style="6" customWidth="1"/>
  </cols>
  <sheetData>
    <row r="4" spans="1:7" ht="18" x14ac:dyDescent="0.25">
      <c r="A4" s="98" t="s">
        <v>0</v>
      </c>
      <c r="B4" s="98"/>
      <c r="C4" s="98"/>
      <c r="D4" s="98"/>
      <c r="E4" s="1"/>
      <c r="F4" s="1"/>
      <c r="G4" s="1"/>
    </row>
    <row r="6" spans="1:7" x14ac:dyDescent="0.25">
      <c r="A6" s="2" t="s">
        <v>1</v>
      </c>
      <c r="B6" s="96" t="s">
        <v>41</v>
      </c>
      <c r="C6" s="97"/>
      <c r="D6" s="97"/>
    </row>
    <row r="7" spans="1:7" x14ac:dyDescent="0.25">
      <c r="A7" s="3" t="s">
        <v>11</v>
      </c>
      <c r="B7" s="4" t="s">
        <v>27</v>
      </c>
      <c r="C7" s="4"/>
      <c r="D7" s="4"/>
    </row>
    <row r="8" spans="1:7" x14ac:dyDescent="0.25">
      <c r="B8" s="5"/>
    </row>
    <row r="9" spans="1:7" x14ac:dyDescent="0.25">
      <c r="A9" s="2" t="s">
        <v>2</v>
      </c>
      <c r="B9" s="2" t="s">
        <v>3</v>
      </c>
      <c r="C9" s="7" t="s">
        <v>4</v>
      </c>
      <c r="D9" s="7" t="s">
        <v>5</v>
      </c>
    </row>
    <row r="10" spans="1:7" x14ac:dyDescent="0.25">
      <c r="A10" s="8">
        <v>45838</v>
      </c>
      <c r="B10" s="9" t="s">
        <v>6</v>
      </c>
      <c r="C10" s="10">
        <v>890</v>
      </c>
      <c r="D10" s="10">
        <f>C10</f>
        <v>890</v>
      </c>
    </row>
    <row r="11" spans="1:7" x14ac:dyDescent="0.25">
      <c r="A11" s="8">
        <v>45839</v>
      </c>
      <c r="B11" s="9" t="s">
        <v>66</v>
      </c>
      <c r="C11" s="10">
        <v>-890</v>
      </c>
      <c r="D11" s="10">
        <f>D10+C11</f>
        <v>0</v>
      </c>
    </row>
    <row r="12" spans="1:7" x14ac:dyDescent="0.25">
      <c r="A12" s="8">
        <v>45848</v>
      </c>
      <c r="B12" s="9" t="s">
        <v>6</v>
      </c>
      <c r="C12" s="10">
        <v>1685</v>
      </c>
      <c r="D12" s="10">
        <f t="shared" ref="D12:D75" si="0">D11+C12</f>
        <v>1685</v>
      </c>
    </row>
    <row r="13" spans="1:7" x14ac:dyDescent="0.25">
      <c r="A13" s="8">
        <v>45849</v>
      </c>
      <c r="B13" s="9" t="s">
        <v>7</v>
      </c>
      <c r="C13" s="10">
        <v>-1685</v>
      </c>
      <c r="D13" s="10">
        <f t="shared" si="0"/>
        <v>0</v>
      </c>
    </row>
    <row r="14" spans="1:7" x14ac:dyDescent="0.25">
      <c r="A14" s="8">
        <v>45855</v>
      </c>
      <c r="B14" s="9" t="s">
        <v>6</v>
      </c>
      <c r="C14" s="10">
        <v>640</v>
      </c>
      <c r="D14" s="10">
        <f t="shared" si="0"/>
        <v>640</v>
      </c>
    </row>
    <row r="15" spans="1:7" x14ac:dyDescent="0.25">
      <c r="A15" s="8">
        <v>45856</v>
      </c>
      <c r="B15" s="9" t="s">
        <v>7</v>
      </c>
      <c r="C15" s="10">
        <v>-640</v>
      </c>
      <c r="D15" s="11">
        <f t="shared" si="0"/>
        <v>0</v>
      </c>
    </row>
    <row r="16" spans="1:7" x14ac:dyDescent="0.25">
      <c r="A16" s="8">
        <v>45873</v>
      </c>
      <c r="B16" s="9" t="s">
        <v>6</v>
      </c>
      <c r="C16" s="10">
        <v>1500</v>
      </c>
      <c r="D16" s="10">
        <f t="shared" si="0"/>
        <v>1500</v>
      </c>
    </row>
    <row r="17" spans="1:4" x14ac:dyDescent="0.25">
      <c r="A17" s="8">
        <v>45874</v>
      </c>
      <c r="B17" s="9" t="s">
        <v>64</v>
      </c>
      <c r="C17" s="10">
        <v>-1500</v>
      </c>
      <c r="D17" s="10">
        <f t="shared" si="0"/>
        <v>0</v>
      </c>
    </row>
    <row r="18" spans="1:4" x14ac:dyDescent="0.25">
      <c r="A18" s="8">
        <v>45880</v>
      </c>
      <c r="B18" s="9" t="s">
        <v>6</v>
      </c>
      <c r="C18" s="10">
        <v>780</v>
      </c>
      <c r="D18" s="10">
        <f t="shared" si="0"/>
        <v>780</v>
      </c>
    </row>
    <row r="19" spans="1:4" x14ac:dyDescent="0.25">
      <c r="A19" s="8">
        <v>45880</v>
      </c>
      <c r="B19" s="9" t="s">
        <v>64</v>
      </c>
      <c r="C19" s="10">
        <v>-780</v>
      </c>
      <c r="D19" s="10">
        <f t="shared" si="0"/>
        <v>0</v>
      </c>
    </row>
    <row r="20" spans="1:4" x14ac:dyDescent="0.25">
      <c r="A20" s="8">
        <v>45887</v>
      </c>
      <c r="B20" s="9" t="s">
        <v>6</v>
      </c>
      <c r="C20" s="10">
        <v>1400</v>
      </c>
      <c r="D20" s="10">
        <f t="shared" si="0"/>
        <v>1400</v>
      </c>
    </row>
    <row r="21" spans="1:4" x14ac:dyDescent="0.25">
      <c r="A21" s="8">
        <v>45888</v>
      </c>
      <c r="B21" s="9" t="s">
        <v>64</v>
      </c>
      <c r="C21" s="10">
        <v>-1400</v>
      </c>
      <c r="D21" s="10">
        <f t="shared" si="0"/>
        <v>0</v>
      </c>
    </row>
    <row r="22" spans="1:4" x14ac:dyDescent="0.25">
      <c r="A22" s="8">
        <v>45922</v>
      </c>
      <c r="B22" s="9" t="s">
        <v>3</v>
      </c>
      <c r="C22" s="10">
        <v>730</v>
      </c>
      <c r="D22" s="10">
        <f t="shared" si="0"/>
        <v>730</v>
      </c>
    </row>
    <row r="23" spans="1:4" x14ac:dyDescent="0.25">
      <c r="A23" s="8">
        <v>45924</v>
      </c>
      <c r="B23" s="9" t="s">
        <v>64</v>
      </c>
      <c r="C23" s="10">
        <v>-730</v>
      </c>
      <c r="D23" s="10">
        <f t="shared" si="0"/>
        <v>0</v>
      </c>
    </row>
    <row r="24" spans="1:4" x14ac:dyDescent="0.25">
      <c r="A24" s="8">
        <v>45894</v>
      </c>
      <c r="B24" s="9" t="s">
        <v>6</v>
      </c>
      <c r="C24" s="10">
        <v>930</v>
      </c>
      <c r="D24" s="10">
        <f t="shared" si="0"/>
        <v>930</v>
      </c>
    </row>
    <row r="25" spans="1:4" x14ac:dyDescent="0.25">
      <c r="A25" s="8">
        <v>45895</v>
      </c>
      <c r="B25" s="9" t="s">
        <v>106</v>
      </c>
      <c r="C25" s="10">
        <v>-990</v>
      </c>
      <c r="D25" s="10">
        <f t="shared" si="0"/>
        <v>-60</v>
      </c>
    </row>
    <row r="26" spans="1:4" x14ac:dyDescent="0.25">
      <c r="A26" s="8">
        <v>45929</v>
      </c>
      <c r="B26" s="9" t="s">
        <v>3</v>
      </c>
      <c r="C26" s="10">
        <v>1700</v>
      </c>
      <c r="D26" s="10">
        <f t="shared" si="0"/>
        <v>1640</v>
      </c>
    </row>
    <row r="27" spans="1:4" x14ac:dyDescent="0.25">
      <c r="A27" s="8">
        <v>45901</v>
      </c>
      <c r="B27" s="9" t="s">
        <v>156</v>
      </c>
      <c r="C27" s="10">
        <v>-1700</v>
      </c>
      <c r="D27" s="10">
        <f t="shared" si="0"/>
        <v>-60</v>
      </c>
    </row>
    <row r="28" spans="1:4" x14ac:dyDescent="0.25">
      <c r="A28" s="8">
        <v>45932</v>
      </c>
      <c r="B28" s="9" t="s">
        <v>3</v>
      </c>
      <c r="C28" s="10">
        <v>620</v>
      </c>
      <c r="D28" s="10">
        <f t="shared" si="0"/>
        <v>560</v>
      </c>
    </row>
    <row r="29" spans="1:4" x14ac:dyDescent="0.25">
      <c r="A29" s="8">
        <v>45936</v>
      </c>
      <c r="B29" s="9" t="s">
        <v>150</v>
      </c>
      <c r="C29" s="10">
        <v>-620</v>
      </c>
      <c r="D29" s="10">
        <f t="shared" si="0"/>
        <v>-60</v>
      </c>
    </row>
    <row r="30" spans="1:4" x14ac:dyDescent="0.25">
      <c r="A30" s="8">
        <v>45936</v>
      </c>
      <c r="B30" s="9" t="s">
        <v>3</v>
      </c>
      <c r="C30" s="10">
        <v>1620</v>
      </c>
      <c r="D30" s="10">
        <f t="shared" si="0"/>
        <v>1560</v>
      </c>
    </row>
    <row r="31" spans="1:4" x14ac:dyDescent="0.25">
      <c r="A31" s="8">
        <v>45938</v>
      </c>
      <c r="B31" s="9" t="s">
        <v>198</v>
      </c>
      <c r="C31" s="10">
        <v>-1620</v>
      </c>
      <c r="D31" s="10">
        <f t="shared" si="0"/>
        <v>-60</v>
      </c>
    </row>
    <row r="32" spans="1:4" x14ac:dyDescent="0.25">
      <c r="A32" s="8">
        <v>45939</v>
      </c>
      <c r="B32" s="9" t="s">
        <v>3</v>
      </c>
      <c r="C32" s="10">
        <v>810</v>
      </c>
      <c r="D32" s="10">
        <f t="shared" si="0"/>
        <v>750</v>
      </c>
    </row>
    <row r="33" spans="1:4" x14ac:dyDescent="0.25">
      <c r="A33" s="8">
        <v>45943</v>
      </c>
      <c r="B33" s="9" t="s">
        <v>198</v>
      </c>
      <c r="C33" s="10">
        <v>-810</v>
      </c>
      <c r="D33" s="10">
        <f t="shared" si="0"/>
        <v>-60</v>
      </c>
    </row>
    <row r="34" spans="1:4" x14ac:dyDescent="0.25">
      <c r="A34" s="8">
        <v>45957</v>
      </c>
      <c r="B34" s="9" t="s">
        <v>3</v>
      </c>
      <c r="C34" s="10">
        <v>1470</v>
      </c>
      <c r="D34" s="10">
        <f t="shared" si="0"/>
        <v>1410</v>
      </c>
    </row>
    <row r="35" spans="1:4" x14ac:dyDescent="0.25">
      <c r="A35" s="8">
        <v>45959</v>
      </c>
      <c r="B35" s="9" t="s">
        <v>198</v>
      </c>
      <c r="C35" s="10">
        <v>-1470</v>
      </c>
      <c r="D35" s="10">
        <f t="shared" si="0"/>
        <v>-60</v>
      </c>
    </row>
    <row r="36" spans="1:4" x14ac:dyDescent="0.25">
      <c r="A36" s="8">
        <v>45960</v>
      </c>
      <c r="B36" s="9" t="s">
        <v>3</v>
      </c>
      <c r="C36" s="10">
        <v>1760</v>
      </c>
      <c r="D36" s="10">
        <f t="shared" si="0"/>
        <v>1700</v>
      </c>
    </row>
    <row r="37" spans="1:4" x14ac:dyDescent="0.25">
      <c r="A37" s="8">
        <v>45961</v>
      </c>
      <c r="B37" s="9" t="s">
        <v>198</v>
      </c>
      <c r="C37" s="10">
        <v>-1760</v>
      </c>
      <c r="D37" s="10">
        <f t="shared" si="0"/>
        <v>-60</v>
      </c>
    </row>
    <row r="38" spans="1:4" x14ac:dyDescent="0.25">
      <c r="A38" s="8">
        <v>45967</v>
      </c>
      <c r="B38" s="9" t="s">
        <v>3</v>
      </c>
      <c r="C38" s="10">
        <v>2640</v>
      </c>
      <c r="D38" s="10">
        <f t="shared" si="0"/>
        <v>2580</v>
      </c>
    </row>
    <row r="39" spans="1:4" x14ac:dyDescent="0.25">
      <c r="A39" s="8">
        <v>45967</v>
      </c>
      <c r="B39" s="9" t="s">
        <v>198</v>
      </c>
      <c r="C39" s="10">
        <v>-2640</v>
      </c>
      <c r="D39" s="10">
        <f t="shared" si="0"/>
        <v>-60</v>
      </c>
    </row>
    <row r="40" spans="1:4" x14ac:dyDescent="0.25">
      <c r="A40" s="8">
        <v>45971</v>
      </c>
      <c r="B40" s="9" t="s">
        <v>3</v>
      </c>
      <c r="C40" s="10">
        <v>420</v>
      </c>
      <c r="D40" s="10">
        <f t="shared" si="0"/>
        <v>360</v>
      </c>
    </row>
    <row r="41" spans="1:4" x14ac:dyDescent="0.25">
      <c r="A41" s="8">
        <v>45971</v>
      </c>
      <c r="B41" s="9" t="s">
        <v>224</v>
      </c>
      <c r="C41" s="10">
        <v>-420</v>
      </c>
      <c r="D41" s="10">
        <f t="shared" si="0"/>
        <v>-60</v>
      </c>
    </row>
    <row r="42" spans="1:4" x14ac:dyDescent="0.25">
      <c r="A42" s="8">
        <v>45974</v>
      </c>
      <c r="B42" s="9" t="s">
        <v>3</v>
      </c>
      <c r="C42" s="10">
        <v>790</v>
      </c>
      <c r="D42" s="10">
        <f t="shared" si="0"/>
        <v>730</v>
      </c>
    </row>
    <row r="43" spans="1:4" x14ac:dyDescent="0.25">
      <c r="A43" s="8">
        <v>45974</v>
      </c>
      <c r="B43" s="9" t="s">
        <v>178</v>
      </c>
      <c r="C43" s="10">
        <v>-790</v>
      </c>
      <c r="D43" s="10">
        <f t="shared" si="0"/>
        <v>-60</v>
      </c>
    </row>
    <row r="44" spans="1:4" x14ac:dyDescent="0.25">
      <c r="A44" s="8">
        <v>45981</v>
      </c>
      <c r="B44" s="9" t="s">
        <v>3</v>
      </c>
      <c r="C44" s="10">
        <v>1340</v>
      </c>
      <c r="D44" s="10">
        <f t="shared" si="0"/>
        <v>1280</v>
      </c>
    </row>
    <row r="45" spans="1:4" x14ac:dyDescent="0.25">
      <c r="A45" s="8">
        <v>45982</v>
      </c>
      <c r="B45" s="9" t="s">
        <v>156</v>
      </c>
      <c r="C45" s="10">
        <v>-1340</v>
      </c>
      <c r="D45" s="10">
        <f t="shared" si="0"/>
        <v>-60</v>
      </c>
    </row>
    <row r="46" spans="1:4" x14ac:dyDescent="0.25">
      <c r="A46" s="8">
        <v>45985</v>
      </c>
      <c r="B46" s="9" t="s">
        <v>3</v>
      </c>
      <c r="C46" s="10">
        <v>2040</v>
      </c>
      <c r="D46" s="10">
        <f t="shared" si="0"/>
        <v>1980</v>
      </c>
    </row>
    <row r="47" spans="1:4" x14ac:dyDescent="0.25">
      <c r="A47" s="8">
        <v>45985</v>
      </c>
      <c r="B47" s="9" t="s">
        <v>156</v>
      </c>
      <c r="C47" s="10">
        <v>-2090</v>
      </c>
      <c r="D47" s="10">
        <f t="shared" si="0"/>
        <v>-110</v>
      </c>
    </row>
    <row r="48" spans="1:4" x14ac:dyDescent="0.25">
      <c r="A48" s="8">
        <v>45988</v>
      </c>
      <c r="B48" s="9" t="s">
        <v>3</v>
      </c>
      <c r="C48" s="10">
        <v>1640</v>
      </c>
      <c r="D48" s="10">
        <f t="shared" si="0"/>
        <v>1530</v>
      </c>
    </row>
    <row r="49" spans="1:4" x14ac:dyDescent="0.25">
      <c r="A49" s="8">
        <v>45988</v>
      </c>
      <c r="B49" s="9" t="s">
        <v>156</v>
      </c>
      <c r="C49" s="10">
        <v>-1590</v>
      </c>
      <c r="D49" s="10">
        <f t="shared" si="0"/>
        <v>-60</v>
      </c>
    </row>
    <row r="50" spans="1:4" x14ac:dyDescent="0.25">
      <c r="A50" s="8">
        <v>45995</v>
      </c>
      <c r="B50" s="9" t="s">
        <v>3</v>
      </c>
      <c r="C50" s="10">
        <v>510</v>
      </c>
      <c r="D50" s="10">
        <f t="shared" si="0"/>
        <v>450</v>
      </c>
    </row>
    <row r="51" spans="1:4" x14ac:dyDescent="0.25">
      <c r="A51" s="8">
        <v>45996</v>
      </c>
      <c r="B51" s="9" t="s">
        <v>198</v>
      </c>
      <c r="C51" s="10">
        <v>-510</v>
      </c>
      <c r="D51" s="10">
        <f t="shared" si="0"/>
        <v>-60</v>
      </c>
    </row>
    <row r="52" spans="1:4" x14ac:dyDescent="0.25">
      <c r="A52" s="8">
        <v>46006</v>
      </c>
      <c r="B52" s="9" t="s">
        <v>3</v>
      </c>
      <c r="C52" s="10">
        <v>1380</v>
      </c>
      <c r="D52" s="10">
        <f t="shared" si="0"/>
        <v>1320</v>
      </c>
    </row>
    <row r="53" spans="1:4" x14ac:dyDescent="0.25">
      <c r="A53" s="8">
        <v>46007</v>
      </c>
      <c r="B53" s="9" t="s">
        <v>198</v>
      </c>
      <c r="C53" s="10">
        <v>-1380</v>
      </c>
      <c r="D53" s="10">
        <f t="shared" si="0"/>
        <v>-60</v>
      </c>
    </row>
    <row r="54" spans="1:4" x14ac:dyDescent="0.25">
      <c r="A54" s="8">
        <v>46020</v>
      </c>
      <c r="B54" s="9" t="s">
        <v>3</v>
      </c>
      <c r="C54" s="10">
        <v>1140</v>
      </c>
      <c r="D54" s="10">
        <f t="shared" si="0"/>
        <v>1080</v>
      </c>
    </row>
    <row r="55" spans="1:4" x14ac:dyDescent="0.25">
      <c r="A55" s="8">
        <v>46020</v>
      </c>
      <c r="B55" s="9" t="s">
        <v>261</v>
      </c>
      <c r="C55" s="10">
        <v>-1140</v>
      </c>
      <c r="D55" s="10">
        <f t="shared" si="0"/>
        <v>-60</v>
      </c>
    </row>
    <row r="56" spans="1:4" x14ac:dyDescent="0.25">
      <c r="A56" s="8">
        <v>46051</v>
      </c>
      <c r="B56" s="9" t="s">
        <v>3</v>
      </c>
      <c r="C56" s="10">
        <v>1740</v>
      </c>
      <c r="D56" s="10">
        <f t="shared" si="0"/>
        <v>1680</v>
      </c>
    </row>
    <row r="57" spans="1:4" x14ac:dyDescent="0.25">
      <c r="A57" s="8">
        <v>46051</v>
      </c>
      <c r="B57" s="9" t="s">
        <v>178</v>
      </c>
      <c r="C57" s="10">
        <v>-1680</v>
      </c>
      <c r="D57" s="10">
        <f t="shared" si="0"/>
        <v>0</v>
      </c>
    </row>
    <row r="58" spans="1:4" x14ac:dyDescent="0.25">
      <c r="A58" s="8">
        <v>46079</v>
      </c>
      <c r="B58" s="9" t="s">
        <v>3</v>
      </c>
      <c r="C58" s="10">
        <v>1110</v>
      </c>
      <c r="D58" s="10">
        <f t="shared" si="0"/>
        <v>1110</v>
      </c>
    </row>
    <row r="59" spans="1:4" x14ac:dyDescent="0.25">
      <c r="A59" s="8">
        <v>46079</v>
      </c>
      <c r="B59" s="9" t="s">
        <v>178</v>
      </c>
      <c r="C59" s="10">
        <v>-1110</v>
      </c>
      <c r="D59" s="10">
        <f t="shared" si="0"/>
        <v>0</v>
      </c>
    </row>
    <row r="60" spans="1:4" x14ac:dyDescent="0.25">
      <c r="A60" s="8">
        <v>46086</v>
      </c>
      <c r="B60" s="9" t="s">
        <v>3</v>
      </c>
      <c r="C60" s="10">
        <v>710</v>
      </c>
      <c r="D60" s="10">
        <f t="shared" si="0"/>
        <v>710</v>
      </c>
    </row>
    <row r="61" spans="1:4" x14ac:dyDescent="0.25">
      <c r="A61" s="8">
        <v>46086</v>
      </c>
      <c r="B61" s="9" t="s">
        <v>178</v>
      </c>
      <c r="C61" s="10">
        <v>-710</v>
      </c>
      <c r="D61" s="10">
        <f t="shared" si="0"/>
        <v>0</v>
      </c>
    </row>
    <row r="62" spans="1:4" x14ac:dyDescent="0.25">
      <c r="A62" s="8">
        <v>46118</v>
      </c>
      <c r="B62" s="9" t="s">
        <v>3</v>
      </c>
      <c r="C62" s="10">
        <v>2060</v>
      </c>
      <c r="D62" s="10">
        <f t="shared" si="0"/>
        <v>2060</v>
      </c>
    </row>
    <row r="63" spans="1:4" x14ac:dyDescent="0.25">
      <c r="A63" s="8">
        <v>46121</v>
      </c>
      <c r="B63" s="9" t="s">
        <v>178</v>
      </c>
      <c r="C63" s="10">
        <v>-2060</v>
      </c>
      <c r="D63" s="10">
        <f t="shared" si="0"/>
        <v>0</v>
      </c>
    </row>
    <row r="64" spans="1:4" x14ac:dyDescent="0.25">
      <c r="A64" s="8">
        <v>46135</v>
      </c>
      <c r="B64" s="9" t="s">
        <v>3</v>
      </c>
      <c r="C64" s="10">
        <v>1430</v>
      </c>
      <c r="D64" s="10">
        <f t="shared" si="0"/>
        <v>1430</v>
      </c>
    </row>
    <row r="65" spans="1:4" x14ac:dyDescent="0.25">
      <c r="A65" s="8">
        <v>46140</v>
      </c>
      <c r="B65" s="9" t="s">
        <v>261</v>
      </c>
      <c r="C65" s="10">
        <v>-1430</v>
      </c>
      <c r="D65" s="10">
        <f t="shared" si="0"/>
        <v>0</v>
      </c>
    </row>
    <row r="66" spans="1:4" x14ac:dyDescent="0.25">
      <c r="A66" s="8">
        <v>46170</v>
      </c>
      <c r="B66" s="9" t="s">
        <v>3</v>
      </c>
      <c r="C66" s="10">
        <v>1030</v>
      </c>
      <c r="D66" s="10">
        <f t="shared" si="0"/>
        <v>1030</v>
      </c>
    </row>
    <row r="67" spans="1:4" x14ac:dyDescent="0.25">
      <c r="A67" s="8">
        <v>46203</v>
      </c>
      <c r="B67" s="9" t="s">
        <v>261</v>
      </c>
      <c r="C67" s="10">
        <v>-1030</v>
      </c>
      <c r="D67" s="10">
        <f t="shared" si="0"/>
        <v>0</v>
      </c>
    </row>
    <row r="68" spans="1:4" x14ac:dyDescent="0.25">
      <c r="A68" s="8">
        <v>46216</v>
      </c>
      <c r="B68" s="9" t="s">
        <v>3</v>
      </c>
      <c r="C68" s="10">
        <v>1310</v>
      </c>
      <c r="D68" s="10">
        <f t="shared" si="0"/>
        <v>1310</v>
      </c>
    </row>
    <row r="69" spans="1:4" x14ac:dyDescent="0.25">
      <c r="A69" s="8">
        <v>46217</v>
      </c>
      <c r="B69" s="9" t="s">
        <v>273</v>
      </c>
      <c r="C69" s="10">
        <v>-1310</v>
      </c>
      <c r="D69" s="10">
        <f t="shared" si="0"/>
        <v>0</v>
      </c>
    </row>
    <row r="70" spans="1:4" x14ac:dyDescent="0.25">
      <c r="A70" s="8">
        <v>46240</v>
      </c>
      <c r="B70" s="9" t="s">
        <v>3</v>
      </c>
      <c r="C70" s="10">
        <v>960</v>
      </c>
      <c r="D70" s="10">
        <f t="shared" si="0"/>
        <v>960</v>
      </c>
    </row>
    <row r="71" spans="1:4" x14ac:dyDescent="0.25">
      <c r="A71" s="8">
        <v>46240</v>
      </c>
      <c r="B71" s="9" t="s">
        <v>178</v>
      </c>
      <c r="C71" s="10">
        <v>-960</v>
      </c>
      <c r="D71" s="10">
        <f t="shared" si="0"/>
        <v>0</v>
      </c>
    </row>
    <row r="72" spans="1:4" x14ac:dyDescent="0.25">
      <c r="A72" s="8">
        <v>46254</v>
      </c>
      <c r="B72" s="9" t="s">
        <v>3</v>
      </c>
      <c r="C72" s="10">
        <v>970</v>
      </c>
      <c r="D72" s="10">
        <f t="shared" si="0"/>
        <v>970</v>
      </c>
    </row>
    <row r="73" spans="1:4" x14ac:dyDescent="0.25">
      <c r="A73" s="8">
        <v>46254</v>
      </c>
      <c r="B73" s="9" t="s">
        <v>178</v>
      </c>
      <c r="C73" s="10">
        <v>-970</v>
      </c>
      <c r="D73" s="10">
        <f t="shared" si="0"/>
        <v>0</v>
      </c>
    </row>
    <row r="74" spans="1:4" x14ac:dyDescent="0.25">
      <c r="A74" s="8">
        <v>46272</v>
      </c>
      <c r="B74" s="9" t="s">
        <v>3</v>
      </c>
      <c r="C74" s="10">
        <v>340</v>
      </c>
      <c r="D74" s="10">
        <f t="shared" si="0"/>
        <v>340</v>
      </c>
    </row>
    <row r="75" spans="1:4" x14ac:dyDescent="0.25">
      <c r="A75" s="8">
        <v>46272</v>
      </c>
      <c r="B75" s="9" t="s">
        <v>178</v>
      </c>
      <c r="C75" s="10">
        <v>-340</v>
      </c>
      <c r="D75" s="10">
        <f t="shared" si="0"/>
        <v>0</v>
      </c>
    </row>
    <row r="76" spans="1:4" x14ac:dyDescent="0.25">
      <c r="A76" s="9"/>
      <c r="B76" s="9"/>
      <c r="C76" s="10"/>
      <c r="D76" s="10">
        <f t="shared" ref="D76:D81" si="1">D75+C76</f>
        <v>0</v>
      </c>
    </row>
    <row r="77" spans="1:4" x14ac:dyDescent="0.25">
      <c r="A77" s="9"/>
      <c r="B77" s="9"/>
      <c r="C77" s="10"/>
      <c r="D77" s="10">
        <f t="shared" si="1"/>
        <v>0</v>
      </c>
    </row>
    <row r="78" spans="1:4" x14ac:dyDescent="0.25">
      <c r="A78" s="9"/>
      <c r="B78" s="9"/>
      <c r="C78" s="10"/>
      <c r="D78" s="10">
        <f t="shared" si="1"/>
        <v>0</v>
      </c>
    </row>
    <row r="79" spans="1:4" x14ac:dyDescent="0.25">
      <c r="A79" s="9"/>
      <c r="B79" s="9"/>
      <c r="C79" s="10"/>
      <c r="D79" s="10">
        <f t="shared" si="1"/>
        <v>0</v>
      </c>
    </row>
    <row r="80" spans="1:4" x14ac:dyDescent="0.25">
      <c r="A80" s="9"/>
      <c r="B80" s="9"/>
      <c r="C80" s="10"/>
      <c r="D80" s="10">
        <f t="shared" si="1"/>
        <v>0</v>
      </c>
    </row>
    <row r="81" spans="1:4" x14ac:dyDescent="0.25">
      <c r="A81" s="9"/>
      <c r="B81" s="9"/>
      <c r="C81" s="10"/>
      <c r="D81" s="10">
        <f t="shared" si="1"/>
        <v>0</v>
      </c>
    </row>
    <row r="82" spans="1:4" x14ac:dyDescent="0.25">
      <c r="A82" s="9"/>
      <c r="B82" s="9"/>
      <c r="C82" s="10"/>
      <c r="D82" s="10"/>
    </row>
    <row r="83" spans="1:4" x14ac:dyDescent="0.25">
      <c r="A83" s="9"/>
      <c r="B83" s="9"/>
      <c r="C83" s="10"/>
      <c r="D83" s="10"/>
    </row>
    <row r="84" spans="1:4" x14ac:dyDescent="0.25">
      <c r="A84" s="9"/>
      <c r="B84" s="9"/>
      <c r="C84" s="10"/>
      <c r="D84" s="10"/>
    </row>
    <row r="85" spans="1:4" x14ac:dyDescent="0.25">
      <c r="A85" s="9"/>
      <c r="B85" s="9"/>
      <c r="C85" s="10"/>
      <c r="D85" s="10"/>
    </row>
    <row r="86" spans="1:4" x14ac:dyDescent="0.25">
      <c r="A86" s="9"/>
      <c r="B86" s="9"/>
      <c r="C86" s="10"/>
      <c r="D86" s="10"/>
    </row>
    <row r="87" spans="1:4" x14ac:dyDescent="0.25">
      <c r="A87" s="9"/>
      <c r="B87" s="9"/>
      <c r="C87" s="10"/>
      <c r="D87" s="10"/>
    </row>
    <row r="88" spans="1:4" x14ac:dyDescent="0.25">
      <c r="A88" s="9"/>
      <c r="B88" s="9"/>
      <c r="C88" s="10"/>
      <c r="D88" s="10"/>
    </row>
    <row r="89" spans="1:4" x14ac:dyDescent="0.25">
      <c r="A89" s="9"/>
      <c r="B89" s="9"/>
      <c r="C89" s="10"/>
      <c r="D89" s="10"/>
    </row>
    <row r="90" spans="1:4" x14ac:dyDescent="0.25">
      <c r="A90" s="9"/>
      <c r="B90" s="9"/>
      <c r="C90" s="10"/>
      <c r="D90" s="10"/>
    </row>
    <row r="91" spans="1:4" x14ac:dyDescent="0.25">
      <c r="A91" s="9"/>
      <c r="B91" s="9"/>
      <c r="C91" s="10"/>
      <c r="D91" s="10"/>
    </row>
    <row r="92" spans="1:4" x14ac:dyDescent="0.25">
      <c r="A92" s="9"/>
      <c r="B92" s="9"/>
      <c r="C92" s="10"/>
      <c r="D92" s="10"/>
    </row>
    <row r="93" spans="1:4" x14ac:dyDescent="0.25">
      <c r="A93" s="9"/>
      <c r="B93" s="9"/>
      <c r="C93" s="10"/>
      <c r="D93" s="10"/>
    </row>
    <row r="94" spans="1:4" x14ac:dyDescent="0.25">
      <c r="A94" s="9"/>
      <c r="B94" s="9"/>
      <c r="C94" s="10"/>
      <c r="D94" s="10"/>
    </row>
    <row r="95" spans="1:4" x14ac:dyDescent="0.25">
      <c r="A95" s="9"/>
      <c r="B95" s="9"/>
      <c r="C95" s="10"/>
      <c r="D95" s="10"/>
    </row>
    <row r="96" spans="1:4" x14ac:dyDescent="0.25">
      <c r="A96" s="9"/>
      <c r="B96" s="9"/>
      <c r="C96" s="10"/>
      <c r="D96" s="10"/>
    </row>
    <row r="97" spans="1:4" x14ac:dyDescent="0.25">
      <c r="A97" s="9"/>
      <c r="B97" s="9"/>
      <c r="C97" s="10"/>
      <c r="D97" s="10"/>
    </row>
    <row r="98" spans="1:4" x14ac:dyDescent="0.25">
      <c r="A98" s="9"/>
      <c r="B98" s="9"/>
      <c r="C98" s="10"/>
      <c r="D98" s="10"/>
    </row>
    <row r="99" spans="1:4" x14ac:dyDescent="0.25">
      <c r="A99" s="9"/>
      <c r="B99" s="9"/>
      <c r="C99" s="10"/>
      <c r="D99" s="10"/>
    </row>
    <row r="100" spans="1:4" x14ac:dyDescent="0.25">
      <c r="A100" s="9"/>
      <c r="B100" s="9"/>
      <c r="C100" s="10"/>
      <c r="D100" s="10"/>
    </row>
    <row r="101" spans="1:4" x14ac:dyDescent="0.25">
      <c r="A101" s="9"/>
      <c r="B101" s="9"/>
      <c r="C101" s="10"/>
      <c r="D101" s="10"/>
    </row>
    <row r="102" spans="1:4" x14ac:dyDescent="0.25">
      <c r="A102" s="9"/>
      <c r="B102" s="9"/>
      <c r="C102" s="10"/>
      <c r="D102" s="10"/>
    </row>
    <row r="103" spans="1:4" x14ac:dyDescent="0.25">
      <c r="A103" s="9"/>
      <c r="B103" s="9"/>
      <c r="C103" s="10"/>
      <c r="D103" s="10"/>
    </row>
    <row r="104" spans="1:4" x14ac:dyDescent="0.25">
      <c r="A104" s="9"/>
      <c r="B104" s="9"/>
      <c r="C104" s="10"/>
      <c r="D104" s="10"/>
    </row>
    <row r="105" spans="1:4" x14ac:dyDescent="0.25">
      <c r="A105" s="9"/>
      <c r="B105" s="9"/>
      <c r="C105" s="10"/>
      <c r="D105" s="10"/>
    </row>
    <row r="106" spans="1:4" x14ac:dyDescent="0.25">
      <c r="A106" s="9"/>
      <c r="B106" s="9"/>
      <c r="C106" s="10"/>
      <c r="D106" s="10"/>
    </row>
    <row r="107" spans="1:4" x14ac:dyDescent="0.25">
      <c r="A107" s="9"/>
      <c r="B107" s="9"/>
      <c r="C107" s="10"/>
      <c r="D107" s="10"/>
    </row>
    <row r="108" spans="1:4" x14ac:dyDescent="0.25">
      <c r="A108" s="9"/>
      <c r="B108" s="9"/>
      <c r="C108" s="10"/>
      <c r="D108" s="10"/>
    </row>
    <row r="109" spans="1:4" x14ac:dyDescent="0.25">
      <c r="A109" s="9"/>
      <c r="B109" s="9"/>
      <c r="C109" s="10"/>
      <c r="D109" s="10"/>
    </row>
    <row r="110" spans="1:4" x14ac:dyDescent="0.25">
      <c r="A110" s="9"/>
      <c r="B110" s="9"/>
      <c r="C110" s="10"/>
      <c r="D110" s="10"/>
    </row>
    <row r="111" spans="1:4" x14ac:dyDescent="0.25">
      <c r="A111" s="9"/>
      <c r="B111" s="9"/>
      <c r="C111" s="10"/>
      <c r="D111" s="10"/>
    </row>
    <row r="112" spans="1:4" x14ac:dyDescent="0.25">
      <c r="A112" s="9"/>
      <c r="B112" s="9"/>
      <c r="C112" s="10"/>
      <c r="D112" s="10"/>
    </row>
    <row r="113" spans="1:4" x14ac:dyDescent="0.25">
      <c r="A113" s="9"/>
      <c r="B113" s="9"/>
      <c r="C113" s="10"/>
      <c r="D113" s="10"/>
    </row>
    <row r="114" spans="1:4" x14ac:dyDescent="0.25">
      <c r="A114" s="9"/>
      <c r="B114" s="9"/>
      <c r="C114" s="10"/>
      <c r="D114" s="10"/>
    </row>
    <row r="115" spans="1:4" x14ac:dyDescent="0.25">
      <c r="A115" s="9"/>
      <c r="B115" s="9"/>
      <c r="C115" s="10"/>
      <c r="D115" s="10"/>
    </row>
    <row r="116" spans="1:4" x14ac:dyDescent="0.25">
      <c r="A116" s="9"/>
      <c r="B116" s="9"/>
      <c r="C116" s="10"/>
      <c r="D116" s="10"/>
    </row>
    <row r="117" spans="1:4" x14ac:dyDescent="0.25">
      <c r="A117" s="9"/>
      <c r="B117" s="9"/>
      <c r="C117" s="10"/>
      <c r="D117" s="10"/>
    </row>
    <row r="118" spans="1:4" x14ac:dyDescent="0.25">
      <c r="A118" s="9"/>
      <c r="B118" s="9"/>
      <c r="C118" s="10"/>
      <c r="D118" s="10"/>
    </row>
    <row r="119" spans="1:4" x14ac:dyDescent="0.25">
      <c r="A119" s="9"/>
      <c r="B119" s="9"/>
      <c r="C119" s="10"/>
      <c r="D119" s="10"/>
    </row>
    <row r="120" spans="1:4" x14ac:dyDescent="0.25">
      <c r="A120" s="9"/>
      <c r="B120" s="9"/>
      <c r="C120" s="10"/>
      <c r="D120" s="10"/>
    </row>
    <row r="121" spans="1:4" x14ac:dyDescent="0.25">
      <c r="A121" s="9"/>
      <c r="B121" s="9"/>
      <c r="C121" s="10"/>
      <c r="D121" s="10"/>
    </row>
    <row r="122" spans="1:4" x14ac:dyDescent="0.25">
      <c r="A122" s="9"/>
      <c r="B122" s="9"/>
      <c r="C122" s="10"/>
      <c r="D122" s="10"/>
    </row>
    <row r="123" spans="1:4" x14ac:dyDescent="0.25">
      <c r="A123" s="9"/>
      <c r="B123" s="9"/>
      <c r="C123" s="10"/>
      <c r="D123" s="10"/>
    </row>
    <row r="124" spans="1:4" x14ac:dyDescent="0.25">
      <c r="A124" s="9"/>
      <c r="B124" s="9"/>
      <c r="C124" s="10"/>
      <c r="D124" s="10"/>
    </row>
    <row r="125" spans="1:4" x14ac:dyDescent="0.25">
      <c r="A125" s="9"/>
      <c r="B125" s="9"/>
      <c r="C125" s="10"/>
      <c r="D125" s="10"/>
    </row>
    <row r="126" spans="1:4" x14ac:dyDescent="0.25">
      <c r="A126" s="9"/>
      <c r="B126" s="9"/>
      <c r="C126" s="10"/>
      <c r="D126" s="10"/>
    </row>
    <row r="127" spans="1:4" x14ac:dyDescent="0.25">
      <c r="A127" s="9"/>
      <c r="B127" s="9"/>
      <c r="C127" s="10"/>
      <c r="D127" s="10"/>
    </row>
    <row r="128" spans="1:4" x14ac:dyDescent="0.25">
      <c r="A128" s="9"/>
      <c r="B128" s="9"/>
      <c r="C128" s="10"/>
      <c r="D128" s="10"/>
    </row>
    <row r="129" spans="1:4" x14ac:dyDescent="0.25">
      <c r="A129" s="9"/>
      <c r="B129" s="9"/>
      <c r="C129" s="10"/>
      <c r="D129" s="10"/>
    </row>
    <row r="130" spans="1:4" x14ac:dyDescent="0.25">
      <c r="A130" s="9"/>
      <c r="B130" s="9"/>
      <c r="C130" s="10"/>
      <c r="D130" s="10"/>
    </row>
    <row r="131" spans="1:4" x14ac:dyDescent="0.25">
      <c r="A131" s="9"/>
      <c r="B131" s="9"/>
      <c r="C131" s="10"/>
      <c r="D131" s="10"/>
    </row>
    <row r="132" spans="1:4" x14ac:dyDescent="0.25">
      <c r="A132" s="9"/>
      <c r="B132" s="9"/>
      <c r="C132" s="10"/>
      <c r="D132" s="10"/>
    </row>
    <row r="133" spans="1:4" x14ac:dyDescent="0.25">
      <c r="A133" s="9"/>
      <c r="B133" s="9"/>
      <c r="C133" s="10"/>
      <c r="D133" s="10"/>
    </row>
    <row r="134" spans="1:4" x14ac:dyDescent="0.25">
      <c r="A134" s="9"/>
      <c r="B134" s="9"/>
      <c r="C134" s="10"/>
      <c r="D134" s="10"/>
    </row>
    <row r="135" spans="1:4" x14ac:dyDescent="0.25">
      <c r="A135" s="9"/>
      <c r="B135" s="9"/>
      <c r="C135" s="10"/>
      <c r="D135" s="10"/>
    </row>
    <row r="136" spans="1:4" x14ac:dyDescent="0.25">
      <c r="A136" s="9"/>
      <c r="B136" s="9"/>
      <c r="C136" s="10"/>
      <c r="D136" s="10"/>
    </row>
    <row r="137" spans="1:4" x14ac:dyDescent="0.25">
      <c r="A137" s="9"/>
      <c r="B137" s="9"/>
      <c r="C137" s="10"/>
      <c r="D137" s="10"/>
    </row>
    <row r="138" spans="1:4" x14ac:dyDescent="0.25">
      <c r="A138" s="9"/>
      <c r="B138" s="9"/>
      <c r="C138" s="10"/>
      <c r="D138" s="10"/>
    </row>
    <row r="139" spans="1:4" x14ac:dyDescent="0.25">
      <c r="A139" s="9"/>
      <c r="B139" s="9"/>
      <c r="C139" s="10"/>
      <c r="D139" s="10"/>
    </row>
    <row r="140" spans="1:4" x14ac:dyDescent="0.25">
      <c r="A140" s="9"/>
      <c r="B140" s="9"/>
      <c r="C140" s="10"/>
      <c r="D140" s="10"/>
    </row>
    <row r="141" spans="1:4" x14ac:dyDescent="0.25">
      <c r="A141" s="9"/>
      <c r="B141" s="9"/>
      <c r="C141" s="10"/>
      <c r="D141" s="10"/>
    </row>
    <row r="142" spans="1:4" x14ac:dyDescent="0.25">
      <c r="A142" s="9"/>
      <c r="B142" s="9"/>
      <c r="C142" s="10"/>
      <c r="D142" s="10"/>
    </row>
    <row r="143" spans="1:4" x14ac:dyDescent="0.25">
      <c r="A143" s="9"/>
      <c r="B143" s="9"/>
      <c r="C143" s="10"/>
      <c r="D143" s="10"/>
    </row>
    <row r="144" spans="1:4" x14ac:dyDescent="0.25">
      <c r="A144" s="9"/>
      <c r="B144" s="9"/>
      <c r="C144" s="10"/>
      <c r="D144" s="10"/>
    </row>
    <row r="145" spans="1:4" x14ac:dyDescent="0.25">
      <c r="A145" s="9"/>
      <c r="B145" s="9"/>
      <c r="C145" s="10"/>
      <c r="D145" s="10"/>
    </row>
    <row r="146" spans="1:4" x14ac:dyDescent="0.25">
      <c r="A146" s="9"/>
      <c r="B146" s="9"/>
      <c r="C146" s="10"/>
      <c r="D146" s="10"/>
    </row>
    <row r="147" spans="1:4" x14ac:dyDescent="0.25">
      <c r="A147" s="9"/>
      <c r="B147" s="9"/>
      <c r="C147" s="10"/>
      <c r="D147" s="10"/>
    </row>
    <row r="148" spans="1:4" x14ac:dyDescent="0.25">
      <c r="A148" s="9"/>
      <c r="B148" s="9"/>
      <c r="C148" s="10"/>
      <c r="D148" s="10"/>
    </row>
    <row r="149" spans="1:4" x14ac:dyDescent="0.25">
      <c r="A149" s="9"/>
      <c r="B149" s="9"/>
      <c r="C149" s="10"/>
      <c r="D149" s="10"/>
    </row>
    <row r="150" spans="1:4" x14ac:dyDescent="0.25">
      <c r="A150" s="9"/>
      <c r="B150" s="9"/>
      <c r="C150" s="10"/>
      <c r="D150" s="10"/>
    </row>
    <row r="151" spans="1:4" x14ac:dyDescent="0.25">
      <c r="A151" s="9"/>
      <c r="B151" s="9"/>
      <c r="C151" s="10"/>
      <c r="D151" s="10"/>
    </row>
    <row r="152" spans="1:4" x14ac:dyDescent="0.25">
      <c r="A152" s="9"/>
      <c r="B152" s="9"/>
      <c r="C152" s="10"/>
      <c r="D152" s="10"/>
    </row>
    <row r="153" spans="1:4" x14ac:dyDescent="0.25">
      <c r="A153" s="9"/>
      <c r="B153" s="9"/>
      <c r="C153" s="10"/>
      <c r="D153" s="10"/>
    </row>
    <row r="154" spans="1:4" x14ac:dyDescent="0.25">
      <c r="A154" s="9"/>
      <c r="B154" s="9"/>
      <c r="C154" s="10"/>
      <c r="D154" s="10"/>
    </row>
    <row r="155" spans="1:4" x14ac:dyDescent="0.25">
      <c r="A155" s="9"/>
      <c r="B155" s="9"/>
      <c r="C155" s="10"/>
      <c r="D155" s="10"/>
    </row>
    <row r="156" spans="1:4" x14ac:dyDescent="0.25">
      <c r="A156" s="9"/>
      <c r="B156" s="9"/>
      <c r="C156" s="10"/>
      <c r="D156" s="10"/>
    </row>
    <row r="157" spans="1:4" x14ac:dyDescent="0.25">
      <c r="A157" s="9"/>
      <c r="B157" s="9"/>
      <c r="C157" s="10"/>
      <c r="D157" s="10"/>
    </row>
    <row r="158" spans="1:4" x14ac:dyDescent="0.25">
      <c r="A158" s="9"/>
      <c r="B158" s="9"/>
      <c r="C158" s="10"/>
      <c r="D158" s="10"/>
    </row>
    <row r="159" spans="1:4" x14ac:dyDescent="0.25">
      <c r="A159" s="9"/>
      <c r="B159" s="9"/>
      <c r="C159" s="10"/>
      <c r="D159" s="10"/>
    </row>
    <row r="160" spans="1:4" x14ac:dyDescent="0.25">
      <c r="A160" s="9"/>
      <c r="B160" s="9"/>
      <c r="C160" s="10"/>
      <c r="D160" s="10"/>
    </row>
    <row r="161" spans="1:4" x14ac:dyDescent="0.25">
      <c r="A161" s="9"/>
      <c r="B161" s="9"/>
      <c r="C161" s="10"/>
      <c r="D161" s="10"/>
    </row>
    <row r="162" spans="1:4" x14ac:dyDescent="0.25">
      <c r="A162" s="9"/>
      <c r="B162" s="9"/>
      <c r="C162" s="10"/>
      <c r="D162" s="10"/>
    </row>
    <row r="163" spans="1:4" x14ac:dyDescent="0.25">
      <c r="A163" s="9"/>
      <c r="B163" s="9"/>
      <c r="C163" s="10"/>
      <c r="D163" s="10"/>
    </row>
    <row r="164" spans="1:4" x14ac:dyDescent="0.25">
      <c r="A164" s="9"/>
      <c r="B164" s="9"/>
      <c r="C164" s="10"/>
      <c r="D164" s="10"/>
    </row>
    <row r="165" spans="1:4" x14ac:dyDescent="0.25">
      <c r="A165" s="9"/>
      <c r="B165" s="9"/>
      <c r="C165" s="10"/>
      <c r="D165" s="10"/>
    </row>
    <row r="166" spans="1:4" x14ac:dyDescent="0.25">
      <c r="A166" s="9"/>
      <c r="B166" s="9"/>
      <c r="C166" s="10"/>
      <c r="D166" s="10"/>
    </row>
    <row r="167" spans="1:4" x14ac:dyDescent="0.25">
      <c r="A167" s="9"/>
      <c r="B167" s="9"/>
      <c r="C167" s="10"/>
      <c r="D167" s="10"/>
    </row>
    <row r="168" spans="1:4" x14ac:dyDescent="0.25">
      <c r="A168" s="9"/>
      <c r="B168" s="9"/>
      <c r="C168" s="10"/>
      <c r="D168" s="10"/>
    </row>
    <row r="169" spans="1:4" x14ac:dyDescent="0.25">
      <c r="A169" s="9"/>
      <c r="B169" s="9"/>
      <c r="C169" s="10"/>
      <c r="D169" s="10"/>
    </row>
    <row r="170" spans="1:4" x14ac:dyDescent="0.25">
      <c r="A170" s="9"/>
      <c r="B170" s="9"/>
      <c r="C170" s="10"/>
      <c r="D170" s="10"/>
    </row>
    <row r="171" spans="1:4" x14ac:dyDescent="0.25">
      <c r="A171" s="9"/>
      <c r="B171" s="9"/>
      <c r="C171" s="10"/>
      <c r="D171" s="10"/>
    </row>
    <row r="172" spans="1:4" x14ac:dyDescent="0.25">
      <c r="A172" s="9"/>
      <c r="B172" s="9"/>
      <c r="C172" s="10"/>
      <c r="D172" s="10"/>
    </row>
    <row r="173" spans="1:4" x14ac:dyDescent="0.25">
      <c r="A173" s="9"/>
      <c r="B173" s="9"/>
      <c r="C173" s="10"/>
      <c r="D173" s="10"/>
    </row>
    <row r="174" spans="1:4" x14ac:dyDescent="0.25">
      <c r="A174" s="9"/>
      <c r="B174" s="9"/>
      <c r="C174" s="10"/>
      <c r="D174" s="10"/>
    </row>
    <row r="175" spans="1:4" x14ac:dyDescent="0.25">
      <c r="A175" s="9"/>
      <c r="B175" s="9"/>
      <c r="C175" s="10"/>
      <c r="D175" s="10"/>
    </row>
    <row r="176" spans="1:4" x14ac:dyDescent="0.25">
      <c r="A176" s="9"/>
      <c r="B176" s="9"/>
      <c r="C176" s="10"/>
      <c r="D176" s="10"/>
    </row>
    <row r="177" spans="1:4" x14ac:dyDescent="0.25">
      <c r="A177" s="9"/>
      <c r="B177" s="9"/>
      <c r="C177" s="10"/>
      <c r="D177" s="10"/>
    </row>
    <row r="178" spans="1:4" x14ac:dyDescent="0.25">
      <c r="A178" s="9"/>
      <c r="B178" s="9"/>
      <c r="C178" s="10"/>
      <c r="D178" s="10"/>
    </row>
    <row r="179" spans="1:4" x14ac:dyDescent="0.25">
      <c r="A179" s="9"/>
      <c r="B179" s="9"/>
      <c r="C179" s="10"/>
      <c r="D179" s="10"/>
    </row>
    <row r="180" spans="1:4" x14ac:dyDescent="0.25">
      <c r="A180" s="9"/>
      <c r="B180" s="9"/>
      <c r="C180" s="10"/>
      <c r="D180" s="10"/>
    </row>
  </sheetData>
  <mergeCells count="2">
    <mergeCell ref="A4:D4"/>
    <mergeCell ref="B6:D6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0520F-E90E-405C-90FE-9DFCE0B90B2F}">
  <dimension ref="A4:I186"/>
  <sheetViews>
    <sheetView topLeftCell="A128" workbookViewId="0">
      <selection activeCell="G144" sqref="G144"/>
    </sheetView>
  </sheetViews>
  <sheetFormatPr baseColWidth="10" defaultRowHeight="15" x14ac:dyDescent="0.25"/>
  <cols>
    <col min="1" max="1" width="28.28515625" customWidth="1"/>
    <col min="2" max="2" width="27.140625" customWidth="1"/>
    <col min="3" max="3" width="23.42578125" style="6" customWidth="1"/>
    <col min="4" max="4" width="21.85546875" style="6" customWidth="1"/>
  </cols>
  <sheetData>
    <row r="4" spans="1:7" ht="18" x14ac:dyDescent="0.25">
      <c r="A4" s="98" t="s">
        <v>0</v>
      </c>
      <c r="B4" s="98"/>
      <c r="C4" s="98"/>
      <c r="D4" s="98"/>
      <c r="E4" s="1"/>
      <c r="F4" s="1"/>
      <c r="G4" s="1"/>
    </row>
    <row r="6" spans="1:7" x14ac:dyDescent="0.25">
      <c r="A6" s="2" t="s">
        <v>1</v>
      </c>
      <c r="B6" s="96" t="s">
        <v>35</v>
      </c>
      <c r="C6" s="97"/>
      <c r="D6" s="97"/>
    </row>
    <row r="7" spans="1:7" x14ac:dyDescent="0.25">
      <c r="A7" s="3" t="s">
        <v>11</v>
      </c>
      <c r="B7" s="4" t="s">
        <v>27</v>
      </c>
      <c r="C7" s="4"/>
      <c r="D7" s="4"/>
    </row>
    <row r="8" spans="1:7" x14ac:dyDescent="0.25">
      <c r="B8" s="5"/>
    </row>
    <row r="9" spans="1:7" x14ac:dyDescent="0.25">
      <c r="A9" s="2" t="s">
        <v>2</v>
      </c>
      <c r="B9" s="2" t="s">
        <v>3</v>
      </c>
      <c r="C9" s="7" t="s">
        <v>4</v>
      </c>
      <c r="D9" s="7" t="s">
        <v>5</v>
      </c>
    </row>
    <row r="10" spans="1:7" x14ac:dyDescent="0.25">
      <c r="A10" s="2"/>
      <c r="B10" s="2"/>
      <c r="C10" s="7"/>
      <c r="D10" s="7"/>
    </row>
    <row r="11" spans="1:7" x14ac:dyDescent="0.25">
      <c r="A11" s="2"/>
      <c r="B11" s="2"/>
      <c r="C11" s="7"/>
      <c r="D11" s="7"/>
    </row>
    <row r="12" spans="1:7" x14ac:dyDescent="0.25">
      <c r="A12" s="8">
        <v>45838</v>
      </c>
      <c r="B12" s="9" t="s">
        <v>3</v>
      </c>
      <c r="C12" s="10">
        <v>0</v>
      </c>
      <c r="D12" s="10">
        <f>D11+C13</f>
        <v>0</v>
      </c>
    </row>
    <row r="13" spans="1:7" x14ac:dyDescent="0.25">
      <c r="A13" s="8"/>
      <c r="B13" s="9"/>
      <c r="C13" s="10"/>
      <c r="D13" s="10">
        <v>0</v>
      </c>
    </row>
    <row r="14" spans="1:7" x14ac:dyDescent="0.25">
      <c r="A14" s="8">
        <v>45839</v>
      </c>
      <c r="B14" s="9" t="s">
        <v>37</v>
      </c>
      <c r="C14" s="10">
        <v>4710</v>
      </c>
      <c r="D14" s="10">
        <f>C14-C15</f>
        <v>9420</v>
      </c>
    </row>
    <row r="15" spans="1:7" x14ac:dyDescent="0.25">
      <c r="A15" s="8"/>
      <c r="B15" s="9"/>
      <c r="C15" s="10">
        <v>-4710</v>
      </c>
      <c r="D15" s="10">
        <f>C14+C15</f>
        <v>0</v>
      </c>
    </row>
    <row r="16" spans="1:7" x14ac:dyDescent="0.25">
      <c r="A16" s="8">
        <v>45841</v>
      </c>
      <c r="B16" s="9" t="s">
        <v>6</v>
      </c>
      <c r="C16" s="10">
        <v>3450</v>
      </c>
      <c r="D16" s="10">
        <f>C16</f>
        <v>3450</v>
      </c>
    </row>
    <row r="17" spans="1:4" x14ac:dyDescent="0.25">
      <c r="A17" s="8">
        <v>45848</v>
      </c>
      <c r="B17" s="9" t="s">
        <v>6</v>
      </c>
      <c r="C17" s="10">
        <v>1230</v>
      </c>
      <c r="D17" s="10">
        <f t="shared" ref="D17:D23" si="0">D16+C17</f>
        <v>4680</v>
      </c>
    </row>
    <row r="18" spans="1:4" x14ac:dyDescent="0.25">
      <c r="A18" s="8">
        <v>45852</v>
      </c>
      <c r="B18" s="9" t="s">
        <v>6</v>
      </c>
      <c r="C18" s="10">
        <v>1920</v>
      </c>
      <c r="D18" s="10">
        <f t="shared" si="0"/>
        <v>6600</v>
      </c>
    </row>
    <row r="19" spans="1:4" x14ac:dyDescent="0.25">
      <c r="A19" s="8">
        <v>45853</v>
      </c>
      <c r="B19" s="9" t="s">
        <v>7</v>
      </c>
      <c r="C19" s="10">
        <v>-5180</v>
      </c>
      <c r="D19" s="10">
        <f t="shared" si="0"/>
        <v>1420</v>
      </c>
    </row>
    <row r="20" spans="1:4" x14ac:dyDescent="0.25">
      <c r="A20" s="8">
        <v>45855</v>
      </c>
      <c r="B20" s="9" t="s">
        <v>6</v>
      </c>
      <c r="C20" s="10">
        <v>3050</v>
      </c>
      <c r="D20" s="10">
        <f t="shared" si="0"/>
        <v>4470</v>
      </c>
    </row>
    <row r="21" spans="1:4" x14ac:dyDescent="0.25">
      <c r="A21" s="8">
        <v>45861</v>
      </c>
      <c r="B21" s="9" t="s">
        <v>69</v>
      </c>
      <c r="C21" s="10">
        <v>-1920</v>
      </c>
      <c r="D21" s="10">
        <f t="shared" si="0"/>
        <v>2550</v>
      </c>
    </row>
    <row r="22" spans="1:4" x14ac:dyDescent="0.25">
      <c r="A22" s="8">
        <v>45862</v>
      </c>
      <c r="B22" s="9" t="s">
        <v>6</v>
      </c>
      <c r="C22" s="10">
        <v>2570</v>
      </c>
      <c r="D22" s="10">
        <f t="shared" si="0"/>
        <v>5120</v>
      </c>
    </row>
    <row r="23" spans="1:4" x14ac:dyDescent="0.25">
      <c r="A23" s="8">
        <v>45864</v>
      </c>
      <c r="B23" s="9" t="s">
        <v>7</v>
      </c>
      <c r="C23" s="10">
        <v>-4050</v>
      </c>
      <c r="D23" s="10">
        <f t="shared" si="0"/>
        <v>1070</v>
      </c>
    </row>
    <row r="24" spans="1:4" x14ac:dyDescent="0.25">
      <c r="A24" s="8">
        <v>45866</v>
      </c>
      <c r="B24" s="9" t="s">
        <v>6</v>
      </c>
      <c r="C24" s="10">
        <v>3370</v>
      </c>
      <c r="D24" s="10">
        <f t="shared" ref="D24:D84" si="1">D23+C24</f>
        <v>4440</v>
      </c>
    </row>
    <row r="25" spans="1:4" x14ac:dyDescent="0.25">
      <c r="A25" s="8">
        <v>45869</v>
      </c>
      <c r="B25" s="9" t="s">
        <v>6</v>
      </c>
      <c r="C25" s="10">
        <v>1340</v>
      </c>
      <c r="D25" s="10">
        <f t="shared" si="1"/>
        <v>5780</v>
      </c>
    </row>
    <row r="26" spans="1:4" x14ac:dyDescent="0.25">
      <c r="A26" s="8">
        <v>45871</v>
      </c>
      <c r="B26" s="9" t="s">
        <v>7</v>
      </c>
      <c r="C26" s="10">
        <v>-5940</v>
      </c>
      <c r="D26" s="10">
        <f t="shared" si="1"/>
        <v>-160</v>
      </c>
    </row>
    <row r="27" spans="1:4" x14ac:dyDescent="0.25">
      <c r="A27" s="8">
        <v>45873</v>
      </c>
      <c r="B27" s="9" t="s">
        <v>6</v>
      </c>
      <c r="C27" s="10">
        <v>4210</v>
      </c>
      <c r="D27" s="10">
        <f t="shared" si="1"/>
        <v>4050</v>
      </c>
    </row>
    <row r="28" spans="1:4" x14ac:dyDescent="0.25">
      <c r="A28" s="8">
        <v>45874</v>
      </c>
      <c r="B28" s="9" t="s">
        <v>7</v>
      </c>
      <c r="C28" s="10">
        <v>0</v>
      </c>
      <c r="D28" s="10">
        <f t="shared" si="1"/>
        <v>4050</v>
      </c>
    </row>
    <row r="29" spans="1:4" x14ac:dyDescent="0.25">
      <c r="A29" s="8">
        <v>45875</v>
      </c>
      <c r="B29" s="9" t="s">
        <v>69</v>
      </c>
      <c r="C29" s="10">
        <v>-1340</v>
      </c>
      <c r="D29" s="10">
        <f t="shared" si="1"/>
        <v>2710</v>
      </c>
    </row>
    <row r="30" spans="1:4" x14ac:dyDescent="0.25">
      <c r="A30" s="8">
        <v>45876</v>
      </c>
      <c r="B30" s="9" t="s">
        <v>6</v>
      </c>
      <c r="C30" s="10">
        <v>2570</v>
      </c>
      <c r="D30" s="10">
        <f t="shared" si="1"/>
        <v>5280</v>
      </c>
    </row>
    <row r="31" spans="1:4" x14ac:dyDescent="0.25">
      <c r="A31" s="8">
        <v>45883</v>
      </c>
      <c r="B31" s="9" t="s">
        <v>6</v>
      </c>
      <c r="C31" s="10">
        <v>2840</v>
      </c>
      <c r="D31" s="10">
        <f t="shared" si="1"/>
        <v>8120</v>
      </c>
    </row>
    <row r="32" spans="1:4" x14ac:dyDescent="0.25">
      <c r="A32" s="8">
        <v>45885</v>
      </c>
      <c r="B32" s="9" t="s">
        <v>44</v>
      </c>
      <c r="C32" s="10">
        <v>-6780</v>
      </c>
      <c r="D32" s="10">
        <f t="shared" si="1"/>
        <v>1340</v>
      </c>
    </row>
    <row r="33" spans="1:4" x14ac:dyDescent="0.25">
      <c r="A33" s="8">
        <v>45890</v>
      </c>
      <c r="B33" s="9" t="s">
        <v>6</v>
      </c>
      <c r="C33" s="10">
        <v>2430</v>
      </c>
      <c r="D33" s="10">
        <f t="shared" si="1"/>
        <v>3770</v>
      </c>
    </row>
    <row r="34" spans="1:4" x14ac:dyDescent="0.25">
      <c r="A34" s="8">
        <v>45897</v>
      </c>
      <c r="B34" s="9" t="s">
        <v>6</v>
      </c>
      <c r="C34" s="10">
        <v>2380</v>
      </c>
      <c r="D34" s="10">
        <f t="shared" si="1"/>
        <v>6150</v>
      </c>
    </row>
    <row r="35" spans="1:4" x14ac:dyDescent="0.25">
      <c r="A35" s="8">
        <v>45901</v>
      </c>
      <c r="B35" s="9" t="s">
        <v>6</v>
      </c>
      <c r="C35" s="10">
        <v>700</v>
      </c>
      <c r="D35" s="10">
        <f t="shared" si="1"/>
        <v>6850</v>
      </c>
    </row>
    <row r="36" spans="1:4" x14ac:dyDescent="0.25">
      <c r="A36" s="8">
        <v>45901</v>
      </c>
      <c r="B36" s="9" t="s">
        <v>44</v>
      </c>
      <c r="C36" s="10">
        <v>-5380</v>
      </c>
      <c r="D36" s="10">
        <f t="shared" si="1"/>
        <v>1470</v>
      </c>
    </row>
    <row r="37" spans="1:4" x14ac:dyDescent="0.25">
      <c r="A37" s="8">
        <v>45905</v>
      </c>
      <c r="B37" s="9" t="s">
        <v>6</v>
      </c>
      <c r="C37" s="10">
        <v>1740</v>
      </c>
      <c r="D37" s="10">
        <f t="shared" si="1"/>
        <v>3210</v>
      </c>
    </row>
    <row r="38" spans="1:4" x14ac:dyDescent="0.25">
      <c r="A38" s="8">
        <v>45908</v>
      </c>
      <c r="B38" s="9" t="s">
        <v>6</v>
      </c>
      <c r="C38" s="10">
        <v>2410</v>
      </c>
      <c r="D38" s="10">
        <f t="shared" si="1"/>
        <v>5620</v>
      </c>
    </row>
    <row r="39" spans="1:4" x14ac:dyDescent="0.25">
      <c r="A39" s="8">
        <v>45908</v>
      </c>
      <c r="B39" s="9" t="s">
        <v>44</v>
      </c>
      <c r="C39" s="10">
        <v>-4820</v>
      </c>
      <c r="D39" s="10">
        <f t="shared" si="1"/>
        <v>800</v>
      </c>
    </row>
    <row r="40" spans="1:4" x14ac:dyDescent="0.25">
      <c r="A40" s="8">
        <v>45911</v>
      </c>
      <c r="B40" s="9" t="s">
        <v>6</v>
      </c>
      <c r="C40" s="10">
        <v>1540</v>
      </c>
      <c r="D40" s="10">
        <f t="shared" si="1"/>
        <v>2340</v>
      </c>
    </row>
    <row r="41" spans="1:4" x14ac:dyDescent="0.25">
      <c r="A41" s="8">
        <v>45915</v>
      </c>
      <c r="B41" s="9" t="s">
        <v>6</v>
      </c>
      <c r="C41" s="10">
        <v>3020</v>
      </c>
      <c r="D41" s="10">
        <f t="shared" si="1"/>
        <v>5360</v>
      </c>
    </row>
    <row r="42" spans="1:4" x14ac:dyDescent="0.25">
      <c r="A42" s="8">
        <v>45918</v>
      </c>
      <c r="B42" s="9" t="s">
        <v>6</v>
      </c>
      <c r="C42" s="10">
        <v>10670</v>
      </c>
      <c r="D42" s="10">
        <f t="shared" si="1"/>
        <v>16030</v>
      </c>
    </row>
    <row r="43" spans="1:4" x14ac:dyDescent="0.25">
      <c r="A43" s="8">
        <v>45921</v>
      </c>
      <c r="B43" s="9" t="s">
        <v>44</v>
      </c>
      <c r="C43" s="10">
        <v>-4560</v>
      </c>
      <c r="D43" s="10">
        <f t="shared" si="1"/>
        <v>11470</v>
      </c>
    </row>
    <row r="44" spans="1:4" x14ac:dyDescent="0.25">
      <c r="A44" s="8">
        <v>45922</v>
      </c>
      <c r="B44" s="9" t="s">
        <v>6</v>
      </c>
      <c r="C44" s="10">
        <v>2590</v>
      </c>
      <c r="D44" s="10">
        <f t="shared" si="1"/>
        <v>14060</v>
      </c>
    </row>
    <row r="45" spans="1:4" x14ac:dyDescent="0.25">
      <c r="A45" s="8">
        <v>45925</v>
      </c>
      <c r="B45" s="9" t="s">
        <v>6</v>
      </c>
      <c r="C45" s="10">
        <v>1130</v>
      </c>
      <c r="D45" s="10">
        <f t="shared" si="1"/>
        <v>15190</v>
      </c>
    </row>
    <row r="46" spans="1:4" x14ac:dyDescent="0.25">
      <c r="A46" s="8">
        <v>45929</v>
      </c>
      <c r="B46" s="9" t="s">
        <v>6</v>
      </c>
      <c r="C46" s="10">
        <v>4460</v>
      </c>
      <c r="D46" s="10">
        <f t="shared" si="1"/>
        <v>19650</v>
      </c>
    </row>
    <row r="47" spans="1:4" x14ac:dyDescent="0.25">
      <c r="A47" s="8">
        <v>45932</v>
      </c>
      <c r="B47" s="9" t="s">
        <v>138</v>
      </c>
      <c r="C47" s="10">
        <v>-10670</v>
      </c>
      <c r="D47" s="10">
        <f t="shared" si="1"/>
        <v>8980</v>
      </c>
    </row>
    <row r="48" spans="1:4" x14ac:dyDescent="0.25">
      <c r="A48" s="8">
        <v>45936</v>
      </c>
      <c r="B48" s="9" t="s">
        <v>6</v>
      </c>
      <c r="C48" s="10">
        <v>1990</v>
      </c>
      <c r="D48" s="10">
        <f t="shared" si="1"/>
        <v>10970</v>
      </c>
    </row>
    <row r="49" spans="1:4" x14ac:dyDescent="0.25">
      <c r="A49" s="8">
        <v>45938</v>
      </c>
      <c r="B49" s="9" t="s">
        <v>179</v>
      </c>
      <c r="C49" s="10">
        <v>-3940</v>
      </c>
      <c r="D49" s="10">
        <f t="shared" si="1"/>
        <v>7030</v>
      </c>
    </row>
    <row r="50" spans="1:4" x14ac:dyDescent="0.25">
      <c r="A50" s="8">
        <v>45939</v>
      </c>
      <c r="B50" s="9" t="s">
        <v>3</v>
      </c>
      <c r="C50" s="10">
        <v>3390</v>
      </c>
      <c r="D50" s="10">
        <f t="shared" si="1"/>
        <v>10420</v>
      </c>
    </row>
    <row r="51" spans="1:4" x14ac:dyDescent="0.25">
      <c r="A51" s="8">
        <v>45945</v>
      </c>
      <c r="B51" s="9" t="s">
        <v>179</v>
      </c>
      <c r="C51" s="10">
        <v>-8470</v>
      </c>
      <c r="D51" s="10">
        <f t="shared" si="1"/>
        <v>1950</v>
      </c>
    </row>
    <row r="52" spans="1:4" x14ac:dyDescent="0.25">
      <c r="A52" s="8">
        <v>45943</v>
      </c>
      <c r="B52" s="9" t="s">
        <v>3</v>
      </c>
      <c r="C52" s="10">
        <v>7430</v>
      </c>
      <c r="D52" s="10">
        <f t="shared" si="1"/>
        <v>9380</v>
      </c>
    </row>
    <row r="53" spans="1:4" x14ac:dyDescent="0.25">
      <c r="A53" s="8">
        <v>45946</v>
      </c>
      <c r="B53" s="9" t="s">
        <v>3</v>
      </c>
      <c r="C53" s="10">
        <v>6410</v>
      </c>
      <c r="D53" s="10">
        <f t="shared" si="1"/>
        <v>15790</v>
      </c>
    </row>
    <row r="54" spans="1:4" x14ac:dyDescent="0.25">
      <c r="A54" s="8">
        <v>45950</v>
      </c>
      <c r="B54" s="9" t="s">
        <v>3</v>
      </c>
      <c r="C54" s="10">
        <v>2270</v>
      </c>
      <c r="D54" s="10">
        <f t="shared" si="1"/>
        <v>18060</v>
      </c>
    </row>
    <row r="55" spans="1:4" x14ac:dyDescent="0.25">
      <c r="A55" s="13" t="s">
        <v>207</v>
      </c>
      <c r="B55" s="9" t="s">
        <v>179</v>
      </c>
      <c r="C55" s="10">
        <v>-10820</v>
      </c>
      <c r="D55" s="10">
        <f t="shared" si="1"/>
        <v>7240</v>
      </c>
    </row>
    <row r="56" spans="1:4" x14ac:dyDescent="0.25">
      <c r="A56" s="8">
        <v>45957</v>
      </c>
      <c r="B56" s="9" t="s">
        <v>3</v>
      </c>
      <c r="C56" s="10">
        <v>3680</v>
      </c>
      <c r="D56" s="10">
        <f t="shared" si="1"/>
        <v>10920</v>
      </c>
    </row>
    <row r="57" spans="1:4" x14ac:dyDescent="0.25">
      <c r="A57" s="8">
        <v>45959</v>
      </c>
      <c r="B57" s="9" t="s">
        <v>179</v>
      </c>
      <c r="C57" s="10">
        <v>-8930</v>
      </c>
      <c r="D57" s="10">
        <f t="shared" si="1"/>
        <v>1990</v>
      </c>
    </row>
    <row r="58" spans="1:4" x14ac:dyDescent="0.25">
      <c r="A58" s="8">
        <v>45960</v>
      </c>
      <c r="B58" s="9" t="s">
        <v>3</v>
      </c>
      <c r="C58" s="10">
        <v>23910</v>
      </c>
      <c r="D58" s="10">
        <f t="shared" si="1"/>
        <v>25900</v>
      </c>
    </row>
    <row r="59" spans="1:4" x14ac:dyDescent="0.25">
      <c r="A59" s="8">
        <v>45964</v>
      </c>
      <c r="B59" s="9" t="s">
        <v>179</v>
      </c>
      <c r="C59" s="10">
        <v>-13910</v>
      </c>
      <c r="D59" s="10">
        <f t="shared" si="1"/>
        <v>11990</v>
      </c>
    </row>
    <row r="60" spans="1:4" x14ac:dyDescent="0.25">
      <c r="A60" s="8">
        <v>45967</v>
      </c>
      <c r="B60" s="9" t="s">
        <v>3</v>
      </c>
      <c r="C60" s="10">
        <v>4890</v>
      </c>
      <c r="D60" s="10">
        <f t="shared" si="1"/>
        <v>16880</v>
      </c>
    </row>
    <row r="61" spans="1:4" x14ac:dyDescent="0.25">
      <c r="A61" s="8">
        <v>45971</v>
      </c>
      <c r="B61" s="9" t="s">
        <v>3</v>
      </c>
      <c r="C61" s="10">
        <v>2150</v>
      </c>
      <c r="D61" s="10">
        <f t="shared" si="1"/>
        <v>19030</v>
      </c>
    </row>
    <row r="62" spans="1:4" x14ac:dyDescent="0.25">
      <c r="A62" s="8">
        <v>45973</v>
      </c>
      <c r="B62" s="9" t="s">
        <v>138</v>
      </c>
      <c r="C62" s="10">
        <v>-10000</v>
      </c>
      <c r="D62" s="10">
        <f t="shared" si="1"/>
        <v>9030</v>
      </c>
    </row>
    <row r="63" spans="1:4" x14ac:dyDescent="0.25">
      <c r="A63" s="8">
        <v>45974</v>
      </c>
      <c r="B63" s="9" t="s">
        <v>3</v>
      </c>
      <c r="C63" s="10">
        <v>3960</v>
      </c>
      <c r="D63" s="10">
        <f t="shared" si="1"/>
        <v>12990</v>
      </c>
    </row>
    <row r="64" spans="1:4" x14ac:dyDescent="0.25">
      <c r="A64" s="8">
        <v>45978</v>
      </c>
      <c r="B64" s="9" t="s">
        <v>3</v>
      </c>
      <c r="C64" s="10">
        <v>2750</v>
      </c>
      <c r="D64" s="10">
        <f t="shared" si="1"/>
        <v>15740</v>
      </c>
    </row>
    <row r="65" spans="1:5" x14ac:dyDescent="0.25">
      <c r="A65" s="8">
        <v>45981</v>
      </c>
      <c r="B65" s="9" t="s">
        <v>3</v>
      </c>
      <c r="C65" s="10">
        <v>3470</v>
      </c>
      <c r="D65" s="10">
        <f t="shared" si="1"/>
        <v>19210</v>
      </c>
    </row>
    <row r="66" spans="1:5" x14ac:dyDescent="0.25">
      <c r="A66" s="8">
        <v>45981</v>
      </c>
      <c r="B66" s="9" t="s">
        <v>248</v>
      </c>
      <c r="C66" s="10">
        <v>-10000</v>
      </c>
      <c r="D66" s="10">
        <f t="shared" si="1"/>
        <v>9210</v>
      </c>
    </row>
    <row r="67" spans="1:5" x14ac:dyDescent="0.25">
      <c r="A67" s="8">
        <v>45988</v>
      </c>
      <c r="B67" s="9" t="s">
        <v>3</v>
      </c>
      <c r="C67" s="10">
        <v>4810</v>
      </c>
      <c r="D67" s="10">
        <f t="shared" si="1"/>
        <v>14020</v>
      </c>
    </row>
    <row r="68" spans="1:5" x14ac:dyDescent="0.25">
      <c r="A68" s="8">
        <v>45993</v>
      </c>
      <c r="B68" s="9" t="s">
        <v>3</v>
      </c>
      <c r="C68" s="10">
        <v>3210</v>
      </c>
      <c r="D68" s="10">
        <f t="shared" si="1"/>
        <v>17230</v>
      </c>
    </row>
    <row r="69" spans="1:5" x14ac:dyDescent="0.25">
      <c r="A69" s="8">
        <v>45994</v>
      </c>
      <c r="B69" s="9" t="s">
        <v>138</v>
      </c>
      <c r="C69" s="10">
        <v>-7429</v>
      </c>
      <c r="D69" s="10">
        <f t="shared" si="1"/>
        <v>9801</v>
      </c>
    </row>
    <row r="70" spans="1:5" x14ac:dyDescent="0.25">
      <c r="A70" s="8">
        <v>45995</v>
      </c>
      <c r="B70" s="9" t="s">
        <v>3</v>
      </c>
      <c r="C70" s="10">
        <v>7440</v>
      </c>
      <c r="D70" s="10">
        <f t="shared" si="1"/>
        <v>17241</v>
      </c>
    </row>
    <row r="71" spans="1:5" x14ac:dyDescent="0.25">
      <c r="A71" s="8">
        <v>45995</v>
      </c>
      <c r="B71" s="9" t="s">
        <v>138</v>
      </c>
      <c r="C71" s="10">
        <v>-19000</v>
      </c>
      <c r="D71" s="10">
        <f t="shared" si="1"/>
        <v>-1759</v>
      </c>
    </row>
    <row r="72" spans="1:5" x14ac:dyDescent="0.25">
      <c r="A72" s="8">
        <v>46002</v>
      </c>
      <c r="B72" s="9" t="s">
        <v>3</v>
      </c>
      <c r="C72" s="10">
        <v>3670</v>
      </c>
      <c r="D72" s="10">
        <f t="shared" si="1"/>
        <v>1911</v>
      </c>
    </row>
    <row r="73" spans="1:5" x14ac:dyDescent="0.25">
      <c r="A73" s="8">
        <v>45999</v>
      </c>
      <c r="B73" s="9" t="s">
        <v>3</v>
      </c>
      <c r="C73" s="10">
        <v>3700</v>
      </c>
      <c r="D73" s="10">
        <f t="shared" si="1"/>
        <v>5611</v>
      </c>
    </row>
    <row r="74" spans="1:5" x14ac:dyDescent="0.25">
      <c r="A74" s="8">
        <v>46006</v>
      </c>
      <c r="B74" s="9" t="s">
        <v>3</v>
      </c>
      <c r="C74" s="10">
        <v>4690</v>
      </c>
      <c r="D74" s="10">
        <f t="shared" si="1"/>
        <v>10301</v>
      </c>
    </row>
    <row r="75" spans="1:5" x14ac:dyDescent="0.25">
      <c r="A75" s="8">
        <v>46009</v>
      </c>
      <c r="B75" s="9" t="s">
        <v>3</v>
      </c>
      <c r="C75" s="10">
        <v>2840</v>
      </c>
      <c r="D75" s="10">
        <f t="shared" si="1"/>
        <v>13141</v>
      </c>
      <c r="E75" t="s">
        <v>264</v>
      </c>
    </row>
    <row r="76" spans="1:5" x14ac:dyDescent="0.25">
      <c r="A76" s="8">
        <v>46012</v>
      </c>
      <c r="B76" s="9" t="s">
        <v>127</v>
      </c>
      <c r="C76" s="10">
        <v>-7370</v>
      </c>
      <c r="D76" s="10">
        <f t="shared" si="1"/>
        <v>5771</v>
      </c>
    </row>
    <row r="77" spans="1:5" x14ac:dyDescent="0.25">
      <c r="A77" s="8">
        <v>46013</v>
      </c>
      <c r="B77" s="9" t="s">
        <v>3</v>
      </c>
      <c r="C77" s="10">
        <v>5570</v>
      </c>
      <c r="D77" s="10">
        <f t="shared" si="1"/>
        <v>11341</v>
      </c>
    </row>
    <row r="78" spans="1:5" x14ac:dyDescent="0.25">
      <c r="A78" s="8">
        <v>46017</v>
      </c>
      <c r="B78" s="9" t="s">
        <v>3</v>
      </c>
      <c r="C78" s="10">
        <v>1680</v>
      </c>
      <c r="D78" s="10">
        <f t="shared" si="1"/>
        <v>13021</v>
      </c>
    </row>
    <row r="79" spans="1:5" x14ac:dyDescent="0.25">
      <c r="A79" s="8">
        <v>46027</v>
      </c>
      <c r="B79" s="9" t="s">
        <v>3</v>
      </c>
      <c r="C79" s="10">
        <v>4150</v>
      </c>
      <c r="D79" s="10">
        <f t="shared" si="1"/>
        <v>17171</v>
      </c>
    </row>
    <row r="80" spans="1:5" x14ac:dyDescent="0.25">
      <c r="A80" s="8">
        <v>46030</v>
      </c>
      <c r="B80" s="9" t="s">
        <v>3</v>
      </c>
      <c r="C80" s="10">
        <v>2440</v>
      </c>
      <c r="D80" s="10">
        <f t="shared" si="1"/>
        <v>19611</v>
      </c>
    </row>
    <row r="81" spans="1:4" x14ac:dyDescent="0.25">
      <c r="A81" s="8">
        <v>46034</v>
      </c>
      <c r="B81" s="9" t="s">
        <v>3</v>
      </c>
      <c r="C81" s="10">
        <v>1650</v>
      </c>
      <c r="D81" s="10">
        <f t="shared" si="1"/>
        <v>21261</v>
      </c>
    </row>
    <row r="82" spans="1:4" x14ac:dyDescent="0.25">
      <c r="A82" s="8">
        <v>46034</v>
      </c>
      <c r="B82" s="9" t="s">
        <v>285</v>
      </c>
      <c r="C82" s="10">
        <v>-28160</v>
      </c>
      <c r="D82" s="10">
        <f t="shared" si="1"/>
        <v>-6899</v>
      </c>
    </row>
    <row r="83" spans="1:4" x14ac:dyDescent="0.25">
      <c r="A83" s="8">
        <v>46037</v>
      </c>
      <c r="B83" s="9" t="s">
        <v>3</v>
      </c>
      <c r="C83" s="10">
        <v>2970</v>
      </c>
      <c r="D83" s="10">
        <f t="shared" si="1"/>
        <v>-3929</v>
      </c>
    </row>
    <row r="84" spans="1:4" x14ac:dyDescent="0.25">
      <c r="A84" s="8">
        <v>46041</v>
      </c>
      <c r="B84" s="9" t="s">
        <v>3</v>
      </c>
      <c r="C84" s="10">
        <v>2620</v>
      </c>
      <c r="D84" s="10">
        <f t="shared" si="1"/>
        <v>-1309</v>
      </c>
    </row>
    <row r="85" spans="1:4" x14ac:dyDescent="0.25">
      <c r="A85" s="8">
        <v>46043</v>
      </c>
      <c r="B85" s="9" t="s">
        <v>3</v>
      </c>
      <c r="C85" s="10">
        <v>4850</v>
      </c>
      <c r="D85" s="10">
        <f t="shared" ref="D85:D149" si="2">D84+C85</f>
        <v>3541</v>
      </c>
    </row>
    <row r="86" spans="1:4" x14ac:dyDescent="0.25">
      <c r="A86" s="8">
        <v>46045</v>
      </c>
      <c r="B86" s="9" t="s">
        <v>3</v>
      </c>
      <c r="C86" s="10">
        <v>3850</v>
      </c>
      <c r="D86" s="10">
        <f t="shared" si="2"/>
        <v>7391</v>
      </c>
    </row>
    <row r="87" spans="1:4" x14ac:dyDescent="0.25">
      <c r="A87" s="8">
        <v>46051</v>
      </c>
      <c r="B87" s="9" t="s">
        <v>3</v>
      </c>
      <c r="C87" s="10">
        <v>4300</v>
      </c>
      <c r="D87" s="10">
        <f t="shared" si="2"/>
        <v>11691</v>
      </c>
    </row>
    <row r="88" spans="1:4" x14ac:dyDescent="0.25">
      <c r="A88" s="8">
        <v>46052</v>
      </c>
      <c r="B88" s="9" t="s">
        <v>3</v>
      </c>
      <c r="C88" s="10">
        <v>3820</v>
      </c>
      <c r="D88" s="10">
        <f t="shared" si="2"/>
        <v>15511</v>
      </c>
    </row>
    <row r="89" spans="1:4" x14ac:dyDescent="0.25">
      <c r="A89" s="8">
        <v>46055</v>
      </c>
      <c r="B89" s="9" t="s">
        <v>3</v>
      </c>
      <c r="C89" s="10">
        <v>1450</v>
      </c>
      <c r="D89" s="10">
        <f t="shared" si="2"/>
        <v>16961</v>
      </c>
    </row>
    <row r="90" spans="1:4" x14ac:dyDescent="0.25">
      <c r="A90" s="8">
        <v>46056</v>
      </c>
      <c r="B90" s="9" t="s">
        <v>127</v>
      </c>
      <c r="C90" s="10">
        <v>-13000</v>
      </c>
      <c r="D90" s="10">
        <f t="shared" si="2"/>
        <v>3961</v>
      </c>
    </row>
    <row r="91" spans="1:4" x14ac:dyDescent="0.25">
      <c r="A91" s="8">
        <v>46059</v>
      </c>
      <c r="B91" s="9" t="s">
        <v>3</v>
      </c>
      <c r="C91" s="10">
        <v>4790</v>
      </c>
      <c r="D91" s="10">
        <f t="shared" si="2"/>
        <v>8751</v>
      </c>
    </row>
    <row r="92" spans="1:4" x14ac:dyDescent="0.25">
      <c r="A92" s="8">
        <v>46072</v>
      </c>
      <c r="B92" s="9" t="s">
        <v>327</v>
      </c>
      <c r="C92" s="10">
        <v>5080</v>
      </c>
      <c r="D92" s="10">
        <f t="shared" si="2"/>
        <v>13831</v>
      </c>
    </row>
    <row r="93" spans="1:4" x14ac:dyDescent="0.25">
      <c r="A93" s="8">
        <v>46076</v>
      </c>
      <c r="B93" s="9" t="s">
        <v>3</v>
      </c>
      <c r="C93" s="10">
        <v>1220</v>
      </c>
      <c r="D93" s="10">
        <f t="shared" si="2"/>
        <v>15051</v>
      </c>
    </row>
    <row r="94" spans="1:4" x14ac:dyDescent="0.25">
      <c r="A94" s="8">
        <v>46079</v>
      </c>
      <c r="B94" s="9" t="s">
        <v>3</v>
      </c>
      <c r="C94" s="10">
        <v>1430</v>
      </c>
      <c r="D94" s="10">
        <f t="shared" si="2"/>
        <v>16481</v>
      </c>
    </row>
    <row r="95" spans="1:4" x14ac:dyDescent="0.25">
      <c r="A95" s="8">
        <v>46083</v>
      </c>
      <c r="B95" s="9" t="s">
        <v>3</v>
      </c>
      <c r="C95" s="10">
        <v>2250</v>
      </c>
      <c r="D95" s="10">
        <f t="shared" si="2"/>
        <v>18731</v>
      </c>
    </row>
    <row r="96" spans="1:4" x14ac:dyDescent="0.25">
      <c r="A96" s="8">
        <v>46086</v>
      </c>
      <c r="B96" s="9" t="s">
        <v>3</v>
      </c>
      <c r="C96" s="10">
        <v>2220</v>
      </c>
      <c r="D96" s="10">
        <f t="shared" si="2"/>
        <v>20951</v>
      </c>
    </row>
    <row r="97" spans="1:4" x14ac:dyDescent="0.25">
      <c r="A97" s="8">
        <v>46086</v>
      </c>
      <c r="B97" s="9" t="s">
        <v>127</v>
      </c>
      <c r="C97" s="10">
        <v>-12000</v>
      </c>
      <c r="D97" s="10">
        <f t="shared" si="2"/>
        <v>8951</v>
      </c>
    </row>
    <row r="98" spans="1:4" x14ac:dyDescent="0.25">
      <c r="A98" s="8">
        <v>46090</v>
      </c>
      <c r="B98" s="9" t="s">
        <v>3</v>
      </c>
      <c r="C98" s="10">
        <v>4260</v>
      </c>
      <c r="D98" s="10">
        <f t="shared" si="2"/>
        <v>13211</v>
      </c>
    </row>
    <row r="99" spans="1:4" x14ac:dyDescent="0.25">
      <c r="A99" s="8">
        <v>46097</v>
      </c>
      <c r="B99" s="9" t="s">
        <v>3</v>
      </c>
      <c r="C99" s="10">
        <v>2110</v>
      </c>
      <c r="D99" s="10">
        <f t="shared" si="2"/>
        <v>15321</v>
      </c>
    </row>
    <row r="100" spans="1:4" x14ac:dyDescent="0.25">
      <c r="A100" s="8">
        <v>46104</v>
      </c>
      <c r="B100" s="9" t="s">
        <v>3</v>
      </c>
      <c r="C100" s="10">
        <v>2920</v>
      </c>
      <c r="D100" s="10">
        <f t="shared" si="2"/>
        <v>18241</v>
      </c>
    </row>
    <row r="101" spans="1:4" x14ac:dyDescent="0.25">
      <c r="A101" s="8">
        <v>46106</v>
      </c>
      <c r="B101" s="9" t="s">
        <v>374</v>
      </c>
      <c r="C101" s="10">
        <v>-10000</v>
      </c>
      <c r="D101" s="10">
        <f t="shared" si="2"/>
        <v>8241</v>
      </c>
    </row>
    <row r="102" spans="1:4" x14ac:dyDescent="0.25">
      <c r="A102" s="8">
        <v>46111</v>
      </c>
      <c r="B102" s="9" t="s">
        <v>3</v>
      </c>
      <c r="C102" s="10">
        <v>3100</v>
      </c>
      <c r="D102" s="10">
        <f t="shared" si="2"/>
        <v>11341</v>
      </c>
    </row>
    <row r="103" spans="1:4" x14ac:dyDescent="0.25">
      <c r="A103" s="8">
        <v>46118</v>
      </c>
      <c r="B103" s="9" t="s">
        <v>3</v>
      </c>
      <c r="C103" s="10">
        <v>2970</v>
      </c>
      <c r="D103" s="10">
        <f t="shared" si="2"/>
        <v>14311</v>
      </c>
    </row>
    <row r="104" spans="1:4" x14ac:dyDescent="0.25">
      <c r="A104" s="8">
        <v>46121</v>
      </c>
      <c r="B104" s="9" t="s">
        <v>3</v>
      </c>
      <c r="C104" s="10">
        <v>3750</v>
      </c>
      <c r="D104" s="10">
        <f t="shared" si="2"/>
        <v>18061</v>
      </c>
    </row>
    <row r="105" spans="1:4" x14ac:dyDescent="0.25">
      <c r="A105" s="8">
        <v>46127</v>
      </c>
      <c r="B105" s="9" t="s">
        <v>127</v>
      </c>
      <c r="C105" s="10">
        <v>-16000</v>
      </c>
      <c r="D105" s="10">
        <f t="shared" si="2"/>
        <v>2061</v>
      </c>
    </row>
    <row r="106" spans="1:4" x14ac:dyDescent="0.25">
      <c r="A106" s="8">
        <v>46128</v>
      </c>
      <c r="B106" s="9" t="s">
        <v>3</v>
      </c>
      <c r="C106" s="10">
        <v>4720</v>
      </c>
      <c r="D106" s="10">
        <f t="shared" si="2"/>
        <v>6781</v>
      </c>
    </row>
    <row r="107" spans="1:4" x14ac:dyDescent="0.25">
      <c r="A107" s="8">
        <v>46132</v>
      </c>
      <c r="B107" s="9" t="s">
        <v>3</v>
      </c>
      <c r="C107" s="10">
        <v>3150</v>
      </c>
      <c r="D107" s="10">
        <f t="shared" si="2"/>
        <v>9931</v>
      </c>
    </row>
    <row r="108" spans="1:4" x14ac:dyDescent="0.25">
      <c r="A108" s="8">
        <v>46135</v>
      </c>
      <c r="B108" s="9" t="s">
        <v>3</v>
      </c>
      <c r="C108" s="10">
        <v>3430</v>
      </c>
      <c r="D108" s="10">
        <f t="shared" si="2"/>
        <v>13361</v>
      </c>
    </row>
    <row r="109" spans="1:4" x14ac:dyDescent="0.25">
      <c r="A109" s="8">
        <v>46139</v>
      </c>
      <c r="B109" s="9" t="s">
        <v>3</v>
      </c>
      <c r="C109" s="10">
        <v>1740</v>
      </c>
      <c r="D109" s="10">
        <f t="shared" si="2"/>
        <v>15101</v>
      </c>
    </row>
    <row r="110" spans="1:4" x14ac:dyDescent="0.25">
      <c r="A110" s="8">
        <v>46146</v>
      </c>
      <c r="B110" s="9" t="s">
        <v>3</v>
      </c>
      <c r="C110" s="10">
        <v>4760</v>
      </c>
      <c r="D110" s="10">
        <f t="shared" si="2"/>
        <v>19861</v>
      </c>
    </row>
    <row r="111" spans="1:4" x14ac:dyDescent="0.25">
      <c r="A111" s="8">
        <v>46147</v>
      </c>
      <c r="B111" s="9" t="s">
        <v>127</v>
      </c>
      <c r="C111" s="10">
        <v>-15220</v>
      </c>
      <c r="D111" s="10">
        <f t="shared" si="2"/>
        <v>4641</v>
      </c>
    </row>
    <row r="112" spans="1:4" x14ac:dyDescent="0.25">
      <c r="A112" s="8">
        <v>46149</v>
      </c>
      <c r="B112" s="9" t="s">
        <v>3</v>
      </c>
      <c r="C112" s="10">
        <v>28080</v>
      </c>
      <c r="D112" s="10">
        <f t="shared" si="2"/>
        <v>32721</v>
      </c>
    </row>
    <row r="113" spans="1:9" x14ac:dyDescent="0.25">
      <c r="A113" s="8">
        <v>46153</v>
      </c>
      <c r="B113" s="9" t="s">
        <v>3</v>
      </c>
      <c r="C113" s="10">
        <v>3280</v>
      </c>
      <c r="D113" s="10">
        <f t="shared" si="2"/>
        <v>36001</v>
      </c>
    </row>
    <row r="114" spans="1:9" x14ac:dyDescent="0.25">
      <c r="A114" s="8">
        <v>46156</v>
      </c>
      <c r="B114" s="9" t="s">
        <v>3</v>
      </c>
      <c r="C114" s="10">
        <v>1860</v>
      </c>
      <c r="D114" s="10">
        <f t="shared" si="2"/>
        <v>37861</v>
      </c>
    </row>
    <row r="115" spans="1:9" x14ac:dyDescent="0.25">
      <c r="A115" s="8">
        <v>46160</v>
      </c>
      <c r="B115" s="9" t="s">
        <v>3</v>
      </c>
      <c r="C115" s="10">
        <v>3170</v>
      </c>
      <c r="D115" s="10">
        <f t="shared" si="2"/>
        <v>41031</v>
      </c>
    </row>
    <row r="116" spans="1:9" x14ac:dyDescent="0.25">
      <c r="A116" s="8">
        <v>46162</v>
      </c>
      <c r="B116" s="9" t="s">
        <v>127</v>
      </c>
      <c r="C116" s="10">
        <v>-28080</v>
      </c>
      <c r="D116" s="10">
        <f t="shared" si="2"/>
        <v>12951</v>
      </c>
    </row>
    <row r="117" spans="1:9" x14ac:dyDescent="0.25">
      <c r="A117" s="8">
        <v>46163</v>
      </c>
      <c r="B117" s="9" t="s">
        <v>3</v>
      </c>
      <c r="C117" s="10">
        <v>2640</v>
      </c>
      <c r="D117" s="10">
        <f t="shared" si="2"/>
        <v>15591</v>
      </c>
    </row>
    <row r="118" spans="1:9" x14ac:dyDescent="0.25">
      <c r="A118" s="8">
        <v>46170</v>
      </c>
      <c r="B118" s="9" t="s">
        <v>3</v>
      </c>
      <c r="C118" s="10">
        <v>2630</v>
      </c>
      <c r="D118" s="10">
        <f t="shared" si="2"/>
        <v>18221</v>
      </c>
    </row>
    <row r="119" spans="1:9" x14ac:dyDescent="0.25">
      <c r="A119" s="13">
        <v>46173</v>
      </c>
      <c r="B119" s="9" t="s">
        <v>179</v>
      </c>
      <c r="C119" s="10">
        <v>-10000</v>
      </c>
      <c r="D119" s="10">
        <f t="shared" si="2"/>
        <v>8221</v>
      </c>
    </row>
    <row r="120" spans="1:9" x14ac:dyDescent="0.25">
      <c r="A120" s="8">
        <v>46174</v>
      </c>
      <c r="B120" s="9" t="s">
        <v>3</v>
      </c>
      <c r="C120" s="10">
        <v>2740</v>
      </c>
      <c r="D120" s="10">
        <f t="shared" si="2"/>
        <v>10961</v>
      </c>
    </row>
    <row r="121" spans="1:9" ht="34.5" x14ac:dyDescent="0.55000000000000004">
      <c r="A121" s="8">
        <v>46181</v>
      </c>
      <c r="B121" s="9" t="s">
        <v>3</v>
      </c>
      <c r="C121" s="10">
        <v>2570</v>
      </c>
      <c r="D121" s="10">
        <f t="shared" si="2"/>
        <v>13531</v>
      </c>
      <c r="H121" s="93" t="s">
        <v>516</v>
      </c>
    </row>
    <row r="122" spans="1:9" x14ac:dyDescent="0.25">
      <c r="A122" s="8">
        <v>46188</v>
      </c>
      <c r="B122" s="9" t="s">
        <v>3</v>
      </c>
      <c r="C122" s="10">
        <v>1950</v>
      </c>
      <c r="D122" s="10">
        <f t="shared" si="2"/>
        <v>15481</v>
      </c>
    </row>
    <row r="123" spans="1:9" x14ac:dyDescent="0.25">
      <c r="A123" s="8">
        <v>46191</v>
      </c>
      <c r="B123" s="9" t="s">
        <v>3</v>
      </c>
      <c r="C123" s="10">
        <v>2050</v>
      </c>
      <c r="D123" s="10">
        <f t="shared" si="2"/>
        <v>17531</v>
      </c>
    </row>
    <row r="124" spans="1:9" x14ac:dyDescent="0.25">
      <c r="A124" s="8">
        <v>46198</v>
      </c>
      <c r="B124" s="9" t="s">
        <v>3</v>
      </c>
      <c r="C124" s="10">
        <f>700+350+2100+360+220+250+160+220+350+170+160+280+200+100</f>
        <v>5620</v>
      </c>
      <c r="D124" s="10">
        <f t="shared" si="2"/>
        <v>23151</v>
      </c>
      <c r="G124" s="92"/>
      <c r="H124" s="92" t="s">
        <v>515</v>
      </c>
      <c r="I124" s="92"/>
    </row>
    <row r="125" spans="1:9" x14ac:dyDescent="0.25">
      <c r="A125" s="8">
        <v>46197</v>
      </c>
      <c r="B125" s="9" t="s">
        <v>476</v>
      </c>
      <c r="C125" s="10">
        <v>-10000</v>
      </c>
      <c r="D125" s="10">
        <f t="shared" si="2"/>
        <v>13151</v>
      </c>
    </row>
    <row r="126" spans="1:9" x14ac:dyDescent="0.25">
      <c r="A126" s="8">
        <v>46205</v>
      </c>
      <c r="B126" s="9" t="s">
        <v>3</v>
      </c>
      <c r="C126" s="10">
        <v>1720</v>
      </c>
      <c r="D126" s="10">
        <f t="shared" si="2"/>
        <v>14871</v>
      </c>
    </row>
    <row r="127" spans="1:9" x14ac:dyDescent="0.25">
      <c r="A127" s="8">
        <v>46209</v>
      </c>
      <c r="B127" s="9" t="s">
        <v>3</v>
      </c>
      <c r="C127" s="10">
        <v>960</v>
      </c>
      <c r="D127" s="10">
        <f t="shared" si="2"/>
        <v>15831</v>
      </c>
    </row>
    <row r="128" spans="1:9" x14ac:dyDescent="0.25">
      <c r="A128" s="8">
        <v>46212</v>
      </c>
      <c r="B128" s="9" t="s">
        <v>3</v>
      </c>
      <c r="C128" s="10">
        <f>700+350+700+700+160+170+180+170+100</f>
        <v>3230</v>
      </c>
      <c r="D128" s="10">
        <f t="shared" si="2"/>
        <v>19061</v>
      </c>
    </row>
    <row r="129" spans="1:4" x14ac:dyDescent="0.25">
      <c r="A129" s="8">
        <v>46219</v>
      </c>
      <c r="B129" s="9" t="s">
        <v>3</v>
      </c>
      <c r="C129" s="10">
        <v>3240</v>
      </c>
      <c r="D129" s="10">
        <f>D128+C129</f>
        <v>22301</v>
      </c>
    </row>
    <row r="130" spans="1:4" x14ac:dyDescent="0.25">
      <c r="A130" s="8">
        <v>46222</v>
      </c>
      <c r="B130" s="9" t="s">
        <v>227</v>
      </c>
      <c r="C130" s="10">
        <v>-10000</v>
      </c>
      <c r="D130" s="10">
        <f>D129+C130</f>
        <v>12301</v>
      </c>
    </row>
    <row r="131" spans="1:4" x14ac:dyDescent="0.25">
      <c r="A131" s="8">
        <v>46223</v>
      </c>
      <c r="B131" s="9" t="s">
        <v>3</v>
      </c>
      <c r="C131" s="10">
        <v>2500</v>
      </c>
      <c r="D131" s="10">
        <f>D130+C131</f>
        <v>14801</v>
      </c>
    </row>
    <row r="132" spans="1:4" x14ac:dyDescent="0.25">
      <c r="A132" s="8">
        <v>46226</v>
      </c>
      <c r="B132" s="9" t="s">
        <v>97</v>
      </c>
      <c r="C132" s="10">
        <v>2740</v>
      </c>
      <c r="D132" s="10">
        <f t="shared" si="2"/>
        <v>17541</v>
      </c>
    </row>
    <row r="133" spans="1:4" x14ac:dyDescent="0.25">
      <c r="A133" s="8">
        <v>46233</v>
      </c>
      <c r="B133" s="9" t="s">
        <v>3</v>
      </c>
      <c r="C133" s="10">
        <v>3570</v>
      </c>
      <c r="D133" s="10">
        <f t="shared" si="2"/>
        <v>21111</v>
      </c>
    </row>
    <row r="134" spans="1:4" x14ac:dyDescent="0.25">
      <c r="A134" s="8">
        <v>46233</v>
      </c>
      <c r="B134" s="9" t="s">
        <v>127</v>
      </c>
      <c r="C134" s="10">
        <v>-7800</v>
      </c>
      <c r="D134" s="10">
        <f t="shared" si="2"/>
        <v>13311</v>
      </c>
    </row>
    <row r="135" spans="1:4" x14ac:dyDescent="0.25">
      <c r="A135" s="8">
        <v>46240</v>
      </c>
      <c r="B135" s="9" t="s">
        <v>3</v>
      </c>
      <c r="C135" s="10">
        <v>4560</v>
      </c>
      <c r="D135" s="10">
        <f t="shared" si="2"/>
        <v>17871</v>
      </c>
    </row>
    <row r="136" spans="1:4" x14ac:dyDescent="0.25">
      <c r="A136" s="8">
        <v>46247</v>
      </c>
      <c r="B136" s="9" t="s">
        <v>3</v>
      </c>
      <c r="C136" s="10">
        <v>2520</v>
      </c>
      <c r="D136" s="10">
        <f t="shared" si="2"/>
        <v>20391</v>
      </c>
    </row>
    <row r="137" spans="1:4" x14ac:dyDescent="0.25">
      <c r="A137" s="8">
        <v>46250</v>
      </c>
      <c r="B137" s="9" t="s">
        <v>127</v>
      </c>
      <c r="C137" s="10">
        <v>-8650</v>
      </c>
      <c r="D137" s="10">
        <f t="shared" si="2"/>
        <v>11741</v>
      </c>
    </row>
    <row r="138" spans="1:4" x14ac:dyDescent="0.25">
      <c r="A138" s="8">
        <v>46251</v>
      </c>
      <c r="B138" s="9" t="s">
        <v>3</v>
      </c>
      <c r="C138" s="10">
        <v>3460</v>
      </c>
      <c r="D138" s="10">
        <f t="shared" si="2"/>
        <v>15201</v>
      </c>
    </row>
    <row r="139" spans="1:4" x14ac:dyDescent="0.25">
      <c r="A139" s="8">
        <v>46254</v>
      </c>
      <c r="B139" s="9" t="s">
        <v>3</v>
      </c>
      <c r="C139" s="10">
        <v>3230</v>
      </c>
      <c r="D139" s="10">
        <f t="shared" si="2"/>
        <v>18431</v>
      </c>
    </row>
    <row r="140" spans="1:4" x14ac:dyDescent="0.25">
      <c r="A140" s="8">
        <v>46268</v>
      </c>
      <c r="B140" s="9" t="s">
        <v>3</v>
      </c>
      <c r="C140" s="10">
        <v>1890</v>
      </c>
      <c r="D140" s="10">
        <f t="shared" si="2"/>
        <v>20321</v>
      </c>
    </row>
    <row r="141" spans="1:4" x14ac:dyDescent="0.25">
      <c r="A141" s="8">
        <v>46300</v>
      </c>
      <c r="B141" s="9" t="s">
        <v>3</v>
      </c>
      <c r="C141" s="10">
        <v>4500</v>
      </c>
      <c r="D141" s="10">
        <f t="shared" si="2"/>
        <v>24821</v>
      </c>
    </row>
    <row r="142" spans="1:4" x14ac:dyDescent="0.25">
      <c r="A142" s="8">
        <v>46300</v>
      </c>
      <c r="B142" s="9" t="s">
        <v>96</v>
      </c>
      <c r="C142" s="10">
        <v>-4500</v>
      </c>
      <c r="D142" s="10">
        <f t="shared" si="2"/>
        <v>20321</v>
      </c>
    </row>
    <row r="143" spans="1:4" x14ac:dyDescent="0.25">
      <c r="A143" s="9"/>
      <c r="B143" s="9"/>
      <c r="C143" s="10"/>
      <c r="D143" s="10">
        <f t="shared" si="2"/>
        <v>20321</v>
      </c>
    </row>
    <row r="144" spans="1:4" x14ac:dyDescent="0.25">
      <c r="A144" s="9"/>
      <c r="B144" s="9"/>
      <c r="C144" s="10"/>
      <c r="D144" s="10">
        <f t="shared" si="2"/>
        <v>20321</v>
      </c>
    </row>
    <row r="145" spans="1:4" x14ac:dyDescent="0.25">
      <c r="A145" s="9"/>
      <c r="B145" s="9"/>
      <c r="C145" s="10"/>
      <c r="D145" s="10">
        <f t="shared" si="2"/>
        <v>20321</v>
      </c>
    </row>
    <row r="146" spans="1:4" x14ac:dyDescent="0.25">
      <c r="A146" s="9"/>
      <c r="B146" s="9"/>
      <c r="C146" s="10"/>
      <c r="D146" s="10">
        <f t="shared" si="2"/>
        <v>20321</v>
      </c>
    </row>
    <row r="147" spans="1:4" x14ac:dyDescent="0.25">
      <c r="A147" s="9"/>
      <c r="B147" s="9"/>
      <c r="C147" s="10"/>
      <c r="D147" s="10">
        <f t="shared" si="2"/>
        <v>20321</v>
      </c>
    </row>
    <row r="148" spans="1:4" x14ac:dyDescent="0.25">
      <c r="A148" s="9"/>
      <c r="B148" s="9"/>
      <c r="C148" s="10"/>
      <c r="D148" s="10">
        <f t="shared" si="2"/>
        <v>20321</v>
      </c>
    </row>
    <row r="149" spans="1:4" x14ac:dyDescent="0.25">
      <c r="A149" s="9"/>
      <c r="B149" s="9"/>
      <c r="C149" s="10"/>
      <c r="D149" s="10">
        <f t="shared" si="2"/>
        <v>20321</v>
      </c>
    </row>
    <row r="150" spans="1:4" x14ac:dyDescent="0.25">
      <c r="A150" s="9"/>
      <c r="B150" s="9"/>
      <c r="C150" s="10"/>
      <c r="D150" s="10">
        <f t="shared" ref="D150:D156" si="3">D149+C150</f>
        <v>20321</v>
      </c>
    </row>
    <row r="151" spans="1:4" x14ac:dyDescent="0.25">
      <c r="A151" s="9"/>
      <c r="B151" s="9"/>
      <c r="C151" s="10"/>
      <c r="D151" s="10">
        <f t="shared" si="3"/>
        <v>20321</v>
      </c>
    </row>
    <row r="152" spans="1:4" x14ac:dyDescent="0.25">
      <c r="A152" s="9"/>
      <c r="B152" s="9"/>
      <c r="C152" s="10"/>
      <c r="D152" s="10">
        <f t="shared" si="3"/>
        <v>20321</v>
      </c>
    </row>
    <row r="153" spans="1:4" x14ac:dyDescent="0.25">
      <c r="A153" s="9"/>
      <c r="B153" s="9"/>
      <c r="C153" s="10"/>
      <c r="D153" s="10">
        <f t="shared" si="3"/>
        <v>20321</v>
      </c>
    </row>
    <row r="154" spans="1:4" x14ac:dyDescent="0.25">
      <c r="A154" s="9"/>
      <c r="B154" s="9"/>
      <c r="C154" s="10"/>
      <c r="D154" s="10">
        <f t="shared" si="3"/>
        <v>20321</v>
      </c>
    </row>
    <row r="155" spans="1:4" x14ac:dyDescent="0.25">
      <c r="A155" s="9"/>
      <c r="B155" s="9"/>
      <c r="C155" s="10"/>
      <c r="D155" s="10">
        <f t="shared" si="3"/>
        <v>20321</v>
      </c>
    </row>
    <row r="156" spans="1:4" x14ac:dyDescent="0.25">
      <c r="A156" s="9"/>
      <c r="B156" s="9"/>
      <c r="C156" s="10"/>
      <c r="D156" s="10">
        <f t="shared" si="3"/>
        <v>20321</v>
      </c>
    </row>
    <row r="157" spans="1:4" x14ac:dyDescent="0.25">
      <c r="A157" s="9"/>
      <c r="B157" s="9"/>
      <c r="C157" s="10"/>
      <c r="D157" s="10">
        <f t="shared" ref="D157:D185" si="4">D156+C159</f>
        <v>20321</v>
      </c>
    </row>
    <row r="158" spans="1:4" x14ac:dyDescent="0.25">
      <c r="A158" s="9"/>
      <c r="B158" s="9"/>
      <c r="C158" s="10"/>
      <c r="D158" s="10">
        <f t="shared" si="4"/>
        <v>20321</v>
      </c>
    </row>
    <row r="159" spans="1:4" x14ac:dyDescent="0.25">
      <c r="A159" s="9"/>
      <c r="B159" s="9"/>
      <c r="C159" s="10"/>
      <c r="D159" s="10">
        <f t="shared" si="4"/>
        <v>20321</v>
      </c>
    </row>
    <row r="160" spans="1:4" x14ac:dyDescent="0.25">
      <c r="A160" s="9"/>
      <c r="B160" s="9"/>
      <c r="C160" s="10"/>
      <c r="D160" s="10">
        <f t="shared" si="4"/>
        <v>20321</v>
      </c>
    </row>
    <row r="161" spans="1:4" x14ac:dyDescent="0.25">
      <c r="A161" s="9"/>
      <c r="B161" s="9"/>
      <c r="C161" s="10"/>
      <c r="D161" s="10">
        <f t="shared" si="4"/>
        <v>20321</v>
      </c>
    </row>
    <row r="162" spans="1:4" x14ac:dyDescent="0.25">
      <c r="A162" s="9"/>
      <c r="B162" s="9"/>
      <c r="C162" s="10"/>
      <c r="D162" s="10">
        <f t="shared" si="4"/>
        <v>20321</v>
      </c>
    </row>
    <row r="163" spans="1:4" x14ac:dyDescent="0.25">
      <c r="A163" s="9"/>
      <c r="B163" s="9"/>
      <c r="C163" s="10"/>
      <c r="D163" s="10">
        <f t="shared" si="4"/>
        <v>20321</v>
      </c>
    </row>
    <row r="164" spans="1:4" x14ac:dyDescent="0.25">
      <c r="A164" s="9"/>
      <c r="B164" s="9"/>
      <c r="C164" s="10"/>
      <c r="D164" s="10">
        <f t="shared" si="4"/>
        <v>20321</v>
      </c>
    </row>
    <row r="165" spans="1:4" x14ac:dyDescent="0.25">
      <c r="A165" s="9"/>
      <c r="B165" s="9"/>
      <c r="C165" s="10"/>
      <c r="D165" s="10">
        <f t="shared" si="4"/>
        <v>20321</v>
      </c>
    </row>
    <row r="166" spans="1:4" x14ac:dyDescent="0.25">
      <c r="A166" s="9"/>
      <c r="B166" s="9"/>
      <c r="C166" s="10"/>
      <c r="D166" s="10">
        <f t="shared" si="4"/>
        <v>20321</v>
      </c>
    </row>
    <row r="167" spans="1:4" x14ac:dyDescent="0.25">
      <c r="A167" s="9"/>
      <c r="B167" s="9"/>
      <c r="C167" s="10"/>
      <c r="D167" s="10">
        <f t="shared" si="4"/>
        <v>20321</v>
      </c>
    </row>
    <row r="168" spans="1:4" x14ac:dyDescent="0.25">
      <c r="A168" s="9"/>
      <c r="B168" s="9"/>
      <c r="C168" s="10"/>
      <c r="D168" s="10">
        <f t="shared" si="4"/>
        <v>20321</v>
      </c>
    </row>
    <row r="169" spans="1:4" x14ac:dyDescent="0.25">
      <c r="A169" s="9"/>
      <c r="B169" s="9"/>
      <c r="C169" s="10"/>
      <c r="D169" s="10">
        <f t="shared" si="4"/>
        <v>20321</v>
      </c>
    </row>
    <row r="170" spans="1:4" x14ac:dyDescent="0.25">
      <c r="A170" s="9"/>
      <c r="B170" s="9"/>
      <c r="C170" s="10"/>
      <c r="D170" s="10">
        <f t="shared" si="4"/>
        <v>20321</v>
      </c>
    </row>
    <row r="171" spans="1:4" x14ac:dyDescent="0.25">
      <c r="A171" s="9"/>
      <c r="B171" s="9"/>
      <c r="C171" s="10"/>
      <c r="D171" s="10">
        <f t="shared" si="4"/>
        <v>20321</v>
      </c>
    </row>
    <row r="172" spans="1:4" x14ac:dyDescent="0.25">
      <c r="A172" s="9"/>
      <c r="B172" s="9"/>
      <c r="C172" s="10"/>
      <c r="D172" s="10">
        <f t="shared" si="4"/>
        <v>20321</v>
      </c>
    </row>
    <row r="173" spans="1:4" x14ac:dyDescent="0.25">
      <c r="A173" s="9"/>
      <c r="B173" s="9"/>
      <c r="C173" s="10"/>
      <c r="D173" s="10">
        <f t="shared" si="4"/>
        <v>20321</v>
      </c>
    </row>
    <row r="174" spans="1:4" x14ac:dyDescent="0.25">
      <c r="A174" s="9"/>
      <c r="B174" s="9"/>
      <c r="C174" s="10"/>
      <c r="D174" s="10">
        <f t="shared" si="4"/>
        <v>20321</v>
      </c>
    </row>
    <row r="175" spans="1:4" x14ac:dyDescent="0.25">
      <c r="A175" s="9"/>
      <c r="B175" s="9"/>
      <c r="C175" s="10"/>
      <c r="D175" s="10">
        <f t="shared" si="4"/>
        <v>20321</v>
      </c>
    </row>
    <row r="176" spans="1:4" x14ac:dyDescent="0.25">
      <c r="A176" s="9"/>
      <c r="B176" s="9"/>
      <c r="C176" s="10"/>
      <c r="D176" s="10">
        <f t="shared" si="4"/>
        <v>20321</v>
      </c>
    </row>
    <row r="177" spans="1:4" x14ac:dyDescent="0.25">
      <c r="A177" s="9"/>
      <c r="B177" s="9"/>
      <c r="C177" s="10"/>
      <c r="D177" s="10">
        <f t="shared" si="4"/>
        <v>20321</v>
      </c>
    </row>
    <row r="178" spans="1:4" x14ac:dyDescent="0.25">
      <c r="A178" s="9"/>
      <c r="B178" s="9"/>
      <c r="C178" s="10"/>
      <c r="D178" s="10">
        <f t="shared" si="4"/>
        <v>20321</v>
      </c>
    </row>
    <row r="179" spans="1:4" x14ac:dyDescent="0.25">
      <c r="A179" s="9"/>
      <c r="B179" s="9"/>
      <c r="C179" s="10"/>
      <c r="D179" s="10">
        <f t="shared" si="4"/>
        <v>20321</v>
      </c>
    </row>
    <row r="180" spans="1:4" x14ac:dyDescent="0.25">
      <c r="A180" s="9"/>
      <c r="B180" s="9"/>
      <c r="C180" s="10"/>
      <c r="D180" s="10">
        <f t="shared" si="4"/>
        <v>20321</v>
      </c>
    </row>
    <row r="181" spans="1:4" x14ac:dyDescent="0.25">
      <c r="A181" s="9"/>
      <c r="B181" s="9"/>
      <c r="C181" s="10"/>
      <c r="D181" s="10">
        <f t="shared" si="4"/>
        <v>20321</v>
      </c>
    </row>
    <row r="182" spans="1:4" x14ac:dyDescent="0.25">
      <c r="A182" s="9"/>
      <c r="B182" s="9"/>
      <c r="C182" s="10"/>
      <c r="D182" s="10">
        <f t="shared" si="4"/>
        <v>20321</v>
      </c>
    </row>
    <row r="183" spans="1:4" x14ac:dyDescent="0.25">
      <c r="A183" s="9"/>
      <c r="B183" s="9"/>
      <c r="C183" s="10"/>
      <c r="D183" s="10">
        <f t="shared" si="4"/>
        <v>20321</v>
      </c>
    </row>
    <row r="184" spans="1:4" x14ac:dyDescent="0.25">
      <c r="A184" s="9"/>
      <c r="B184" s="9"/>
      <c r="C184" s="10"/>
      <c r="D184" s="10">
        <f t="shared" si="4"/>
        <v>20321</v>
      </c>
    </row>
    <row r="185" spans="1:4" x14ac:dyDescent="0.25">
      <c r="A185" s="9"/>
      <c r="B185" s="9"/>
      <c r="C185" s="10"/>
      <c r="D185" s="10">
        <f t="shared" si="4"/>
        <v>20321</v>
      </c>
    </row>
    <row r="186" spans="1:4" x14ac:dyDescent="0.25">
      <c r="A186" s="9"/>
      <c r="B186" s="9"/>
      <c r="C186" s="10"/>
      <c r="D186" s="10"/>
    </row>
  </sheetData>
  <mergeCells count="2">
    <mergeCell ref="A4:D4"/>
    <mergeCell ref="B6:D6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361FE-4C02-4200-9432-BD3A1C7D2977}">
  <dimension ref="A4:G252"/>
  <sheetViews>
    <sheetView topLeftCell="A228" workbookViewId="0">
      <selection activeCell="G255" sqref="G255"/>
    </sheetView>
  </sheetViews>
  <sheetFormatPr baseColWidth="10" defaultRowHeight="15" x14ac:dyDescent="0.25"/>
  <cols>
    <col min="1" max="1" width="28.28515625" customWidth="1"/>
    <col min="2" max="2" width="27.140625" customWidth="1"/>
    <col min="3" max="3" width="23.42578125" style="6" customWidth="1"/>
    <col min="4" max="4" width="21.85546875" style="6" customWidth="1"/>
  </cols>
  <sheetData>
    <row r="4" spans="1:7" ht="18" x14ac:dyDescent="0.25">
      <c r="A4" s="98" t="s">
        <v>0</v>
      </c>
      <c r="B4" s="98"/>
      <c r="C4" s="98"/>
      <c r="D4" s="98"/>
      <c r="E4" s="1"/>
      <c r="F4" s="1"/>
      <c r="G4" s="1"/>
    </row>
    <row r="6" spans="1:7" x14ac:dyDescent="0.25">
      <c r="A6" s="2" t="s">
        <v>1</v>
      </c>
      <c r="B6" s="96" t="s">
        <v>51</v>
      </c>
      <c r="C6" s="97"/>
      <c r="D6" s="97"/>
    </row>
    <row r="7" spans="1:7" x14ac:dyDescent="0.25">
      <c r="A7" s="3" t="s">
        <v>11</v>
      </c>
      <c r="B7" s="4" t="s">
        <v>49</v>
      </c>
      <c r="C7" s="4"/>
      <c r="D7" s="4"/>
    </row>
    <row r="8" spans="1:7" x14ac:dyDescent="0.25">
      <c r="B8" s="5"/>
    </row>
    <row r="9" spans="1:7" x14ac:dyDescent="0.25">
      <c r="A9" s="2" t="s">
        <v>2</v>
      </c>
      <c r="B9" s="2" t="s">
        <v>3</v>
      </c>
      <c r="C9" s="7" t="s">
        <v>4</v>
      </c>
      <c r="D9" s="7" t="s">
        <v>5</v>
      </c>
      <c r="F9" t="s">
        <v>63</v>
      </c>
    </row>
    <row r="10" spans="1:7" x14ac:dyDescent="0.25">
      <c r="A10" s="8">
        <v>45845</v>
      </c>
      <c r="B10" s="9" t="s">
        <v>3</v>
      </c>
      <c r="C10" s="10">
        <v>2530</v>
      </c>
      <c r="D10" s="10">
        <f>C10</f>
        <v>2530</v>
      </c>
    </row>
    <row r="11" spans="1:7" x14ac:dyDescent="0.25">
      <c r="A11" s="8">
        <v>45845</v>
      </c>
      <c r="B11" s="9" t="s">
        <v>7</v>
      </c>
      <c r="C11" s="10">
        <v>-2530</v>
      </c>
      <c r="D11" s="10">
        <f>D10+C11</f>
        <v>0</v>
      </c>
    </row>
    <row r="12" spans="1:7" x14ac:dyDescent="0.25">
      <c r="A12" s="8">
        <v>45852</v>
      </c>
      <c r="B12" s="9" t="s">
        <v>3</v>
      </c>
      <c r="C12" s="10">
        <v>1690</v>
      </c>
      <c r="D12" s="10">
        <f>D11+C12</f>
        <v>1690</v>
      </c>
    </row>
    <row r="13" spans="1:7" x14ac:dyDescent="0.25">
      <c r="A13" s="8">
        <v>45853</v>
      </c>
      <c r="B13" s="9" t="s">
        <v>64</v>
      </c>
      <c r="C13" s="10">
        <v>-1690</v>
      </c>
      <c r="D13" s="10">
        <f t="shared" ref="D13:D31" si="0">D12+C13</f>
        <v>0</v>
      </c>
    </row>
    <row r="14" spans="1:7" x14ac:dyDescent="0.25">
      <c r="A14" s="8">
        <v>45855</v>
      </c>
      <c r="B14" s="9" t="s">
        <v>3</v>
      </c>
      <c r="C14" s="10">
        <v>3070</v>
      </c>
      <c r="D14" s="10">
        <f t="shared" si="0"/>
        <v>3070</v>
      </c>
    </row>
    <row r="15" spans="1:7" x14ac:dyDescent="0.25">
      <c r="A15" s="8">
        <v>45857</v>
      </c>
      <c r="B15" s="9" t="s">
        <v>69</v>
      </c>
      <c r="C15" s="10">
        <v>-3070</v>
      </c>
      <c r="D15" s="11">
        <f t="shared" si="0"/>
        <v>0</v>
      </c>
    </row>
    <row r="16" spans="1:7" x14ac:dyDescent="0.25">
      <c r="A16" s="8">
        <v>45859</v>
      </c>
      <c r="B16" s="9" t="s">
        <v>3</v>
      </c>
      <c r="C16" s="10">
        <v>3580</v>
      </c>
      <c r="D16" s="10">
        <f t="shared" si="0"/>
        <v>3580</v>
      </c>
    </row>
    <row r="17" spans="1:4" x14ac:dyDescent="0.25">
      <c r="A17" s="8">
        <v>45860</v>
      </c>
      <c r="B17" s="9" t="s">
        <v>7</v>
      </c>
      <c r="C17" s="10">
        <v>-3580</v>
      </c>
      <c r="D17" s="10">
        <f t="shared" si="0"/>
        <v>0</v>
      </c>
    </row>
    <row r="18" spans="1:4" x14ac:dyDescent="0.25">
      <c r="A18" s="8">
        <v>45862</v>
      </c>
      <c r="B18" s="9" t="s">
        <v>3</v>
      </c>
      <c r="C18" s="10">
        <v>2580</v>
      </c>
      <c r="D18" s="10">
        <f t="shared" si="0"/>
        <v>2580</v>
      </c>
    </row>
    <row r="19" spans="1:4" x14ac:dyDescent="0.25">
      <c r="A19" s="8">
        <v>45864</v>
      </c>
      <c r="B19" s="9" t="s">
        <v>7</v>
      </c>
      <c r="C19" s="10">
        <v>-2580</v>
      </c>
      <c r="D19" s="10">
        <f t="shared" si="0"/>
        <v>0</v>
      </c>
    </row>
    <row r="20" spans="1:4" x14ac:dyDescent="0.25">
      <c r="A20" s="8">
        <v>45866</v>
      </c>
      <c r="B20" s="9" t="s">
        <v>3</v>
      </c>
      <c r="C20" s="10">
        <v>920</v>
      </c>
      <c r="D20" s="10">
        <f t="shared" si="0"/>
        <v>920</v>
      </c>
    </row>
    <row r="21" spans="1:4" x14ac:dyDescent="0.25">
      <c r="A21" s="8">
        <v>45866</v>
      </c>
      <c r="B21" s="9" t="s">
        <v>7</v>
      </c>
      <c r="C21" s="10">
        <v>-920</v>
      </c>
      <c r="D21" s="10">
        <f t="shared" si="0"/>
        <v>0</v>
      </c>
    </row>
    <row r="22" spans="1:4" x14ac:dyDescent="0.25">
      <c r="A22" s="8">
        <v>45869</v>
      </c>
      <c r="B22" s="9" t="s">
        <v>80</v>
      </c>
      <c r="C22" s="10">
        <v>4680</v>
      </c>
      <c r="D22" s="10">
        <f t="shared" si="0"/>
        <v>4680</v>
      </c>
    </row>
    <row r="23" spans="1:4" x14ac:dyDescent="0.25">
      <c r="A23" s="8">
        <v>45869</v>
      </c>
      <c r="B23" s="9" t="s">
        <v>7</v>
      </c>
      <c r="C23" s="10">
        <v>-4680</v>
      </c>
      <c r="D23" s="10">
        <f t="shared" si="0"/>
        <v>0</v>
      </c>
    </row>
    <row r="24" spans="1:4" x14ac:dyDescent="0.25">
      <c r="A24" s="8">
        <v>45872</v>
      </c>
      <c r="B24" s="9" t="s">
        <v>84</v>
      </c>
      <c r="C24" s="10">
        <v>2930</v>
      </c>
      <c r="D24" s="10">
        <f t="shared" si="0"/>
        <v>2930</v>
      </c>
    </row>
    <row r="25" spans="1:4" x14ac:dyDescent="0.25">
      <c r="A25" s="8">
        <v>45872</v>
      </c>
      <c r="B25" s="9" t="s">
        <v>7</v>
      </c>
      <c r="C25" s="10">
        <v>-2930</v>
      </c>
      <c r="D25" s="10">
        <f>D24+C25</f>
        <v>0</v>
      </c>
    </row>
    <row r="26" spans="1:4" x14ac:dyDescent="0.25">
      <c r="A26" s="8">
        <v>45873</v>
      </c>
      <c r="B26" s="9" t="s">
        <v>3</v>
      </c>
      <c r="C26" s="10">
        <v>1060</v>
      </c>
      <c r="D26" s="10">
        <f t="shared" si="0"/>
        <v>1060</v>
      </c>
    </row>
    <row r="27" spans="1:4" x14ac:dyDescent="0.25">
      <c r="A27" s="8">
        <v>45873</v>
      </c>
      <c r="B27" s="9" t="s">
        <v>69</v>
      </c>
      <c r="C27" s="10">
        <v>-1060</v>
      </c>
      <c r="D27" s="10">
        <f t="shared" si="0"/>
        <v>0</v>
      </c>
    </row>
    <row r="28" spans="1:4" x14ac:dyDescent="0.25">
      <c r="A28" s="8">
        <v>45876</v>
      </c>
      <c r="B28" s="9" t="s">
        <v>69</v>
      </c>
      <c r="C28" s="10">
        <v>-2220</v>
      </c>
      <c r="D28" s="10">
        <f t="shared" si="0"/>
        <v>-2220</v>
      </c>
    </row>
    <row r="29" spans="1:4" x14ac:dyDescent="0.25">
      <c r="A29" s="8">
        <v>45876</v>
      </c>
      <c r="B29" s="9" t="s">
        <v>3</v>
      </c>
      <c r="C29" s="10">
        <v>2220</v>
      </c>
      <c r="D29" s="10">
        <f t="shared" si="0"/>
        <v>0</v>
      </c>
    </row>
    <row r="30" spans="1:4" x14ac:dyDescent="0.25">
      <c r="A30" s="8">
        <v>45880</v>
      </c>
      <c r="B30" s="9" t="s">
        <v>3</v>
      </c>
      <c r="C30" s="10">
        <v>3070</v>
      </c>
      <c r="D30" s="10">
        <f t="shared" si="0"/>
        <v>3070</v>
      </c>
    </row>
    <row r="31" spans="1:4" x14ac:dyDescent="0.25">
      <c r="A31" s="8">
        <v>45882</v>
      </c>
      <c r="B31" s="9" t="s">
        <v>7</v>
      </c>
      <c r="C31" s="10">
        <v>-3070</v>
      </c>
      <c r="D31" s="10">
        <f t="shared" si="0"/>
        <v>0</v>
      </c>
    </row>
    <row r="32" spans="1:4" x14ac:dyDescent="0.25">
      <c r="A32" s="8">
        <v>45883</v>
      </c>
      <c r="B32" s="9" t="s">
        <v>90</v>
      </c>
      <c r="C32" s="10">
        <v>4190</v>
      </c>
      <c r="D32" s="10">
        <f>D31+C32</f>
        <v>4190</v>
      </c>
    </row>
    <row r="33" spans="1:4" x14ac:dyDescent="0.25">
      <c r="A33" s="8">
        <v>45884</v>
      </c>
      <c r="B33" s="9" t="s">
        <v>7</v>
      </c>
      <c r="C33" s="10">
        <v>-4190</v>
      </c>
      <c r="D33" s="10">
        <f t="shared" ref="D33:D36" si="1">D32+C33</f>
        <v>0</v>
      </c>
    </row>
    <row r="34" spans="1:4" x14ac:dyDescent="0.25">
      <c r="A34" s="8"/>
      <c r="B34" s="9"/>
      <c r="C34" s="10"/>
      <c r="D34" s="10">
        <f t="shared" si="1"/>
        <v>0</v>
      </c>
    </row>
    <row r="35" spans="1:4" x14ac:dyDescent="0.25">
      <c r="A35" s="8"/>
      <c r="B35" s="9"/>
      <c r="C35" s="10"/>
      <c r="D35" s="10">
        <f t="shared" si="1"/>
        <v>0</v>
      </c>
    </row>
    <row r="36" spans="1:4" x14ac:dyDescent="0.25">
      <c r="A36" s="8">
        <v>45888</v>
      </c>
      <c r="B36" s="9" t="s">
        <v>91</v>
      </c>
      <c r="C36" s="10">
        <v>-4210</v>
      </c>
      <c r="D36" s="10">
        <f t="shared" si="1"/>
        <v>-4210</v>
      </c>
    </row>
    <row r="37" spans="1:4" x14ac:dyDescent="0.25">
      <c r="A37" s="8">
        <v>45894</v>
      </c>
      <c r="B37" s="9" t="s">
        <v>102</v>
      </c>
      <c r="C37" s="10">
        <v>2030</v>
      </c>
      <c r="D37" s="10">
        <v>2030</v>
      </c>
    </row>
    <row r="38" spans="1:4" x14ac:dyDescent="0.25">
      <c r="A38" s="8">
        <v>45895</v>
      </c>
      <c r="B38" s="9" t="s">
        <v>7</v>
      </c>
      <c r="C38" s="10">
        <v>-2030</v>
      </c>
      <c r="D38" s="10">
        <v>-2030</v>
      </c>
    </row>
    <row r="39" spans="1:4" x14ac:dyDescent="0.25">
      <c r="A39" s="8">
        <v>45897</v>
      </c>
      <c r="B39" s="9" t="s">
        <v>3</v>
      </c>
      <c r="C39" s="10">
        <v>2230</v>
      </c>
      <c r="D39" s="10">
        <v>2230</v>
      </c>
    </row>
    <row r="40" spans="1:4" x14ac:dyDescent="0.25">
      <c r="A40" s="8">
        <v>45897</v>
      </c>
      <c r="B40" s="9" t="s">
        <v>46</v>
      </c>
      <c r="C40" s="10">
        <v>-2230</v>
      </c>
      <c r="D40" s="10">
        <v>-2230</v>
      </c>
    </row>
    <row r="41" spans="1:4" x14ac:dyDescent="0.25">
      <c r="A41" s="8">
        <v>45901</v>
      </c>
      <c r="B41" s="9" t="s">
        <v>3</v>
      </c>
      <c r="C41" s="10">
        <v>4170</v>
      </c>
      <c r="D41" s="10">
        <v>0</v>
      </c>
    </row>
    <row r="42" spans="1:4" x14ac:dyDescent="0.25">
      <c r="A42" s="8">
        <v>45901</v>
      </c>
      <c r="B42" s="9" t="s">
        <v>64</v>
      </c>
      <c r="C42" s="10">
        <v>-4170</v>
      </c>
      <c r="D42" s="10">
        <v>0</v>
      </c>
    </row>
    <row r="43" spans="1:4" x14ac:dyDescent="0.25">
      <c r="A43" s="8">
        <v>45905</v>
      </c>
      <c r="B43" s="9" t="s">
        <v>3</v>
      </c>
      <c r="C43" s="10">
        <v>2820</v>
      </c>
      <c r="D43" s="10">
        <f>C43</f>
        <v>2820</v>
      </c>
    </row>
    <row r="44" spans="1:4" x14ac:dyDescent="0.25">
      <c r="A44" s="8">
        <v>45908</v>
      </c>
      <c r="B44" s="9" t="s">
        <v>3</v>
      </c>
      <c r="C44" s="10">
        <v>1460</v>
      </c>
      <c r="D44" s="10">
        <f>D43+C44</f>
        <v>4280</v>
      </c>
    </row>
    <row r="45" spans="1:4" x14ac:dyDescent="0.25">
      <c r="A45" s="8">
        <v>45908</v>
      </c>
      <c r="B45" s="9" t="s">
        <v>69</v>
      </c>
      <c r="C45" s="10">
        <v>-3740</v>
      </c>
      <c r="D45" s="10">
        <f t="shared" ref="D45:D113" si="2">D44+C45</f>
        <v>540</v>
      </c>
    </row>
    <row r="46" spans="1:4" x14ac:dyDescent="0.25">
      <c r="A46" s="8">
        <v>45909</v>
      </c>
      <c r="B46" s="9" t="s">
        <v>69</v>
      </c>
      <c r="C46" s="10">
        <v>-540</v>
      </c>
      <c r="D46" s="10">
        <f t="shared" si="2"/>
        <v>0</v>
      </c>
    </row>
    <row r="47" spans="1:4" x14ac:dyDescent="0.25">
      <c r="A47" s="8">
        <v>45911</v>
      </c>
      <c r="B47" s="9" t="s">
        <v>3</v>
      </c>
      <c r="C47" s="10">
        <v>3670</v>
      </c>
      <c r="D47" s="10">
        <f t="shared" si="2"/>
        <v>3670</v>
      </c>
    </row>
    <row r="48" spans="1:4" x14ac:dyDescent="0.25">
      <c r="A48" s="8">
        <v>45911</v>
      </c>
      <c r="B48" s="9" t="s">
        <v>69</v>
      </c>
      <c r="C48" s="10">
        <v>-3670</v>
      </c>
      <c r="D48" s="10">
        <f t="shared" si="2"/>
        <v>0</v>
      </c>
    </row>
    <row r="49" spans="1:4" x14ac:dyDescent="0.25">
      <c r="A49" s="8">
        <v>45915</v>
      </c>
      <c r="B49" s="9" t="s">
        <v>116</v>
      </c>
      <c r="C49" s="10">
        <v>2560</v>
      </c>
      <c r="D49" s="10">
        <f t="shared" si="2"/>
        <v>2560</v>
      </c>
    </row>
    <row r="50" spans="1:4" x14ac:dyDescent="0.25">
      <c r="A50" s="8">
        <v>45916</v>
      </c>
      <c r="B50" s="9" t="s">
        <v>69</v>
      </c>
      <c r="C50" s="10">
        <v>-2560</v>
      </c>
      <c r="D50" s="10">
        <f t="shared" si="2"/>
        <v>0</v>
      </c>
    </row>
    <row r="51" spans="1:4" x14ac:dyDescent="0.25">
      <c r="A51" s="8">
        <v>45919</v>
      </c>
      <c r="B51" s="9" t="s">
        <v>3</v>
      </c>
      <c r="C51" s="10">
        <v>5200</v>
      </c>
      <c r="D51" s="10">
        <f t="shared" si="2"/>
        <v>5200</v>
      </c>
    </row>
    <row r="52" spans="1:4" x14ac:dyDescent="0.25">
      <c r="A52" s="8">
        <v>45919</v>
      </c>
      <c r="B52" s="9" t="s">
        <v>46</v>
      </c>
      <c r="C52" s="10">
        <v>-4000</v>
      </c>
      <c r="D52" s="10">
        <f t="shared" si="2"/>
        <v>1200</v>
      </c>
    </row>
    <row r="53" spans="1:4" x14ac:dyDescent="0.25">
      <c r="A53" s="8">
        <v>45922</v>
      </c>
      <c r="B53" s="9" t="s">
        <v>3</v>
      </c>
      <c r="C53" s="10">
        <v>2590</v>
      </c>
      <c r="D53" s="10">
        <f t="shared" si="2"/>
        <v>3790</v>
      </c>
    </row>
    <row r="54" spans="1:4" x14ac:dyDescent="0.25">
      <c r="A54" s="8">
        <v>45923</v>
      </c>
      <c r="B54" s="9" t="s">
        <v>44</v>
      </c>
      <c r="C54" s="10">
        <v>-3790</v>
      </c>
      <c r="D54" s="10">
        <f t="shared" si="2"/>
        <v>0</v>
      </c>
    </row>
    <row r="55" spans="1:4" x14ac:dyDescent="0.25">
      <c r="A55" s="8">
        <v>45926</v>
      </c>
      <c r="B55" s="9" t="s">
        <v>157</v>
      </c>
      <c r="C55" s="10">
        <v>3300</v>
      </c>
      <c r="D55" s="10">
        <f t="shared" si="2"/>
        <v>3300</v>
      </c>
    </row>
    <row r="56" spans="1:4" x14ac:dyDescent="0.25">
      <c r="A56" s="8">
        <v>45926</v>
      </c>
      <c r="B56" s="9" t="s">
        <v>44</v>
      </c>
      <c r="C56" s="10">
        <v>-3300</v>
      </c>
      <c r="D56" s="10">
        <f t="shared" si="2"/>
        <v>0</v>
      </c>
    </row>
    <row r="57" spans="1:4" x14ac:dyDescent="0.25">
      <c r="A57" s="8">
        <v>45929</v>
      </c>
      <c r="B57" s="9" t="s">
        <v>3</v>
      </c>
      <c r="C57" s="10">
        <v>2290</v>
      </c>
      <c r="D57" s="10">
        <f t="shared" si="2"/>
        <v>2290</v>
      </c>
    </row>
    <row r="58" spans="1:4" x14ac:dyDescent="0.25">
      <c r="A58" s="8">
        <v>45930</v>
      </c>
      <c r="B58" s="9" t="s">
        <v>44</v>
      </c>
      <c r="C58" s="10">
        <v>-2290</v>
      </c>
      <c r="D58" s="10">
        <f t="shared" si="2"/>
        <v>0</v>
      </c>
    </row>
    <row r="59" spans="1:4" x14ac:dyDescent="0.25">
      <c r="A59" s="8">
        <v>45930</v>
      </c>
      <c r="B59" s="9" t="s">
        <v>129</v>
      </c>
      <c r="C59" s="10">
        <v>2260</v>
      </c>
      <c r="D59" s="10">
        <f t="shared" si="2"/>
        <v>2260</v>
      </c>
    </row>
    <row r="60" spans="1:4" x14ac:dyDescent="0.25">
      <c r="A60" s="8">
        <v>45931</v>
      </c>
      <c r="B60" s="9" t="s">
        <v>44</v>
      </c>
      <c r="C60" s="10">
        <v>-2260</v>
      </c>
      <c r="D60" s="10">
        <f t="shared" si="2"/>
        <v>0</v>
      </c>
    </row>
    <row r="61" spans="1:4" x14ac:dyDescent="0.25">
      <c r="A61" s="13" t="s">
        <v>158</v>
      </c>
      <c r="B61" s="9" t="s">
        <v>159</v>
      </c>
      <c r="C61" s="10">
        <v>3300</v>
      </c>
      <c r="D61" s="10">
        <f t="shared" si="2"/>
        <v>3300</v>
      </c>
    </row>
    <row r="62" spans="1:4" x14ac:dyDescent="0.25">
      <c r="A62" s="8">
        <v>45934</v>
      </c>
      <c r="B62" s="9" t="s">
        <v>179</v>
      </c>
      <c r="C62" s="10">
        <v>-3300</v>
      </c>
      <c r="D62" s="10">
        <f t="shared" si="2"/>
        <v>0</v>
      </c>
    </row>
    <row r="63" spans="1:4" x14ac:dyDescent="0.25">
      <c r="A63" s="8">
        <v>45936</v>
      </c>
      <c r="B63" s="9" t="s">
        <v>97</v>
      </c>
      <c r="C63" s="10">
        <v>3290</v>
      </c>
      <c r="D63" s="10">
        <f t="shared" si="2"/>
        <v>3290</v>
      </c>
    </row>
    <row r="64" spans="1:4" x14ac:dyDescent="0.25">
      <c r="A64" s="8">
        <v>45936</v>
      </c>
      <c r="B64" s="9" t="s">
        <v>92</v>
      </c>
      <c r="C64" s="10">
        <v>-2500</v>
      </c>
      <c r="D64" s="10">
        <f t="shared" si="2"/>
        <v>790</v>
      </c>
    </row>
    <row r="65" spans="1:5" x14ac:dyDescent="0.25">
      <c r="A65" s="8">
        <v>45939</v>
      </c>
      <c r="B65" s="9" t="s">
        <v>179</v>
      </c>
      <c r="C65" s="10">
        <v>-790</v>
      </c>
      <c r="D65" s="10">
        <f t="shared" si="2"/>
        <v>0</v>
      </c>
    </row>
    <row r="66" spans="1:5" x14ac:dyDescent="0.25">
      <c r="A66" s="8">
        <v>45939</v>
      </c>
      <c r="B66" s="9" t="s">
        <v>3</v>
      </c>
      <c r="C66" s="10">
        <v>2500</v>
      </c>
      <c r="D66" s="10">
        <f t="shared" si="2"/>
        <v>2500</v>
      </c>
    </row>
    <row r="67" spans="1:5" x14ac:dyDescent="0.25">
      <c r="A67" s="8">
        <v>45939</v>
      </c>
      <c r="B67" s="9" t="s">
        <v>179</v>
      </c>
      <c r="C67" s="10">
        <v>-2500</v>
      </c>
      <c r="D67" s="10">
        <f t="shared" si="2"/>
        <v>0</v>
      </c>
    </row>
    <row r="68" spans="1:5" x14ac:dyDescent="0.25">
      <c r="A68" s="8">
        <v>45945</v>
      </c>
      <c r="B68" s="9" t="s">
        <v>3</v>
      </c>
      <c r="C68" s="10">
        <v>1850</v>
      </c>
      <c r="D68" s="10">
        <f t="shared" si="2"/>
        <v>1850</v>
      </c>
    </row>
    <row r="69" spans="1:5" x14ac:dyDescent="0.25">
      <c r="A69" s="8">
        <v>45946</v>
      </c>
      <c r="B69" s="9" t="s">
        <v>3</v>
      </c>
      <c r="C69" s="10">
        <v>2830</v>
      </c>
      <c r="D69" s="10">
        <f t="shared" si="2"/>
        <v>4680</v>
      </c>
    </row>
    <row r="70" spans="1:5" x14ac:dyDescent="0.25">
      <c r="A70" s="8">
        <v>45945</v>
      </c>
      <c r="B70" s="9" t="s">
        <v>179</v>
      </c>
      <c r="C70" s="10">
        <v>-1850</v>
      </c>
      <c r="D70" s="10">
        <f t="shared" si="2"/>
        <v>2830</v>
      </c>
    </row>
    <row r="71" spans="1:5" x14ac:dyDescent="0.25">
      <c r="A71" s="8">
        <v>45948</v>
      </c>
      <c r="B71" s="9" t="s">
        <v>179</v>
      </c>
      <c r="C71" s="10">
        <v>-2830</v>
      </c>
      <c r="D71" s="10">
        <f t="shared" si="2"/>
        <v>0</v>
      </c>
    </row>
    <row r="72" spans="1:5" x14ac:dyDescent="0.25">
      <c r="A72" s="8">
        <v>45950</v>
      </c>
      <c r="B72" s="9" t="s">
        <v>3</v>
      </c>
      <c r="C72" s="10">
        <v>5250</v>
      </c>
      <c r="D72" s="10">
        <f t="shared" si="2"/>
        <v>5250</v>
      </c>
      <c r="E72" t="s">
        <v>205</v>
      </c>
    </row>
    <row r="73" spans="1:5" x14ac:dyDescent="0.25">
      <c r="A73" s="8">
        <v>45951</v>
      </c>
      <c r="B73" s="9" t="s">
        <v>179</v>
      </c>
      <c r="C73" s="10">
        <v>-5250</v>
      </c>
      <c r="D73" s="10">
        <f t="shared" si="2"/>
        <v>0</v>
      </c>
    </row>
    <row r="74" spans="1:5" x14ac:dyDescent="0.25">
      <c r="A74" s="8">
        <v>45953</v>
      </c>
      <c r="B74" s="9" t="s">
        <v>3</v>
      </c>
      <c r="C74" s="10">
        <v>2010</v>
      </c>
      <c r="D74" s="10">
        <f t="shared" si="2"/>
        <v>2010</v>
      </c>
    </row>
    <row r="75" spans="1:5" x14ac:dyDescent="0.25">
      <c r="A75" s="8">
        <v>45960</v>
      </c>
      <c r="B75" s="9" t="s">
        <v>3</v>
      </c>
      <c r="C75" s="10">
        <v>3470</v>
      </c>
      <c r="D75" s="10">
        <f t="shared" si="2"/>
        <v>5480</v>
      </c>
    </row>
    <row r="76" spans="1:5" x14ac:dyDescent="0.25">
      <c r="A76" s="8">
        <v>45961</v>
      </c>
      <c r="B76" s="9" t="s">
        <v>179</v>
      </c>
      <c r="C76" s="10">
        <v>-5480</v>
      </c>
      <c r="D76" s="10">
        <f t="shared" si="2"/>
        <v>0</v>
      </c>
    </row>
    <row r="77" spans="1:5" x14ac:dyDescent="0.25">
      <c r="A77" s="8">
        <v>45964</v>
      </c>
      <c r="B77" s="9" t="s">
        <v>3</v>
      </c>
      <c r="C77" s="10">
        <v>6730</v>
      </c>
      <c r="D77" s="10">
        <f t="shared" si="2"/>
        <v>6730</v>
      </c>
    </row>
    <row r="78" spans="1:5" x14ac:dyDescent="0.25">
      <c r="A78" s="8">
        <v>45966</v>
      </c>
      <c r="B78" s="9" t="s">
        <v>179</v>
      </c>
      <c r="C78" s="10">
        <v>-6730</v>
      </c>
      <c r="D78" s="10">
        <f t="shared" si="2"/>
        <v>0</v>
      </c>
    </row>
    <row r="79" spans="1:5" x14ac:dyDescent="0.25">
      <c r="A79" s="8">
        <v>45971</v>
      </c>
      <c r="B79" s="9" t="s">
        <v>3</v>
      </c>
      <c r="C79" s="10">
        <v>2830</v>
      </c>
      <c r="D79" s="10">
        <f t="shared" si="2"/>
        <v>2830</v>
      </c>
    </row>
    <row r="80" spans="1:5" x14ac:dyDescent="0.25">
      <c r="A80" s="8">
        <v>45972</v>
      </c>
      <c r="B80" s="9" t="s">
        <v>179</v>
      </c>
      <c r="C80" s="10">
        <v>-2830</v>
      </c>
      <c r="D80" s="10">
        <f t="shared" si="2"/>
        <v>0</v>
      </c>
    </row>
    <row r="81" spans="1:4" x14ac:dyDescent="0.25">
      <c r="A81" s="8">
        <v>45974</v>
      </c>
      <c r="B81" s="9" t="s">
        <v>3</v>
      </c>
      <c r="C81" s="10">
        <v>5090</v>
      </c>
      <c r="D81" s="10">
        <f t="shared" si="2"/>
        <v>5090</v>
      </c>
    </row>
    <row r="82" spans="1:4" x14ac:dyDescent="0.25">
      <c r="A82" s="8">
        <v>45977</v>
      </c>
      <c r="B82" s="9" t="s">
        <v>232</v>
      </c>
      <c r="C82" s="10">
        <v>-5090</v>
      </c>
      <c r="D82" s="10">
        <f t="shared" si="2"/>
        <v>0</v>
      </c>
    </row>
    <row r="83" spans="1:4" x14ac:dyDescent="0.25">
      <c r="A83" s="8">
        <v>45978</v>
      </c>
      <c r="B83" s="9" t="s">
        <v>3</v>
      </c>
      <c r="C83" s="10">
        <v>4750</v>
      </c>
      <c r="D83" s="10">
        <f t="shared" si="2"/>
        <v>4750</v>
      </c>
    </row>
    <row r="84" spans="1:4" x14ac:dyDescent="0.25">
      <c r="A84" s="8">
        <v>45978</v>
      </c>
      <c r="B84" s="9" t="s">
        <v>179</v>
      </c>
      <c r="C84" s="10">
        <v>-4750</v>
      </c>
      <c r="D84" s="10">
        <f t="shared" si="2"/>
        <v>0</v>
      </c>
    </row>
    <row r="85" spans="1:4" x14ac:dyDescent="0.25">
      <c r="A85" s="8">
        <v>45981</v>
      </c>
      <c r="B85" s="9" t="s">
        <v>3</v>
      </c>
      <c r="C85" s="10">
        <v>4110</v>
      </c>
      <c r="D85" s="10">
        <f t="shared" si="2"/>
        <v>4110</v>
      </c>
    </row>
    <row r="86" spans="1:4" x14ac:dyDescent="0.25">
      <c r="A86" s="8">
        <v>45981</v>
      </c>
      <c r="B86" s="9" t="s">
        <v>7</v>
      </c>
      <c r="C86" s="10">
        <v>-4110</v>
      </c>
      <c r="D86" s="10">
        <f t="shared" si="2"/>
        <v>0</v>
      </c>
    </row>
    <row r="87" spans="1:4" x14ac:dyDescent="0.25">
      <c r="A87" s="8">
        <v>45985</v>
      </c>
      <c r="B87" s="9" t="s">
        <v>3</v>
      </c>
      <c r="C87" s="10">
        <v>5570</v>
      </c>
      <c r="D87" s="10">
        <f t="shared" si="2"/>
        <v>5570</v>
      </c>
    </row>
    <row r="88" spans="1:4" x14ac:dyDescent="0.25">
      <c r="A88" s="8">
        <v>45985</v>
      </c>
      <c r="B88" s="9" t="s">
        <v>150</v>
      </c>
      <c r="C88" s="10">
        <v>-5570</v>
      </c>
      <c r="D88" s="10">
        <f t="shared" si="2"/>
        <v>0</v>
      </c>
    </row>
    <row r="89" spans="1:4" x14ac:dyDescent="0.25">
      <c r="A89" s="8">
        <v>45988</v>
      </c>
      <c r="B89" s="9" t="s">
        <v>3</v>
      </c>
      <c r="C89" s="10">
        <v>8550</v>
      </c>
      <c r="D89" s="10">
        <f t="shared" si="2"/>
        <v>8550</v>
      </c>
    </row>
    <row r="90" spans="1:4" x14ac:dyDescent="0.25">
      <c r="A90" s="8">
        <v>45988</v>
      </c>
      <c r="B90" s="9" t="s">
        <v>150</v>
      </c>
      <c r="C90" s="10">
        <v>-8550</v>
      </c>
      <c r="D90" s="10">
        <f t="shared" si="2"/>
        <v>0</v>
      </c>
    </row>
    <row r="91" spans="1:4" x14ac:dyDescent="0.25">
      <c r="A91" s="8">
        <v>45992</v>
      </c>
      <c r="B91" s="9" t="s">
        <v>3</v>
      </c>
      <c r="C91" s="10">
        <v>4180</v>
      </c>
      <c r="D91" s="10">
        <f t="shared" si="2"/>
        <v>4180</v>
      </c>
    </row>
    <row r="92" spans="1:4" x14ac:dyDescent="0.25">
      <c r="A92" s="8">
        <v>45992</v>
      </c>
      <c r="B92" s="9" t="s">
        <v>150</v>
      </c>
      <c r="C92" s="10">
        <v>-4180</v>
      </c>
      <c r="D92" s="10">
        <f t="shared" si="2"/>
        <v>0</v>
      </c>
    </row>
    <row r="93" spans="1:4" x14ac:dyDescent="0.25">
      <c r="A93" s="8">
        <v>45995</v>
      </c>
      <c r="B93" s="9" t="s">
        <v>3</v>
      </c>
      <c r="C93" s="10">
        <v>5070</v>
      </c>
      <c r="D93" s="10">
        <f t="shared" si="2"/>
        <v>5070</v>
      </c>
    </row>
    <row r="94" spans="1:4" x14ac:dyDescent="0.25">
      <c r="A94" s="8">
        <v>45995</v>
      </c>
      <c r="B94" s="9" t="s">
        <v>150</v>
      </c>
      <c r="C94" s="10">
        <v>-5070</v>
      </c>
      <c r="D94" s="10">
        <f t="shared" si="2"/>
        <v>0</v>
      </c>
    </row>
    <row r="95" spans="1:4" x14ac:dyDescent="0.25">
      <c r="A95" s="8">
        <v>46002</v>
      </c>
      <c r="B95" s="9" t="s">
        <v>3</v>
      </c>
      <c r="C95" s="10">
        <v>8460</v>
      </c>
      <c r="D95" s="10">
        <f t="shared" si="2"/>
        <v>8460</v>
      </c>
    </row>
    <row r="96" spans="1:4" x14ac:dyDescent="0.25">
      <c r="A96" s="8">
        <v>46002</v>
      </c>
      <c r="B96" s="9" t="s">
        <v>260</v>
      </c>
      <c r="C96" s="10">
        <v>-8460</v>
      </c>
      <c r="D96" s="10">
        <f t="shared" si="2"/>
        <v>0</v>
      </c>
    </row>
    <row r="97" spans="1:4" x14ac:dyDescent="0.25">
      <c r="A97" s="8">
        <v>46004</v>
      </c>
      <c r="B97" s="9" t="s">
        <v>3</v>
      </c>
      <c r="C97" s="10">
        <v>3840</v>
      </c>
      <c r="D97" s="10">
        <f t="shared" si="2"/>
        <v>3840</v>
      </c>
    </row>
    <row r="98" spans="1:4" x14ac:dyDescent="0.25">
      <c r="A98" s="8">
        <v>46007</v>
      </c>
      <c r="B98" s="9" t="s">
        <v>150</v>
      </c>
      <c r="C98" s="10">
        <v>-3840</v>
      </c>
      <c r="D98" s="10">
        <f t="shared" si="2"/>
        <v>0</v>
      </c>
    </row>
    <row r="99" spans="1:4" x14ac:dyDescent="0.25">
      <c r="A99" s="8">
        <v>46010</v>
      </c>
      <c r="B99" s="9" t="s">
        <v>3</v>
      </c>
      <c r="C99" s="10">
        <v>3620</v>
      </c>
      <c r="D99" s="10">
        <f t="shared" si="2"/>
        <v>3620</v>
      </c>
    </row>
    <row r="100" spans="1:4" x14ac:dyDescent="0.25">
      <c r="A100" s="8">
        <v>46012</v>
      </c>
      <c r="B100" s="9" t="s">
        <v>232</v>
      </c>
      <c r="C100" s="10">
        <v>-3620</v>
      </c>
      <c r="D100" s="10">
        <f t="shared" si="2"/>
        <v>0</v>
      </c>
    </row>
    <row r="101" spans="1:4" x14ac:dyDescent="0.25">
      <c r="A101" s="8">
        <v>46013</v>
      </c>
      <c r="B101" s="9" t="s">
        <v>3</v>
      </c>
      <c r="C101" s="10">
        <v>3120</v>
      </c>
      <c r="D101" s="10">
        <f t="shared" si="2"/>
        <v>3120</v>
      </c>
    </row>
    <row r="102" spans="1:4" x14ac:dyDescent="0.25">
      <c r="A102" s="8">
        <v>46014</v>
      </c>
      <c r="B102" s="9" t="s">
        <v>179</v>
      </c>
      <c r="C102" s="10">
        <v>-3120</v>
      </c>
      <c r="D102" s="10">
        <f t="shared" si="2"/>
        <v>0</v>
      </c>
    </row>
    <row r="103" spans="1:4" x14ac:dyDescent="0.25">
      <c r="A103" s="8">
        <v>46020</v>
      </c>
      <c r="B103" s="9" t="s">
        <v>97</v>
      </c>
      <c r="C103" s="10">
        <v>2940</v>
      </c>
      <c r="D103" s="10">
        <f t="shared" si="2"/>
        <v>2940</v>
      </c>
    </row>
    <row r="104" spans="1:4" x14ac:dyDescent="0.25">
      <c r="A104" s="8">
        <v>46020</v>
      </c>
      <c r="B104" s="9" t="s">
        <v>179</v>
      </c>
      <c r="C104" s="10">
        <v>-2940</v>
      </c>
      <c r="D104" s="10">
        <f t="shared" si="2"/>
        <v>0</v>
      </c>
    </row>
    <row r="105" spans="1:4" x14ac:dyDescent="0.25">
      <c r="A105" s="8">
        <v>46024</v>
      </c>
      <c r="B105" s="9" t="s">
        <v>289</v>
      </c>
      <c r="C105" s="10">
        <v>4490</v>
      </c>
      <c r="D105" s="10">
        <f t="shared" si="2"/>
        <v>4490</v>
      </c>
    </row>
    <row r="106" spans="1:4" x14ac:dyDescent="0.25">
      <c r="A106" s="8">
        <v>46024</v>
      </c>
      <c r="B106" s="9" t="s">
        <v>179</v>
      </c>
      <c r="C106" s="10">
        <v>-4490</v>
      </c>
      <c r="D106" s="10">
        <f t="shared" si="2"/>
        <v>0</v>
      </c>
    </row>
    <row r="107" spans="1:4" x14ac:dyDescent="0.25">
      <c r="A107" s="8">
        <v>46028</v>
      </c>
      <c r="B107" s="9" t="s">
        <v>288</v>
      </c>
      <c r="C107" s="10">
        <v>3240</v>
      </c>
      <c r="D107" s="10">
        <f t="shared" si="2"/>
        <v>3240</v>
      </c>
    </row>
    <row r="108" spans="1:4" x14ac:dyDescent="0.25">
      <c r="A108" s="8">
        <v>46029</v>
      </c>
      <c r="B108" s="9" t="s">
        <v>179</v>
      </c>
      <c r="C108" s="10">
        <v>-3240</v>
      </c>
      <c r="D108" s="10">
        <f t="shared" si="2"/>
        <v>0</v>
      </c>
    </row>
    <row r="109" spans="1:4" x14ac:dyDescent="0.25">
      <c r="A109" s="8">
        <v>46030</v>
      </c>
      <c r="B109" s="9" t="s">
        <v>287</v>
      </c>
      <c r="C109" s="10">
        <v>2320</v>
      </c>
      <c r="D109" s="10">
        <f t="shared" si="2"/>
        <v>2320</v>
      </c>
    </row>
    <row r="110" spans="1:4" x14ac:dyDescent="0.25">
      <c r="A110" s="8">
        <v>46030</v>
      </c>
      <c r="B110" s="9" t="s">
        <v>179</v>
      </c>
      <c r="C110" s="10">
        <v>-2320</v>
      </c>
      <c r="D110" s="10">
        <f t="shared" si="2"/>
        <v>0</v>
      </c>
    </row>
    <row r="111" spans="1:4" x14ac:dyDescent="0.25">
      <c r="A111" s="8">
        <v>46034</v>
      </c>
      <c r="B111" s="9" t="s">
        <v>286</v>
      </c>
      <c r="C111" s="10">
        <v>4640</v>
      </c>
      <c r="D111" s="10">
        <f t="shared" si="2"/>
        <v>4640</v>
      </c>
    </row>
    <row r="112" spans="1:4" x14ac:dyDescent="0.25">
      <c r="A112" s="8">
        <v>46034</v>
      </c>
      <c r="B112" s="9" t="s">
        <v>179</v>
      </c>
      <c r="C112" s="10">
        <v>-4640</v>
      </c>
      <c r="D112" s="10">
        <f t="shared" si="2"/>
        <v>0</v>
      </c>
    </row>
    <row r="113" spans="1:4" x14ac:dyDescent="0.25">
      <c r="A113" s="8">
        <v>46037</v>
      </c>
      <c r="B113" s="9" t="s">
        <v>3</v>
      </c>
      <c r="C113" s="10">
        <v>3760</v>
      </c>
      <c r="D113" s="10">
        <f t="shared" si="2"/>
        <v>3760</v>
      </c>
    </row>
    <row r="114" spans="1:4" x14ac:dyDescent="0.25">
      <c r="A114" s="8">
        <v>46044</v>
      </c>
      <c r="B114" s="9" t="s">
        <v>3</v>
      </c>
      <c r="C114" s="10">
        <v>5280</v>
      </c>
      <c r="D114" s="10">
        <f t="shared" ref="D114:D118" si="3">D113+C114</f>
        <v>9040</v>
      </c>
    </row>
    <row r="115" spans="1:4" x14ac:dyDescent="0.25">
      <c r="A115" s="8">
        <v>46045</v>
      </c>
      <c r="B115" s="9" t="s">
        <v>127</v>
      </c>
      <c r="C115" s="10">
        <v>-5280</v>
      </c>
      <c r="D115" s="10">
        <f t="shared" si="3"/>
        <v>3760</v>
      </c>
    </row>
    <row r="116" spans="1:4" x14ac:dyDescent="0.25">
      <c r="A116" s="8">
        <v>46048</v>
      </c>
      <c r="B116" s="9" t="s">
        <v>3</v>
      </c>
      <c r="C116" s="10">
        <v>860</v>
      </c>
      <c r="D116" s="10">
        <f t="shared" si="3"/>
        <v>4620</v>
      </c>
    </row>
    <row r="117" spans="1:4" x14ac:dyDescent="0.25">
      <c r="A117" s="8">
        <v>46049</v>
      </c>
      <c r="B117" s="9" t="s">
        <v>127</v>
      </c>
      <c r="C117" s="10">
        <v>-4950</v>
      </c>
      <c r="D117" s="10">
        <f t="shared" si="3"/>
        <v>-330</v>
      </c>
    </row>
    <row r="118" spans="1:4" x14ac:dyDescent="0.25">
      <c r="A118" s="8">
        <v>46049</v>
      </c>
      <c r="B118" s="9" t="s">
        <v>3</v>
      </c>
      <c r="C118" s="10">
        <v>4950</v>
      </c>
      <c r="D118" s="10">
        <f t="shared" si="3"/>
        <v>4620</v>
      </c>
    </row>
    <row r="119" spans="1:4" x14ac:dyDescent="0.25">
      <c r="A119" s="8">
        <v>46051</v>
      </c>
      <c r="B119" s="9" t="s">
        <v>178</v>
      </c>
      <c r="C119" s="10">
        <v>-4500</v>
      </c>
      <c r="D119" s="10">
        <f t="shared" ref="D119:D182" si="4">D118+C119</f>
        <v>120</v>
      </c>
    </row>
    <row r="120" spans="1:4" x14ac:dyDescent="0.25">
      <c r="A120" s="8">
        <v>46051</v>
      </c>
      <c r="B120" s="9" t="s">
        <v>3</v>
      </c>
      <c r="C120" s="10">
        <v>1180</v>
      </c>
      <c r="D120" s="10">
        <f t="shared" si="4"/>
        <v>1300</v>
      </c>
    </row>
    <row r="121" spans="1:4" x14ac:dyDescent="0.25">
      <c r="A121" s="8">
        <v>46055</v>
      </c>
      <c r="B121" s="9" t="s">
        <v>3</v>
      </c>
      <c r="C121" s="10">
        <v>4640</v>
      </c>
      <c r="D121" s="10">
        <f t="shared" si="4"/>
        <v>5940</v>
      </c>
    </row>
    <row r="122" spans="1:4" x14ac:dyDescent="0.25">
      <c r="A122" s="8">
        <v>46055</v>
      </c>
      <c r="B122" s="9" t="s">
        <v>127</v>
      </c>
      <c r="C122" s="10">
        <v>-4640</v>
      </c>
      <c r="D122" s="10">
        <f t="shared" si="4"/>
        <v>1300</v>
      </c>
    </row>
    <row r="123" spans="1:4" x14ac:dyDescent="0.25">
      <c r="A123" s="8">
        <v>46055</v>
      </c>
      <c r="B123" s="9" t="s">
        <v>127</v>
      </c>
      <c r="C123" s="10">
        <v>-1300</v>
      </c>
      <c r="D123" s="10">
        <f t="shared" si="4"/>
        <v>0</v>
      </c>
    </row>
    <row r="124" spans="1:4" x14ac:dyDescent="0.25">
      <c r="A124" s="8">
        <v>46069</v>
      </c>
      <c r="B124" s="9" t="s">
        <v>3</v>
      </c>
      <c r="C124" s="10">
        <v>28775</v>
      </c>
      <c r="D124" s="10">
        <f t="shared" si="4"/>
        <v>28775</v>
      </c>
    </row>
    <row r="125" spans="1:4" x14ac:dyDescent="0.25">
      <c r="A125" s="8">
        <v>46070</v>
      </c>
      <c r="B125" s="9" t="s">
        <v>127</v>
      </c>
      <c r="C125" s="10">
        <v>-28775</v>
      </c>
      <c r="D125" s="10">
        <f t="shared" si="4"/>
        <v>0</v>
      </c>
    </row>
    <row r="126" spans="1:4" x14ac:dyDescent="0.25">
      <c r="A126" s="8">
        <v>46072</v>
      </c>
      <c r="B126" s="9" t="s">
        <v>327</v>
      </c>
      <c r="C126" s="10">
        <v>3320</v>
      </c>
      <c r="D126" s="10">
        <f t="shared" si="4"/>
        <v>3320</v>
      </c>
    </row>
    <row r="127" spans="1:4" x14ac:dyDescent="0.25">
      <c r="A127" s="8">
        <v>46073</v>
      </c>
      <c r="B127" s="9" t="s">
        <v>127</v>
      </c>
      <c r="C127" s="10">
        <v>-3320</v>
      </c>
      <c r="D127" s="10">
        <f t="shared" si="4"/>
        <v>0</v>
      </c>
    </row>
    <row r="128" spans="1:4" x14ac:dyDescent="0.25">
      <c r="A128" s="8">
        <v>46076</v>
      </c>
      <c r="B128" s="9" t="s">
        <v>337</v>
      </c>
      <c r="C128" s="10">
        <v>3710</v>
      </c>
      <c r="D128" s="10">
        <f t="shared" si="4"/>
        <v>3710</v>
      </c>
    </row>
    <row r="129" spans="1:4" x14ac:dyDescent="0.25">
      <c r="A129" s="8">
        <v>46076</v>
      </c>
      <c r="B129" s="9" t="s">
        <v>127</v>
      </c>
      <c r="C129" s="10">
        <v>-3710</v>
      </c>
      <c r="D129" s="10">
        <f t="shared" si="4"/>
        <v>0</v>
      </c>
    </row>
    <row r="130" spans="1:4" x14ac:dyDescent="0.25">
      <c r="A130" s="8">
        <v>46079</v>
      </c>
      <c r="B130" s="9" t="s">
        <v>3</v>
      </c>
      <c r="C130" s="10">
        <v>4500</v>
      </c>
      <c r="D130" s="10">
        <f t="shared" si="4"/>
        <v>4500</v>
      </c>
    </row>
    <row r="131" spans="1:4" x14ac:dyDescent="0.25">
      <c r="A131" s="8">
        <v>46080</v>
      </c>
      <c r="B131" s="9" t="s">
        <v>127</v>
      </c>
      <c r="C131" s="10">
        <v>-4500</v>
      </c>
      <c r="D131" s="10">
        <f t="shared" si="4"/>
        <v>0</v>
      </c>
    </row>
    <row r="132" spans="1:4" x14ac:dyDescent="0.25">
      <c r="A132" s="8">
        <v>46083</v>
      </c>
      <c r="B132" s="9" t="s">
        <v>327</v>
      </c>
      <c r="C132" s="10">
        <v>2470</v>
      </c>
      <c r="D132" s="10">
        <f t="shared" si="4"/>
        <v>2470</v>
      </c>
    </row>
    <row r="133" spans="1:4" x14ac:dyDescent="0.25">
      <c r="A133" s="8">
        <v>46083</v>
      </c>
      <c r="B133" s="9" t="s">
        <v>127</v>
      </c>
      <c r="C133" s="10">
        <v>-2470</v>
      </c>
      <c r="D133" s="10">
        <f t="shared" si="4"/>
        <v>0</v>
      </c>
    </row>
    <row r="134" spans="1:4" x14ac:dyDescent="0.25">
      <c r="A134" s="8">
        <v>46086</v>
      </c>
      <c r="B134" s="9" t="s">
        <v>349</v>
      </c>
      <c r="C134" s="10">
        <v>3920</v>
      </c>
      <c r="D134" s="10">
        <f t="shared" si="4"/>
        <v>3920</v>
      </c>
    </row>
    <row r="135" spans="1:4" x14ac:dyDescent="0.25">
      <c r="A135" s="8">
        <v>46087</v>
      </c>
      <c r="B135" s="9" t="s">
        <v>127</v>
      </c>
      <c r="C135" s="10">
        <v>-3920</v>
      </c>
      <c r="D135" s="10">
        <f t="shared" si="4"/>
        <v>0</v>
      </c>
    </row>
    <row r="136" spans="1:4" x14ac:dyDescent="0.25">
      <c r="A136" s="8">
        <v>46090</v>
      </c>
      <c r="B136" s="9" t="s">
        <v>3</v>
      </c>
      <c r="C136" s="10">
        <v>3230</v>
      </c>
      <c r="D136" s="10">
        <f t="shared" si="4"/>
        <v>3230</v>
      </c>
    </row>
    <row r="137" spans="1:4" x14ac:dyDescent="0.25">
      <c r="A137" s="8">
        <v>46091</v>
      </c>
      <c r="B137" s="9" t="s">
        <v>179</v>
      </c>
      <c r="C137" s="10">
        <v>-3230</v>
      </c>
      <c r="D137" s="10">
        <f t="shared" si="4"/>
        <v>0</v>
      </c>
    </row>
    <row r="138" spans="1:4" x14ac:dyDescent="0.25">
      <c r="A138" s="8">
        <v>46093</v>
      </c>
      <c r="B138" s="9" t="s">
        <v>359</v>
      </c>
      <c r="C138" s="10">
        <v>2390</v>
      </c>
      <c r="D138" s="10">
        <f t="shared" si="4"/>
        <v>2390</v>
      </c>
    </row>
    <row r="139" spans="1:4" x14ac:dyDescent="0.25">
      <c r="A139" s="8">
        <v>46094</v>
      </c>
      <c r="B139" s="9" t="s">
        <v>127</v>
      </c>
      <c r="C139" s="10">
        <v>-2390</v>
      </c>
      <c r="D139" s="10">
        <f t="shared" si="4"/>
        <v>0</v>
      </c>
    </row>
    <row r="140" spans="1:4" x14ac:dyDescent="0.25">
      <c r="A140" s="8">
        <v>46097</v>
      </c>
      <c r="B140" s="9" t="s">
        <v>362</v>
      </c>
      <c r="C140" s="10">
        <v>4890</v>
      </c>
      <c r="D140" s="10">
        <f t="shared" si="4"/>
        <v>4890</v>
      </c>
    </row>
    <row r="141" spans="1:4" x14ac:dyDescent="0.25">
      <c r="A141" s="8">
        <v>46099</v>
      </c>
      <c r="B141" s="9" t="s">
        <v>127</v>
      </c>
      <c r="C141" s="10">
        <v>-4890</v>
      </c>
      <c r="D141" s="10">
        <f t="shared" si="4"/>
        <v>0</v>
      </c>
    </row>
    <row r="142" spans="1:4" x14ac:dyDescent="0.25">
      <c r="A142" s="8">
        <v>46100</v>
      </c>
      <c r="B142" s="9" t="s">
        <v>327</v>
      </c>
      <c r="C142" s="10">
        <v>3650</v>
      </c>
      <c r="D142" s="10">
        <f t="shared" si="4"/>
        <v>3650</v>
      </c>
    </row>
    <row r="143" spans="1:4" x14ac:dyDescent="0.25">
      <c r="A143" s="8">
        <v>46102</v>
      </c>
      <c r="B143" s="9" t="s">
        <v>127</v>
      </c>
      <c r="C143" s="10">
        <v>-3650</v>
      </c>
      <c r="D143" s="10">
        <f t="shared" si="4"/>
        <v>0</v>
      </c>
    </row>
    <row r="144" spans="1:4" x14ac:dyDescent="0.25">
      <c r="A144" s="8">
        <v>46107</v>
      </c>
      <c r="B144" s="9" t="s">
        <v>3</v>
      </c>
      <c r="C144" s="10">
        <v>2580</v>
      </c>
      <c r="D144" s="10">
        <f t="shared" si="4"/>
        <v>2580</v>
      </c>
    </row>
    <row r="145" spans="1:4" x14ac:dyDescent="0.25">
      <c r="A145" s="8">
        <v>46108</v>
      </c>
      <c r="B145" s="9" t="s">
        <v>127</v>
      </c>
      <c r="C145" s="10">
        <v>-2580</v>
      </c>
      <c r="D145" s="10">
        <f t="shared" si="4"/>
        <v>0</v>
      </c>
    </row>
    <row r="146" spans="1:4" x14ac:dyDescent="0.25">
      <c r="A146" s="8">
        <v>46111</v>
      </c>
      <c r="B146" s="9" t="s">
        <v>381</v>
      </c>
      <c r="C146" s="10">
        <v>2210</v>
      </c>
      <c r="D146" s="10">
        <f t="shared" si="4"/>
        <v>2210</v>
      </c>
    </row>
    <row r="147" spans="1:4" x14ac:dyDescent="0.25">
      <c r="A147" s="8">
        <v>46112</v>
      </c>
      <c r="B147" s="9" t="s">
        <v>127</v>
      </c>
      <c r="C147" s="10">
        <v>-2210</v>
      </c>
      <c r="D147" s="10">
        <f t="shared" si="4"/>
        <v>0</v>
      </c>
    </row>
    <row r="148" spans="1:4" x14ac:dyDescent="0.25">
      <c r="A148" s="8">
        <v>46114</v>
      </c>
      <c r="B148" s="9" t="s">
        <v>385</v>
      </c>
      <c r="C148" s="10">
        <v>3460</v>
      </c>
      <c r="D148" s="10">
        <f t="shared" si="4"/>
        <v>3460</v>
      </c>
    </row>
    <row r="149" spans="1:4" x14ac:dyDescent="0.25">
      <c r="A149" s="8">
        <v>46114</v>
      </c>
      <c r="B149" s="9" t="s">
        <v>327</v>
      </c>
      <c r="C149" s="10">
        <v>11350</v>
      </c>
      <c r="D149" s="10">
        <f t="shared" si="4"/>
        <v>14810</v>
      </c>
    </row>
    <row r="150" spans="1:4" x14ac:dyDescent="0.25">
      <c r="A150" s="8">
        <v>46114</v>
      </c>
      <c r="B150" s="9" t="s">
        <v>127</v>
      </c>
      <c r="C150" s="10">
        <v>-11350</v>
      </c>
      <c r="D150" s="10">
        <f t="shared" si="4"/>
        <v>3460</v>
      </c>
    </row>
    <row r="151" spans="1:4" x14ac:dyDescent="0.25">
      <c r="A151" s="8">
        <v>46114</v>
      </c>
      <c r="B151" s="9" t="s">
        <v>127</v>
      </c>
      <c r="C151" s="10">
        <v>-3460</v>
      </c>
      <c r="D151" s="10">
        <f t="shared" si="4"/>
        <v>0</v>
      </c>
    </row>
    <row r="152" spans="1:4" x14ac:dyDescent="0.25">
      <c r="A152" s="8">
        <v>46118</v>
      </c>
      <c r="B152" s="9" t="s">
        <v>389</v>
      </c>
      <c r="C152" s="10">
        <v>5320</v>
      </c>
      <c r="D152" s="10">
        <f t="shared" si="4"/>
        <v>5320</v>
      </c>
    </row>
    <row r="153" spans="1:4" x14ac:dyDescent="0.25">
      <c r="A153" s="8">
        <v>46119</v>
      </c>
      <c r="B153" s="9" t="s">
        <v>127</v>
      </c>
      <c r="C153" s="10">
        <v>-5320</v>
      </c>
      <c r="D153" s="10">
        <f t="shared" si="4"/>
        <v>0</v>
      </c>
    </row>
    <row r="154" spans="1:4" x14ac:dyDescent="0.25">
      <c r="A154" s="8">
        <v>46121</v>
      </c>
      <c r="B154" s="9" t="s">
        <v>3</v>
      </c>
      <c r="C154" s="10">
        <v>1930</v>
      </c>
      <c r="D154" s="10">
        <f t="shared" si="4"/>
        <v>1930</v>
      </c>
    </row>
    <row r="155" spans="1:4" x14ac:dyDescent="0.25">
      <c r="A155" s="8">
        <v>46121</v>
      </c>
      <c r="B155" s="9" t="s">
        <v>127</v>
      </c>
      <c r="C155" s="10">
        <v>-1930</v>
      </c>
      <c r="D155" s="10">
        <f t="shared" si="4"/>
        <v>0</v>
      </c>
    </row>
    <row r="156" spans="1:4" x14ac:dyDescent="0.25">
      <c r="A156" s="8">
        <v>46125</v>
      </c>
      <c r="B156" s="9" t="s">
        <v>397</v>
      </c>
      <c r="C156" s="10">
        <v>3860</v>
      </c>
      <c r="D156" s="10">
        <f t="shared" si="4"/>
        <v>3860</v>
      </c>
    </row>
    <row r="157" spans="1:4" x14ac:dyDescent="0.25">
      <c r="A157" s="8">
        <v>46125</v>
      </c>
      <c r="B157" s="9" t="s">
        <v>178</v>
      </c>
      <c r="C157" s="10">
        <v>-2200</v>
      </c>
      <c r="D157" s="10">
        <f t="shared" si="4"/>
        <v>1660</v>
      </c>
    </row>
    <row r="158" spans="1:4" x14ac:dyDescent="0.25">
      <c r="A158" s="8">
        <v>46125</v>
      </c>
      <c r="B158" s="9" t="s">
        <v>127</v>
      </c>
      <c r="C158" s="10">
        <v>-1660</v>
      </c>
      <c r="D158" s="10">
        <f t="shared" si="4"/>
        <v>0</v>
      </c>
    </row>
    <row r="159" spans="1:4" x14ac:dyDescent="0.25">
      <c r="A159" s="8">
        <v>46128</v>
      </c>
      <c r="B159" s="9" t="s">
        <v>402</v>
      </c>
      <c r="C159" s="10">
        <v>6280</v>
      </c>
      <c r="D159" s="10">
        <f t="shared" si="4"/>
        <v>6280</v>
      </c>
    </row>
    <row r="160" spans="1:4" x14ac:dyDescent="0.25">
      <c r="A160" s="8">
        <v>46128</v>
      </c>
      <c r="B160" s="9" t="s">
        <v>127</v>
      </c>
      <c r="C160" s="10">
        <v>-6280</v>
      </c>
      <c r="D160" s="10">
        <f t="shared" si="4"/>
        <v>0</v>
      </c>
    </row>
    <row r="161" spans="1:5" x14ac:dyDescent="0.25">
      <c r="A161" s="8">
        <v>46132</v>
      </c>
      <c r="B161" s="9" t="s">
        <v>327</v>
      </c>
      <c r="C161" s="10">
        <v>3130</v>
      </c>
      <c r="D161" s="10">
        <f t="shared" si="4"/>
        <v>3130</v>
      </c>
    </row>
    <row r="162" spans="1:5" x14ac:dyDescent="0.25">
      <c r="A162" s="8">
        <v>46132</v>
      </c>
      <c r="B162" s="9" t="s">
        <v>127</v>
      </c>
      <c r="C162" s="10">
        <v>-3130</v>
      </c>
      <c r="D162" s="10">
        <f t="shared" si="4"/>
        <v>0</v>
      </c>
    </row>
    <row r="163" spans="1:5" x14ac:dyDescent="0.25">
      <c r="A163" s="8">
        <v>46135</v>
      </c>
      <c r="B163" s="9" t="s">
        <v>3</v>
      </c>
      <c r="C163" s="10">
        <v>2730</v>
      </c>
      <c r="D163" s="10">
        <f t="shared" si="4"/>
        <v>2730</v>
      </c>
    </row>
    <row r="164" spans="1:5" x14ac:dyDescent="0.25">
      <c r="A164" s="8">
        <v>46139</v>
      </c>
      <c r="B164" s="9" t="s">
        <v>3</v>
      </c>
      <c r="C164" s="10">
        <v>6000</v>
      </c>
      <c r="D164" s="10">
        <f t="shared" si="4"/>
        <v>8730</v>
      </c>
    </row>
    <row r="165" spans="1:5" x14ac:dyDescent="0.25">
      <c r="A165" s="8">
        <v>46139</v>
      </c>
      <c r="B165" s="9" t="s">
        <v>127</v>
      </c>
      <c r="C165" s="10">
        <v>-7590</v>
      </c>
      <c r="D165" s="10">
        <f t="shared" si="4"/>
        <v>1140</v>
      </c>
    </row>
    <row r="166" spans="1:5" x14ac:dyDescent="0.25">
      <c r="A166" s="8">
        <v>46170</v>
      </c>
      <c r="B166" s="9" t="s">
        <v>127</v>
      </c>
      <c r="C166" s="10">
        <v>-1140</v>
      </c>
      <c r="D166" s="10">
        <f t="shared" si="4"/>
        <v>0</v>
      </c>
    </row>
    <row r="167" spans="1:5" x14ac:dyDescent="0.25">
      <c r="A167" s="8">
        <v>46142</v>
      </c>
      <c r="B167" s="9" t="s">
        <v>428</v>
      </c>
      <c r="C167" s="10">
        <v>3740</v>
      </c>
      <c r="D167" s="10">
        <f t="shared" si="4"/>
        <v>3740</v>
      </c>
    </row>
    <row r="168" spans="1:5" x14ac:dyDescent="0.25">
      <c r="A168" s="8">
        <v>46143</v>
      </c>
      <c r="B168" s="9" t="s">
        <v>127</v>
      </c>
      <c r="C168" s="9">
        <v>-3740</v>
      </c>
      <c r="D168" s="10">
        <f t="shared" si="4"/>
        <v>0</v>
      </c>
      <c r="E168" s="10"/>
    </row>
    <row r="169" spans="1:5" x14ac:dyDescent="0.25">
      <c r="A169" s="8">
        <v>46146</v>
      </c>
      <c r="B169" s="9" t="s">
        <v>327</v>
      </c>
      <c r="C169" s="10">
        <v>1960</v>
      </c>
      <c r="D169" s="10">
        <f t="shared" si="4"/>
        <v>1960</v>
      </c>
    </row>
    <row r="170" spans="1:5" x14ac:dyDescent="0.25">
      <c r="A170" s="8">
        <v>46153</v>
      </c>
      <c r="B170" s="9" t="s">
        <v>327</v>
      </c>
      <c r="C170" s="10">
        <v>3160</v>
      </c>
      <c r="D170" s="10">
        <f t="shared" si="4"/>
        <v>5120</v>
      </c>
    </row>
    <row r="171" spans="1:5" x14ac:dyDescent="0.25">
      <c r="A171" s="8">
        <v>46156</v>
      </c>
      <c r="B171" s="9" t="s">
        <v>127</v>
      </c>
      <c r="C171" s="10">
        <v>-5120</v>
      </c>
      <c r="D171" s="10">
        <f t="shared" si="4"/>
        <v>0</v>
      </c>
    </row>
    <row r="172" spans="1:5" x14ac:dyDescent="0.25">
      <c r="A172" s="8">
        <v>46156</v>
      </c>
      <c r="B172" s="9" t="s">
        <v>427</v>
      </c>
      <c r="C172" s="10">
        <v>3120</v>
      </c>
      <c r="D172" s="10">
        <f t="shared" si="4"/>
        <v>3120</v>
      </c>
    </row>
    <row r="173" spans="1:5" x14ac:dyDescent="0.25">
      <c r="A173" s="8">
        <v>46157</v>
      </c>
      <c r="B173" s="9" t="s">
        <v>426</v>
      </c>
      <c r="C173" s="10">
        <v>3440</v>
      </c>
      <c r="D173" s="10">
        <f t="shared" si="4"/>
        <v>6560</v>
      </c>
    </row>
    <row r="174" spans="1:5" x14ac:dyDescent="0.25">
      <c r="A174" s="8">
        <v>46157</v>
      </c>
      <c r="B174" s="9" t="s">
        <v>127</v>
      </c>
      <c r="C174" s="10">
        <v>-6560</v>
      </c>
      <c r="D174" s="10">
        <f t="shared" si="4"/>
        <v>0</v>
      </c>
    </row>
    <row r="175" spans="1:5" x14ac:dyDescent="0.25">
      <c r="A175" s="8">
        <v>46160</v>
      </c>
      <c r="B175" s="9" t="s">
        <v>432</v>
      </c>
      <c r="C175" s="10">
        <v>2810</v>
      </c>
      <c r="D175" s="10">
        <f t="shared" si="4"/>
        <v>2810</v>
      </c>
    </row>
    <row r="176" spans="1:5" x14ac:dyDescent="0.25">
      <c r="A176" s="8">
        <v>46161</v>
      </c>
      <c r="B176" s="9" t="s">
        <v>261</v>
      </c>
      <c r="C176" s="10">
        <v>-2810</v>
      </c>
      <c r="D176" s="10">
        <f t="shared" si="4"/>
        <v>0</v>
      </c>
    </row>
    <row r="177" spans="1:4" x14ac:dyDescent="0.25">
      <c r="A177" s="8">
        <v>46163</v>
      </c>
      <c r="B177" s="9" t="s">
        <v>327</v>
      </c>
      <c r="C177" s="10">
        <v>3840</v>
      </c>
      <c r="D177" s="10">
        <f t="shared" si="4"/>
        <v>3840</v>
      </c>
    </row>
    <row r="178" spans="1:4" x14ac:dyDescent="0.25">
      <c r="A178" s="8">
        <v>46163</v>
      </c>
      <c r="B178" s="9" t="s">
        <v>196</v>
      </c>
      <c r="C178" s="10">
        <v>-3840</v>
      </c>
      <c r="D178" s="10">
        <f t="shared" si="4"/>
        <v>0</v>
      </c>
    </row>
    <row r="179" spans="1:4" x14ac:dyDescent="0.25">
      <c r="A179" s="8">
        <v>46170</v>
      </c>
      <c r="B179" s="9" t="s">
        <v>3</v>
      </c>
      <c r="C179" s="10">
        <v>2850</v>
      </c>
      <c r="D179" s="10">
        <f t="shared" si="4"/>
        <v>2850</v>
      </c>
    </row>
    <row r="180" spans="1:4" x14ac:dyDescent="0.25">
      <c r="A180" s="8">
        <v>46171</v>
      </c>
      <c r="B180" s="9" t="s">
        <v>127</v>
      </c>
      <c r="C180" s="10">
        <v>-2850</v>
      </c>
      <c r="D180" s="10">
        <f t="shared" si="4"/>
        <v>0</v>
      </c>
    </row>
    <row r="181" spans="1:4" x14ac:dyDescent="0.25">
      <c r="A181" s="8">
        <v>46174</v>
      </c>
      <c r="B181" s="9" t="s">
        <v>3</v>
      </c>
      <c r="C181" s="10">
        <v>3620</v>
      </c>
      <c r="D181" s="10">
        <f t="shared" si="4"/>
        <v>3620</v>
      </c>
    </row>
    <row r="182" spans="1:4" x14ac:dyDescent="0.25">
      <c r="A182" s="8">
        <v>46177</v>
      </c>
      <c r="B182" s="9" t="s">
        <v>3</v>
      </c>
      <c r="C182" s="10">
        <v>3490</v>
      </c>
      <c r="D182" s="10">
        <f t="shared" si="4"/>
        <v>7110</v>
      </c>
    </row>
    <row r="183" spans="1:4" x14ac:dyDescent="0.25">
      <c r="A183" s="8">
        <v>46178</v>
      </c>
      <c r="B183" s="9" t="s">
        <v>127</v>
      </c>
      <c r="C183" s="10">
        <v>-7110</v>
      </c>
      <c r="D183" s="10">
        <f t="shared" ref="D183:D191" si="5">D182+C183</f>
        <v>0</v>
      </c>
    </row>
    <row r="184" spans="1:4" x14ac:dyDescent="0.25">
      <c r="A184" s="8">
        <v>46181</v>
      </c>
      <c r="B184" s="9" t="s">
        <v>454</v>
      </c>
      <c r="C184" s="10">
        <v>3330</v>
      </c>
      <c r="D184" s="10">
        <f t="shared" si="5"/>
        <v>3330</v>
      </c>
    </row>
    <row r="185" spans="1:4" x14ac:dyDescent="0.25">
      <c r="A185" s="8">
        <v>46184</v>
      </c>
      <c r="B185" s="9" t="s">
        <v>460</v>
      </c>
      <c r="C185" s="10">
        <v>1970</v>
      </c>
      <c r="D185" s="10">
        <f t="shared" si="5"/>
        <v>5300</v>
      </c>
    </row>
    <row r="186" spans="1:4" x14ac:dyDescent="0.25">
      <c r="A186" s="8">
        <v>46336</v>
      </c>
      <c r="B186" s="9" t="s">
        <v>127</v>
      </c>
      <c r="C186" s="10">
        <v>-3330</v>
      </c>
      <c r="D186" s="10">
        <f t="shared" si="5"/>
        <v>1970</v>
      </c>
    </row>
    <row r="187" spans="1:4" x14ac:dyDescent="0.25">
      <c r="A187" s="8">
        <v>46188</v>
      </c>
      <c r="B187" s="9" t="s">
        <v>3</v>
      </c>
      <c r="C187" s="10">
        <v>3560</v>
      </c>
      <c r="D187" s="10">
        <f t="shared" si="5"/>
        <v>5530</v>
      </c>
    </row>
    <row r="188" spans="1:4" x14ac:dyDescent="0.25">
      <c r="A188" s="8">
        <v>46186</v>
      </c>
      <c r="B188" s="9" t="s">
        <v>127</v>
      </c>
      <c r="C188" s="10">
        <v>-1970</v>
      </c>
      <c r="D188" s="10">
        <f t="shared" si="5"/>
        <v>3560</v>
      </c>
    </row>
    <row r="189" spans="1:4" x14ac:dyDescent="0.25">
      <c r="A189" s="8">
        <v>46189</v>
      </c>
      <c r="B189" s="9" t="s">
        <v>127</v>
      </c>
      <c r="C189" s="10">
        <v>-3560</v>
      </c>
      <c r="D189" s="10">
        <f t="shared" si="5"/>
        <v>0</v>
      </c>
    </row>
    <row r="190" spans="1:4" x14ac:dyDescent="0.25">
      <c r="A190" s="8">
        <v>46191</v>
      </c>
      <c r="B190" s="9" t="s">
        <v>3</v>
      </c>
      <c r="C190" s="10">
        <v>2070</v>
      </c>
      <c r="D190" s="10">
        <f t="shared" si="5"/>
        <v>2070</v>
      </c>
    </row>
    <row r="191" spans="1:4" x14ac:dyDescent="0.25">
      <c r="A191" s="8">
        <v>46192</v>
      </c>
      <c r="B191" s="9" t="s">
        <v>127</v>
      </c>
      <c r="C191" s="10">
        <v>-2070</v>
      </c>
      <c r="D191" s="10">
        <f t="shared" si="5"/>
        <v>0</v>
      </c>
    </row>
    <row r="192" spans="1:4" x14ac:dyDescent="0.25">
      <c r="A192" s="8">
        <v>46198</v>
      </c>
      <c r="B192" s="9" t="s">
        <v>477</v>
      </c>
      <c r="C192" s="10">
        <v>3350</v>
      </c>
      <c r="D192" s="10">
        <f t="shared" ref="D192:D252" si="6">D191+C192</f>
        <v>3350</v>
      </c>
    </row>
    <row r="193" spans="1:4" x14ac:dyDescent="0.25">
      <c r="A193" s="8">
        <v>46199</v>
      </c>
      <c r="B193" s="9" t="s">
        <v>476</v>
      </c>
      <c r="C193" s="10">
        <v>-3350</v>
      </c>
      <c r="D193" s="10">
        <f t="shared" si="6"/>
        <v>0</v>
      </c>
    </row>
    <row r="194" spans="1:4" x14ac:dyDescent="0.25">
      <c r="A194" s="8">
        <v>46202</v>
      </c>
      <c r="B194" s="9" t="s">
        <v>3</v>
      </c>
      <c r="C194" s="10">
        <v>3170</v>
      </c>
      <c r="D194" s="10">
        <f t="shared" si="6"/>
        <v>3170</v>
      </c>
    </row>
    <row r="195" spans="1:4" x14ac:dyDescent="0.25">
      <c r="A195" s="8">
        <v>46203</v>
      </c>
      <c r="B195" s="9" t="s">
        <v>486</v>
      </c>
      <c r="C195" s="10">
        <v>-3170</v>
      </c>
      <c r="D195" s="10">
        <f t="shared" si="6"/>
        <v>0</v>
      </c>
    </row>
    <row r="196" spans="1:4" x14ac:dyDescent="0.25">
      <c r="A196" s="8">
        <v>46205</v>
      </c>
      <c r="B196" s="9" t="s">
        <v>492</v>
      </c>
      <c r="C196" s="10">
        <v>2950</v>
      </c>
      <c r="D196" s="10">
        <f t="shared" si="6"/>
        <v>2950</v>
      </c>
    </row>
    <row r="197" spans="1:4" x14ac:dyDescent="0.25">
      <c r="A197" s="8">
        <v>46208</v>
      </c>
      <c r="B197" s="9" t="s">
        <v>179</v>
      </c>
      <c r="C197" s="10">
        <v>-2950</v>
      </c>
      <c r="D197" s="10">
        <f t="shared" si="6"/>
        <v>0</v>
      </c>
    </row>
    <row r="198" spans="1:4" x14ac:dyDescent="0.25">
      <c r="A198" s="8">
        <v>46212</v>
      </c>
      <c r="B198" s="9" t="s">
        <v>502</v>
      </c>
      <c r="C198" s="10">
        <v>4100</v>
      </c>
      <c r="D198" s="10">
        <f t="shared" si="6"/>
        <v>4100</v>
      </c>
    </row>
    <row r="199" spans="1:4" x14ac:dyDescent="0.25">
      <c r="A199" s="8">
        <v>46212</v>
      </c>
      <c r="B199" s="9" t="s">
        <v>503</v>
      </c>
      <c r="C199" s="10">
        <v>-4100</v>
      </c>
      <c r="D199" s="10">
        <f t="shared" si="6"/>
        <v>0</v>
      </c>
    </row>
    <row r="200" spans="1:4" x14ac:dyDescent="0.25">
      <c r="A200" s="8">
        <v>46216</v>
      </c>
      <c r="B200" s="9" t="s">
        <v>3</v>
      </c>
      <c r="C200" s="10">
        <v>3120</v>
      </c>
      <c r="D200" s="10">
        <f t="shared" si="6"/>
        <v>3120</v>
      </c>
    </row>
    <row r="201" spans="1:4" x14ac:dyDescent="0.25">
      <c r="A201" s="8">
        <v>46216</v>
      </c>
      <c r="B201" s="9" t="s">
        <v>127</v>
      </c>
      <c r="C201" s="10">
        <v>-3120</v>
      </c>
      <c r="D201" s="10">
        <f t="shared" si="6"/>
        <v>0</v>
      </c>
    </row>
    <row r="202" spans="1:4" x14ac:dyDescent="0.25">
      <c r="A202" s="8">
        <v>46219</v>
      </c>
      <c r="B202" s="9" t="s">
        <v>3</v>
      </c>
      <c r="C202" s="10">
        <v>2940</v>
      </c>
      <c r="D202" s="10">
        <f t="shared" si="6"/>
        <v>2940</v>
      </c>
    </row>
    <row r="203" spans="1:4" x14ac:dyDescent="0.25">
      <c r="A203" s="8">
        <v>46219</v>
      </c>
      <c r="B203" s="9" t="s">
        <v>127</v>
      </c>
      <c r="C203" s="10">
        <v>-2940</v>
      </c>
      <c r="D203" s="10">
        <f t="shared" si="6"/>
        <v>0</v>
      </c>
    </row>
    <row r="204" spans="1:4" x14ac:dyDescent="0.25">
      <c r="A204" s="8">
        <v>46223</v>
      </c>
      <c r="B204" s="9" t="s">
        <v>517</v>
      </c>
      <c r="C204" s="10">
        <v>3270</v>
      </c>
      <c r="D204" s="10">
        <f t="shared" si="6"/>
        <v>3270</v>
      </c>
    </row>
    <row r="205" spans="1:4" x14ac:dyDescent="0.25">
      <c r="A205" s="8">
        <v>46225</v>
      </c>
      <c r="B205" s="9" t="s">
        <v>525</v>
      </c>
      <c r="C205" s="10">
        <v>-3270</v>
      </c>
      <c r="D205" s="10">
        <f t="shared" si="6"/>
        <v>0</v>
      </c>
    </row>
    <row r="206" spans="1:4" x14ac:dyDescent="0.25">
      <c r="A206" s="8">
        <v>46226</v>
      </c>
      <c r="B206" s="9" t="s">
        <v>524</v>
      </c>
      <c r="C206" s="10">
        <v>4500</v>
      </c>
      <c r="D206" s="10">
        <f t="shared" si="6"/>
        <v>4500</v>
      </c>
    </row>
    <row r="207" spans="1:4" x14ac:dyDescent="0.25">
      <c r="A207" s="8">
        <v>46227</v>
      </c>
      <c r="B207" s="9" t="s">
        <v>178</v>
      </c>
      <c r="C207" s="10">
        <v>-4500</v>
      </c>
      <c r="D207" s="10">
        <f t="shared" si="6"/>
        <v>0</v>
      </c>
    </row>
    <row r="208" spans="1:4" x14ac:dyDescent="0.25">
      <c r="A208" s="8">
        <v>46230</v>
      </c>
      <c r="B208" s="9" t="s">
        <v>3</v>
      </c>
      <c r="C208" s="10">
        <v>2370</v>
      </c>
      <c r="D208" s="10">
        <f t="shared" si="6"/>
        <v>2370</v>
      </c>
    </row>
    <row r="209" spans="1:4" x14ac:dyDescent="0.25">
      <c r="A209" s="8">
        <v>46233</v>
      </c>
      <c r="B209" s="9" t="s">
        <v>179</v>
      </c>
      <c r="C209" s="10">
        <v>-2370</v>
      </c>
      <c r="D209" s="10">
        <f t="shared" si="6"/>
        <v>0</v>
      </c>
    </row>
    <row r="210" spans="1:4" x14ac:dyDescent="0.25">
      <c r="A210" s="8">
        <v>46233</v>
      </c>
      <c r="B210" s="9" t="s">
        <v>534</v>
      </c>
      <c r="C210" s="10">
        <v>3170</v>
      </c>
      <c r="D210" s="10">
        <f t="shared" si="6"/>
        <v>3170</v>
      </c>
    </row>
    <row r="211" spans="1:4" x14ac:dyDescent="0.25">
      <c r="A211" s="8">
        <v>46053</v>
      </c>
      <c r="B211" s="9" t="s">
        <v>127</v>
      </c>
      <c r="C211" s="10">
        <v>-3170</v>
      </c>
      <c r="D211" s="10">
        <f t="shared" si="6"/>
        <v>0</v>
      </c>
    </row>
    <row r="212" spans="1:4" x14ac:dyDescent="0.25">
      <c r="A212" s="8">
        <v>46237</v>
      </c>
      <c r="B212" s="9" t="s">
        <v>3</v>
      </c>
      <c r="C212" s="10">
        <v>3220</v>
      </c>
      <c r="D212" s="10">
        <f t="shared" si="6"/>
        <v>3220</v>
      </c>
    </row>
    <row r="213" spans="1:4" x14ac:dyDescent="0.25">
      <c r="A213" s="8">
        <v>46237</v>
      </c>
      <c r="B213" s="9" t="s">
        <v>178</v>
      </c>
      <c r="C213" s="10">
        <v>-3220</v>
      </c>
      <c r="D213" s="10">
        <f t="shared" si="6"/>
        <v>0</v>
      </c>
    </row>
    <row r="214" spans="1:4" x14ac:dyDescent="0.25">
      <c r="A214" s="8">
        <v>46240</v>
      </c>
      <c r="B214" s="9" t="s">
        <v>3</v>
      </c>
      <c r="C214" s="10">
        <v>5610</v>
      </c>
      <c r="D214" s="10">
        <f t="shared" si="6"/>
        <v>5610</v>
      </c>
    </row>
    <row r="215" spans="1:4" x14ac:dyDescent="0.25">
      <c r="A215" s="8">
        <v>46179</v>
      </c>
      <c r="B215" s="9" t="s">
        <v>127</v>
      </c>
      <c r="C215" s="10">
        <v>-5610</v>
      </c>
      <c r="D215" s="10">
        <f t="shared" si="6"/>
        <v>0</v>
      </c>
    </row>
    <row r="216" spans="1:4" x14ac:dyDescent="0.25">
      <c r="A216" s="8">
        <v>46244</v>
      </c>
      <c r="B216" s="9" t="s">
        <v>3</v>
      </c>
      <c r="C216" s="10">
        <v>2420</v>
      </c>
      <c r="D216" s="10">
        <f t="shared" si="6"/>
        <v>2420</v>
      </c>
    </row>
    <row r="217" spans="1:4" x14ac:dyDescent="0.25">
      <c r="A217" s="8">
        <v>46244</v>
      </c>
      <c r="B217" s="9" t="s">
        <v>204</v>
      </c>
      <c r="C217" s="10">
        <v>-2420</v>
      </c>
      <c r="D217" s="10">
        <f t="shared" si="6"/>
        <v>0</v>
      </c>
    </row>
    <row r="218" spans="1:4" x14ac:dyDescent="0.25">
      <c r="A218" s="8">
        <v>46247</v>
      </c>
      <c r="B218" s="9" t="s">
        <v>327</v>
      </c>
      <c r="C218" s="10">
        <v>4990</v>
      </c>
      <c r="D218" s="10">
        <f t="shared" si="6"/>
        <v>4990</v>
      </c>
    </row>
    <row r="219" spans="1:4" x14ac:dyDescent="0.25">
      <c r="A219" s="8">
        <v>46249</v>
      </c>
      <c r="B219" s="9" t="s">
        <v>179</v>
      </c>
      <c r="C219" s="10">
        <v>-4990</v>
      </c>
      <c r="D219" s="10">
        <f t="shared" si="6"/>
        <v>0</v>
      </c>
    </row>
    <row r="220" spans="1:4" x14ac:dyDescent="0.25">
      <c r="A220" s="8">
        <v>46251</v>
      </c>
      <c r="B220" s="9" t="s">
        <v>3</v>
      </c>
      <c r="C220" s="10">
        <v>3000</v>
      </c>
      <c r="D220" s="10">
        <f t="shared" si="6"/>
        <v>3000</v>
      </c>
    </row>
    <row r="221" spans="1:4" x14ac:dyDescent="0.25">
      <c r="A221" s="8">
        <v>46251</v>
      </c>
      <c r="B221" s="9" t="s">
        <v>127</v>
      </c>
      <c r="C221" s="10">
        <v>-3000</v>
      </c>
      <c r="D221" s="10">
        <f t="shared" si="6"/>
        <v>0</v>
      </c>
    </row>
    <row r="222" spans="1:4" x14ac:dyDescent="0.25">
      <c r="A222" s="8">
        <v>46254</v>
      </c>
      <c r="B222" s="9" t="s">
        <v>3</v>
      </c>
      <c r="C222" s="10">
        <v>4290</v>
      </c>
      <c r="D222" s="10">
        <f t="shared" si="6"/>
        <v>4290</v>
      </c>
    </row>
    <row r="223" spans="1:4" x14ac:dyDescent="0.25">
      <c r="A223" s="8">
        <v>46256</v>
      </c>
      <c r="B223" s="9" t="s">
        <v>127</v>
      </c>
      <c r="C223" s="10">
        <v>-4290</v>
      </c>
      <c r="D223" s="10">
        <f t="shared" si="6"/>
        <v>0</v>
      </c>
    </row>
    <row r="224" spans="1:4" x14ac:dyDescent="0.25">
      <c r="A224" s="8">
        <v>46258</v>
      </c>
      <c r="B224" s="9" t="s">
        <v>3</v>
      </c>
      <c r="C224" s="10">
        <v>3740</v>
      </c>
      <c r="D224" s="10">
        <f t="shared" si="6"/>
        <v>3740</v>
      </c>
    </row>
    <row r="225" spans="1:4" x14ac:dyDescent="0.25">
      <c r="A225" s="8">
        <v>46258</v>
      </c>
      <c r="B225" s="9" t="s">
        <v>127</v>
      </c>
      <c r="C225" s="10">
        <v>-3740</v>
      </c>
      <c r="D225" s="10">
        <f t="shared" si="6"/>
        <v>0</v>
      </c>
    </row>
    <row r="226" spans="1:4" x14ac:dyDescent="0.25">
      <c r="A226" s="8">
        <v>46261</v>
      </c>
      <c r="B226" s="9" t="s">
        <v>569</v>
      </c>
      <c r="C226" s="10">
        <v>3890</v>
      </c>
      <c r="D226" s="10">
        <f t="shared" si="6"/>
        <v>3890</v>
      </c>
    </row>
    <row r="227" spans="1:4" x14ac:dyDescent="0.25">
      <c r="A227" s="8">
        <v>46261</v>
      </c>
      <c r="B227" s="9" t="s">
        <v>127</v>
      </c>
      <c r="C227" s="10">
        <v>-3890</v>
      </c>
      <c r="D227" s="10">
        <f t="shared" si="6"/>
        <v>0</v>
      </c>
    </row>
    <row r="228" spans="1:4" x14ac:dyDescent="0.25">
      <c r="A228" s="8">
        <v>46268</v>
      </c>
      <c r="B228" s="9" t="s">
        <v>574</v>
      </c>
      <c r="C228" s="10">
        <v>4820</v>
      </c>
      <c r="D228" s="10">
        <f t="shared" si="6"/>
        <v>4820</v>
      </c>
    </row>
    <row r="229" spans="1:4" x14ac:dyDescent="0.25">
      <c r="A229" s="8">
        <v>46268</v>
      </c>
      <c r="B229" s="9" t="s">
        <v>127</v>
      </c>
      <c r="C229" s="10">
        <v>-4820</v>
      </c>
      <c r="D229" s="10">
        <f t="shared" si="6"/>
        <v>0</v>
      </c>
    </row>
    <row r="230" spans="1:4" x14ac:dyDescent="0.25">
      <c r="A230" s="8">
        <v>46272</v>
      </c>
      <c r="B230" s="9" t="s">
        <v>578</v>
      </c>
      <c r="C230" s="10">
        <v>4480</v>
      </c>
      <c r="D230" s="10">
        <f t="shared" si="6"/>
        <v>4480</v>
      </c>
    </row>
    <row r="231" spans="1:4" x14ac:dyDescent="0.25">
      <c r="A231" s="8">
        <v>46272</v>
      </c>
      <c r="B231" s="9" t="s">
        <v>127</v>
      </c>
      <c r="C231" s="10">
        <v>-4480</v>
      </c>
      <c r="D231" s="10">
        <f t="shared" si="6"/>
        <v>0</v>
      </c>
    </row>
    <row r="232" spans="1:4" x14ac:dyDescent="0.25">
      <c r="A232" s="8">
        <v>46275</v>
      </c>
      <c r="B232" s="9" t="s">
        <v>276</v>
      </c>
      <c r="C232" s="10">
        <v>3190</v>
      </c>
      <c r="D232" s="10">
        <f t="shared" si="6"/>
        <v>3190</v>
      </c>
    </row>
    <row r="233" spans="1:4" x14ac:dyDescent="0.25">
      <c r="A233" s="8">
        <v>46275</v>
      </c>
      <c r="B233" s="9" t="s">
        <v>127</v>
      </c>
      <c r="C233" s="10">
        <v>-3190</v>
      </c>
      <c r="D233" s="10">
        <f t="shared" si="6"/>
        <v>0</v>
      </c>
    </row>
    <row r="234" spans="1:4" x14ac:dyDescent="0.25">
      <c r="A234" s="8">
        <v>46279</v>
      </c>
      <c r="B234" s="9" t="s">
        <v>97</v>
      </c>
      <c r="C234" s="10">
        <v>3240</v>
      </c>
      <c r="D234" s="10">
        <f t="shared" si="6"/>
        <v>3240</v>
      </c>
    </row>
    <row r="235" spans="1:4" x14ac:dyDescent="0.25">
      <c r="A235" s="8">
        <v>46279</v>
      </c>
      <c r="B235" s="9" t="s">
        <v>127</v>
      </c>
      <c r="C235" s="10">
        <v>-3240</v>
      </c>
      <c r="D235" s="10">
        <f t="shared" si="6"/>
        <v>0</v>
      </c>
    </row>
    <row r="236" spans="1:4" x14ac:dyDescent="0.25">
      <c r="A236" s="8">
        <v>46282</v>
      </c>
      <c r="B236" s="9" t="s">
        <v>3</v>
      </c>
      <c r="C236" s="10">
        <v>2150</v>
      </c>
      <c r="D236" s="10">
        <f t="shared" si="6"/>
        <v>2150</v>
      </c>
    </row>
    <row r="237" spans="1:4" x14ac:dyDescent="0.25">
      <c r="A237" s="8">
        <v>46282</v>
      </c>
      <c r="B237" s="9" t="s">
        <v>127</v>
      </c>
      <c r="C237" s="10">
        <v>-2150</v>
      </c>
      <c r="D237" s="10">
        <f t="shared" si="6"/>
        <v>0</v>
      </c>
    </row>
    <row r="238" spans="1:4" x14ac:dyDescent="0.25">
      <c r="A238" s="8">
        <v>46284</v>
      </c>
      <c r="B238" s="9" t="s">
        <v>3</v>
      </c>
      <c r="C238" s="10">
        <v>16450</v>
      </c>
      <c r="D238" s="10">
        <f t="shared" si="6"/>
        <v>16450</v>
      </c>
    </row>
    <row r="239" spans="1:4" x14ac:dyDescent="0.25">
      <c r="A239" s="8">
        <v>46285</v>
      </c>
      <c r="B239" s="9" t="s">
        <v>127</v>
      </c>
      <c r="C239" s="10">
        <v>-10000</v>
      </c>
      <c r="D239" s="10">
        <f t="shared" si="6"/>
        <v>6450</v>
      </c>
    </row>
    <row r="240" spans="1:4" x14ac:dyDescent="0.25">
      <c r="A240" s="8">
        <v>46286</v>
      </c>
      <c r="B240" s="9" t="s">
        <v>127</v>
      </c>
      <c r="C240" s="10">
        <v>-6450</v>
      </c>
      <c r="D240" s="10">
        <f t="shared" si="6"/>
        <v>0</v>
      </c>
    </row>
    <row r="241" spans="1:4" x14ac:dyDescent="0.25">
      <c r="A241" s="8">
        <v>46163</v>
      </c>
      <c r="B241" s="9" t="s">
        <v>3</v>
      </c>
      <c r="C241" s="10">
        <v>5600</v>
      </c>
      <c r="D241" s="10">
        <f t="shared" si="6"/>
        <v>5600</v>
      </c>
    </row>
    <row r="242" spans="1:4" x14ac:dyDescent="0.25">
      <c r="A242" s="8">
        <v>46288</v>
      </c>
      <c r="B242" s="9" t="s">
        <v>127</v>
      </c>
      <c r="C242" s="10">
        <v>-5600</v>
      </c>
      <c r="D242" s="10">
        <f t="shared" si="6"/>
        <v>0</v>
      </c>
    </row>
    <row r="243" spans="1:4" x14ac:dyDescent="0.25">
      <c r="A243" s="8">
        <v>46289</v>
      </c>
      <c r="B243" s="9" t="s">
        <v>327</v>
      </c>
      <c r="C243" s="10">
        <v>5150</v>
      </c>
      <c r="D243" s="10">
        <f t="shared" si="6"/>
        <v>5150</v>
      </c>
    </row>
    <row r="244" spans="1:4" x14ac:dyDescent="0.25">
      <c r="A244" s="8">
        <v>46290</v>
      </c>
      <c r="B244" s="9" t="s">
        <v>127</v>
      </c>
      <c r="C244" s="10">
        <v>-5150</v>
      </c>
      <c r="D244" s="10">
        <f t="shared" si="6"/>
        <v>0</v>
      </c>
    </row>
    <row r="245" spans="1:4" x14ac:dyDescent="0.25">
      <c r="A245" s="8">
        <v>46293</v>
      </c>
      <c r="B245" s="9" t="s">
        <v>327</v>
      </c>
      <c r="C245" s="10">
        <v>3300</v>
      </c>
      <c r="D245" s="10">
        <f t="shared" si="6"/>
        <v>3300</v>
      </c>
    </row>
    <row r="246" spans="1:4" x14ac:dyDescent="0.25">
      <c r="A246" s="8">
        <v>46294</v>
      </c>
      <c r="B246" s="9" t="s">
        <v>3</v>
      </c>
      <c r="C246" s="10">
        <v>-3300</v>
      </c>
      <c r="D246" s="10">
        <f t="shared" si="6"/>
        <v>0</v>
      </c>
    </row>
    <row r="247" spans="1:4" x14ac:dyDescent="0.25">
      <c r="A247" s="8">
        <v>46296</v>
      </c>
      <c r="B247" s="9" t="s">
        <v>612</v>
      </c>
      <c r="C247" s="10">
        <v>3040</v>
      </c>
      <c r="D247" s="10">
        <f t="shared" si="6"/>
        <v>3040</v>
      </c>
    </row>
    <row r="248" spans="1:4" x14ac:dyDescent="0.25">
      <c r="A248" s="8">
        <v>46297</v>
      </c>
      <c r="B248" s="9" t="s">
        <v>195</v>
      </c>
      <c r="C248" s="10">
        <v>-3040</v>
      </c>
      <c r="D248" s="10">
        <f t="shared" si="6"/>
        <v>0</v>
      </c>
    </row>
    <row r="249" spans="1:4" x14ac:dyDescent="0.25">
      <c r="A249" s="8">
        <v>46300</v>
      </c>
      <c r="B249" s="9" t="s">
        <v>589</v>
      </c>
      <c r="C249" s="10">
        <v>3310</v>
      </c>
      <c r="D249" s="10">
        <f t="shared" si="6"/>
        <v>3310</v>
      </c>
    </row>
    <row r="250" spans="1:4" ht="18.75" customHeight="1" x14ac:dyDescent="0.25">
      <c r="A250" s="9"/>
      <c r="B250" s="9"/>
      <c r="C250" s="10"/>
      <c r="D250" s="10">
        <f t="shared" si="6"/>
        <v>3310</v>
      </c>
    </row>
    <row r="251" spans="1:4" x14ac:dyDescent="0.25">
      <c r="A251" s="9"/>
      <c r="B251" s="9"/>
      <c r="C251" s="10"/>
      <c r="D251" s="10">
        <f t="shared" si="6"/>
        <v>3310</v>
      </c>
    </row>
    <row r="252" spans="1:4" x14ac:dyDescent="0.25">
      <c r="A252" s="9"/>
      <c r="B252" s="9"/>
      <c r="C252" s="10"/>
      <c r="D252" s="10">
        <f t="shared" si="6"/>
        <v>3310</v>
      </c>
    </row>
  </sheetData>
  <mergeCells count="2">
    <mergeCell ref="A4:D4"/>
    <mergeCell ref="B6:D6"/>
  </mergeCells>
  <pageMargins left="0.7" right="0.7" top="0.75" bottom="0.75" header="0.3" footer="0.3"/>
  <pageSetup paperSize="172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D59AB-AD2E-4C05-938E-451412820BE5}">
  <dimension ref="A4:G185"/>
  <sheetViews>
    <sheetView topLeftCell="A92" workbookViewId="0">
      <selection activeCell="A115" sqref="A115"/>
    </sheetView>
  </sheetViews>
  <sheetFormatPr baseColWidth="10" defaultRowHeight="15" x14ac:dyDescent="0.25"/>
  <cols>
    <col min="1" max="1" width="28.28515625" customWidth="1"/>
    <col min="2" max="2" width="27.140625" customWidth="1"/>
    <col min="3" max="3" width="23.42578125" style="6" customWidth="1"/>
    <col min="4" max="4" width="21.85546875" style="6" customWidth="1"/>
  </cols>
  <sheetData>
    <row r="4" spans="1:7" ht="18" x14ac:dyDescent="0.25">
      <c r="A4" s="98" t="s">
        <v>0</v>
      </c>
      <c r="B4" s="98"/>
      <c r="C4" s="98"/>
      <c r="D4" s="98"/>
      <c r="E4" s="1"/>
      <c r="F4" s="1"/>
      <c r="G4" s="1"/>
    </row>
    <row r="6" spans="1:7" x14ac:dyDescent="0.25">
      <c r="A6" s="2" t="s">
        <v>1</v>
      </c>
      <c r="B6" s="96" t="s">
        <v>62</v>
      </c>
      <c r="C6" s="97"/>
      <c r="D6" s="97"/>
    </row>
    <row r="7" spans="1:7" x14ac:dyDescent="0.25">
      <c r="A7" s="3" t="s">
        <v>11</v>
      </c>
      <c r="B7" s="4" t="s">
        <v>18</v>
      </c>
      <c r="C7" s="4"/>
      <c r="D7" s="4"/>
    </row>
    <row r="8" spans="1:7" x14ac:dyDescent="0.25">
      <c r="B8" s="5"/>
    </row>
    <row r="9" spans="1:7" x14ac:dyDescent="0.25">
      <c r="A9" s="2" t="s">
        <v>2</v>
      </c>
      <c r="B9" s="2" t="s">
        <v>3</v>
      </c>
      <c r="C9" s="7" t="s">
        <v>4</v>
      </c>
      <c r="D9" s="7" t="s">
        <v>5</v>
      </c>
    </row>
    <row r="10" spans="1:7" x14ac:dyDescent="0.25">
      <c r="A10" s="8">
        <v>45856</v>
      </c>
      <c r="B10" s="9" t="s">
        <v>3</v>
      </c>
      <c r="C10" s="10">
        <v>3300</v>
      </c>
      <c r="D10" s="10">
        <f>C10</f>
        <v>3300</v>
      </c>
    </row>
    <row r="11" spans="1:7" x14ac:dyDescent="0.25">
      <c r="A11" s="8">
        <v>45859</v>
      </c>
      <c r="B11" s="9" t="s">
        <v>7</v>
      </c>
      <c r="C11" s="10">
        <v>-3300</v>
      </c>
      <c r="D11" s="10">
        <f>D10+C11</f>
        <v>0</v>
      </c>
    </row>
    <row r="12" spans="1:7" x14ac:dyDescent="0.25">
      <c r="A12" s="8">
        <v>45859</v>
      </c>
      <c r="B12" s="9" t="s">
        <v>3</v>
      </c>
      <c r="C12" s="10">
        <v>325</v>
      </c>
      <c r="D12" s="10">
        <f t="shared" ref="D12:D47" si="0">D11+C12</f>
        <v>325</v>
      </c>
    </row>
    <row r="13" spans="1:7" x14ac:dyDescent="0.25">
      <c r="A13" s="8">
        <v>45866</v>
      </c>
      <c r="B13" s="9" t="s">
        <v>74</v>
      </c>
      <c r="C13" s="10">
        <v>-1325</v>
      </c>
      <c r="D13" s="10">
        <f t="shared" si="0"/>
        <v>-1000</v>
      </c>
    </row>
    <row r="14" spans="1:7" x14ac:dyDescent="0.25">
      <c r="A14" s="8">
        <v>45869</v>
      </c>
      <c r="B14" s="9" t="s">
        <v>3</v>
      </c>
      <c r="C14" s="10">
        <v>2860</v>
      </c>
      <c r="D14" s="10">
        <f t="shared" si="0"/>
        <v>1860</v>
      </c>
    </row>
    <row r="15" spans="1:7" x14ac:dyDescent="0.25">
      <c r="A15" s="8">
        <v>45873</v>
      </c>
      <c r="B15" s="9" t="s">
        <v>3</v>
      </c>
      <c r="C15" s="10">
        <v>1160</v>
      </c>
      <c r="D15" s="10">
        <f t="shared" si="0"/>
        <v>3020</v>
      </c>
    </row>
    <row r="16" spans="1:7" x14ac:dyDescent="0.25">
      <c r="A16" s="8">
        <v>45873</v>
      </c>
      <c r="B16" s="9" t="s">
        <v>74</v>
      </c>
      <c r="C16" s="10">
        <v>-2860</v>
      </c>
      <c r="D16" s="10">
        <f t="shared" si="0"/>
        <v>160</v>
      </c>
    </row>
    <row r="17" spans="1:4" x14ac:dyDescent="0.25">
      <c r="A17" s="8">
        <v>45880</v>
      </c>
      <c r="B17" s="9" t="s">
        <v>3</v>
      </c>
      <c r="C17" s="10">
        <v>635</v>
      </c>
      <c r="D17" s="10">
        <f t="shared" si="0"/>
        <v>795</v>
      </c>
    </row>
    <row r="18" spans="1:4" x14ac:dyDescent="0.25">
      <c r="A18" s="8">
        <v>45880</v>
      </c>
      <c r="B18" s="9" t="s">
        <v>74</v>
      </c>
      <c r="C18" s="10">
        <v>-1060</v>
      </c>
      <c r="D18" s="10">
        <f t="shared" si="0"/>
        <v>-265</v>
      </c>
    </row>
    <row r="19" spans="1:4" x14ac:dyDescent="0.25">
      <c r="A19" s="8">
        <v>45883</v>
      </c>
      <c r="B19" s="9" t="s">
        <v>3</v>
      </c>
      <c r="C19" s="10">
        <v>900</v>
      </c>
      <c r="D19" s="10">
        <f t="shared" si="0"/>
        <v>635</v>
      </c>
    </row>
    <row r="20" spans="1:4" x14ac:dyDescent="0.25">
      <c r="A20" s="8">
        <v>45887</v>
      </c>
      <c r="B20" s="9" t="s">
        <v>46</v>
      </c>
      <c r="C20" s="10">
        <v>-1535</v>
      </c>
      <c r="D20" s="10">
        <f t="shared" si="0"/>
        <v>-900</v>
      </c>
    </row>
    <row r="21" spans="1:4" x14ac:dyDescent="0.25">
      <c r="A21" s="8">
        <v>45887</v>
      </c>
      <c r="B21" s="9" t="s">
        <v>3</v>
      </c>
      <c r="C21" s="10">
        <v>1050</v>
      </c>
      <c r="D21" s="10">
        <f t="shared" si="0"/>
        <v>150</v>
      </c>
    </row>
    <row r="22" spans="1:4" x14ac:dyDescent="0.25">
      <c r="A22" s="8">
        <v>45894</v>
      </c>
      <c r="B22" s="9" t="s">
        <v>3</v>
      </c>
      <c r="C22" s="10">
        <v>300</v>
      </c>
      <c r="D22" s="10">
        <f t="shared" si="0"/>
        <v>450</v>
      </c>
    </row>
    <row r="23" spans="1:4" x14ac:dyDescent="0.25">
      <c r="A23" s="8">
        <v>45894</v>
      </c>
      <c r="B23" s="9" t="s">
        <v>46</v>
      </c>
      <c r="C23" s="10">
        <v>-1050</v>
      </c>
      <c r="D23" s="10">
        <f t="shared" si="0"/>
        <v>-600</v>
      </c>
    </row>
    <row r="24" spans="1:4" x14ac:dyDescent="0.25">
      <c r="A24" s="8">
        <v>45908</v>
      </c>
      <c r="B24" s="9" t="s">
        <v>3</v>
      </c>
      <c r="C24" s="10">
        <v>1970</v>
      </c>
      <c r="D24" s="10">
        <f>D23+C24</f>
        <v>1370</v>
      </c>
    </row>
    <row r="25" spans="1:4" x14ac:dyDescent="0.25">
      <c r="A25" s="8">
        <v>45908</v>
      </c>
      <c r="B25" s="9" t="s">
        <v>46</v>
      </c>
      <c r="C25" s="10">
        <v>-950</v>
      </c>
      <c r="D25" s="10">
        <f t="shared" si="0"/>
        <v>420</v>
      </c>
    </row>
    <row r="26" spans="1:4" x14ac:dyDescent="0.25">
      <c r="A26" s="8">
        <v>45911</v>
      </c>
      <c r="B26" s="9" t="s">
        <v>3</v>
      </c>
      <c r="C26" s="10">
        <v>1580</v>
      </c>
      <c r="D26" s="10">
        <f t="shared" si="0"/>
        <v>2000</v>
      </c>
    </row>
    <row r="27" spans="1:4" x14ac:dyDescent="0.25">
      <c r="A27" s="8">
        <v>45911</v>
      </c>
      <c r="B27" s="9" t="s">
        <v>74</v>
      </c>
      <c r="C27" s="10">
        <v>-1970</v>
      </c>
      <c r="D27" s="10">
        <f t="shared" si="0"/>
        <v>30</v>
      </c>
    </row>
    <row r="28" spans="1:4" x14ac:dyDescent="0.25">
      <c r="A28" s="8">
        <v>45916</v>
      </c>
      <c r="B28" s="9" t="s">
        <v>3</v>
      </c>
      <c r="C28" s="10">
        <v>1800</v>
      </c>
      <c r="D28" s="10">
        <f t="shared" si="0"/>
        <v>1830</v>
      </c>
    </row>
    <row r="29" spans="1:4" x14ac:dyDescent="0.25">
      <c r="A29" s="8">
        <v>45922</v>
      </c>
      <c r="B29" s="9" t="s">
        <v>46</v>
      </c>
      <c r="C29" s="10">
        <v>-1580</v>
      </c>
      <c r="D29" s="10">
        <f t="shared" si="0"/>
        <v>250</v>
      </c>
    </row>
    <row r="30" spans="1:4" x14ac:dyDescent="0.25">
      <c r="A30" s="8">
        <v>45925</v>
      </c>
      <c r="B30" s="9" t="s">
        <v>3</v>
      </c>
      <c r="C30" s="10">
        <v>1580</v>
      </c>
      <c r="D30" s="10">
        <f t="shared" si="0"/>
        <v>1830</v>
      </c>
    </row>
    <row r="31" spans="1:4" x14ac:dyDescent="0.25">
      <c r="A31" s="8">
        <v>45925</v>
      </c>
      <c r="B31" s="9" t="s">
        <v>92</v>
      </c>
      <c r="C31" s="10">
        <v>-2760</v>
      </c>
      <c r="D31" s="10">
        <f t="shared" si="0"/>
        <v>-930</v>
      </c>
    </row>
    <row r="32" spans="1:4" x14ac:dyDescent="0.25">
      <c r="A32" s="8">
        <v>45929</v>
      </c>
      <c r="B32" s="9" t="s">
        <v>3</v>
      </c>
      <c r="C32" s="10">
        <v>770</v>
      </c>
      <c r="D32" s="10">
        <f t="shared" si="0"/>
        <v>-160</v>
      </c>
    </row>
    <row r="33" spans="1:4" x14ac:dyDescent="0.25">
      <c r="A33" s="8">
        <v>45929</v>
      </c>
      <c r="B33" s="9" t="s">
        <v>46</v>
      </c>
      <c r="C33" s="10">
        <v>-770</v>
      </c>
      <c r="D33" s="10">
        <f t="shared" si="0"/>
        <v>-930</v>
      </c>
    </row>
    <row r="34" spans="1:4" x14ac:dyDescent="0.25">
      <c r="A34" s="8">
        <v>45902</v>
      </c>
      <c r="B34" s="9" t="s">
        <v>3</v>
      </c>
      <c r="C34" s="10">
        <v>1650</v>
      </c>
      <c r="D34" s="10">
        <f t="shared" si="0"/>
        <v>720</v>
      </c>
    </row>
    <row r="35" spans="1:4" x14ac:dyDescent="0.25">
      <c r="A35" s="8">
        <v>45936</v>
      </c>
      <c r="B35" s="9" t="s">
        <v>3</v>
      </c>
      <c r="C35" s="10">
        <v>1325</v>
      </c>
      <c r="D35" s="10">
        <f t="shared" si="0"/>
        <v>2045</v>
      </c>
    </row>
    <row r="36" spans="1:4" x14ac:dyDescent="0.25">
      <c r="A36" s="8">
        <v>45936</v>
      </c>
      <c r="B36" s="9" t="s">
        <v>92</v>
      </c>
      <c r="C36" s="10">
        <v>-1650</v>
      </c>
      <c r="D36" s="10">
        <f t="shared" si="0"/>
        <v>395</v>
      </c>
    </row>
    <row r="37" spans="1:4" x14ac:dyDescent="0.25">
      <c r="A37" s="8">
        <v>45939</v>
      </c>
      <c r="B37" s="9" t="s">
        <v>3</v>
      </c>
      <c r="C37" s="10">
        <v>1120</v>
      </c>
      <c r="D37" s="10">
        <f t="shared" si="0"/>
        <v>1515</v>
      </c>
    </row>
    <row r="38" spans="1:4" x14ac:dyDescent="0.25">
      <c r="A38" s="8">
        <v>45939</v>
      </c>
      <c r="B38" s="9" t="s">
        <v>178</v>
      </c>
      <c r="C38" s="10">
        <v>-1965</v>
      </c>
      <c r="D38" s="10">
        <f t="shared" si="0"/>
        <v>-450</v>
      </c>
    </row>
    <row r="39" spans="1:4" x14ac:dyDescent="0.25">
      <c r="A39" s="8">
        <v>45943</v>
      </c>
      <c r="B39" s="9" t="s">
        <v>3</v>
      </c>
      <c r="C39" s="10">
        <v>1210</v>
      </c>
      <c r="D39" s="10">
        <f t="shared" si="0"/>
        <v>760</v>
      </c>
    </row>
    <row r="40" spans="1:4" x14ac:dyDescent="0.25">
      <c r="A40" s="8">
        <v>45946</v>
      </c>
      <c r="B40" s="9" t="s">
        <v>3</v>
      </c>
      <c r="C40" s="10">
        <v>1255</v>
      </c>
      <c r="D40" s="10">
        <f t="shared" si="0"/>
        <v>2015</v>
      </c>
    </row>
    <row r="41" spans="1:4" x14ac:dyDescent="0.25">
      <c r="A41" s="8">
        <v>45946</v>
      </c>
      <c r="B41" s="9" t="s">
        <v>178</v>
      </c>
      <c r="C41" s="10">
        <v>-2535</v>
      </c>
      <c r="D41" s="10">
        <f t="shared" si="0"/>
        <v>-520</v>
      </c>
    </row>
    <row r="42" spans="1:4" x14ac:dyDescent="0.25">
      <c r="A42" s="8">
        <v>45950</v>
      </c>
      <c r="B42" s="9" t="s">
        <v>3</v>
      </c>
      <c r="C42" s="10">
        <v>2030</v>
      </c>
      <c r="D42" s="10">
        <f t="shared" si="0"/>
        <v>1510</v>
      </c>
    </row>
    <row r="43" spans="1:4" x14ac:dyDescent="0.25">
      <c r="A43" s="8">
        <v>45950</v>
      </c>
      <c r="B43" s="9" t="s">
        <v>178</v>
      </c>
      <c r="C43" s="10">
        <v>-1255</v>
      </c>
      <c r="D43" s="10">
        <f t="shared" si="0"/>
        <v>255</v>
      </c>
    </row>
    <row r="44" spans="1:4" x14ac:dyDescent="0.25">
      <c r="A44" s="8">
        <v>45953</v>
      </c>
      <c r="B44" s="9" t="s">
        <v>3</v>
      </c>
      <c r="C44" s="10">
        <v>1260</v>
      </c>
      <c r="D44" s="10">
        <f t="shared" si="0"/>
        <v>1515</v>
      </c>
    </row>
    <row r="45" spans="1:4" x14ac:dyDescent="0.25">
      <c r="A45" s="8">
        <v>45957</v>
      </c>
      <c r="B45" s="9" t="s">
        <v>3</v>
      </c>
      <c r="C45" s="10">
        <v>1360</v>
      </c>
      <c r="D45" s="10">
        <f t="shared" si="0"/>
        <v>2875</v>
      </c>
    </row>
    <row r="46" spans="1:4" ht="14.25" customHeight="1" x14ac:dyDescent="0.25">
      <c r="A46" s="8">
        <v>45957</v>
      </c>
      <c r="B46" s="9" t="s">
        <v>178</v>
      </c>
      <c r="C46" s="10">
        <v>-1260</v>
      </c>
      <c r="D46" s="10">
        <f t="shared" si="0"/>
        <v>1615</v>
      </c>
    </row>
    <row r="47" spans="1:4" ht="14.25" customHeight="1" x14ac:dyDescent="0.25">
      <c r="A47" s="8">
        <v>45964</v>
      </c>
      <c r="B47" s="9" t="s">
        <v>178</v>
      </c>
      <c r="C47" s="10">
        <v>-700</v>
      </c>
      <c r="D47" s="10">
        <f t="shared" si="0"/>
        <v>915</v>
      </c>
    </row>
    <row r="48" spans="1:4" x14ac:dyDescent="0.25">
      <c r="A48" s="8">
        <v>45967</v>
      </c>
      <c r="B48" s="9" t="s">
        <v>3</v>
      </c>
      <c r="C48" s="10">
        <v>1990</v>
      </c>
      <c r="D48" s="10">
        <f>D47+C48</f>
        <v>2905</v>
      </c>
    </row>
    <row r="49" spans="1:4" x14ac:dyDescent="0.25">
      <c r="A49" s="8">
        <v>45978</v>
      </c>
      <c r="B49" s="9" t="s">
        <v>178</v>
      </c>
      <c r="C49" s="10">
        <v>-2150</v>
      </c>
      <c r="D49" s="10">
        <f t="shared" ref="D49:D112" si="1">D48+C49</f>
        <v>755</v>
      </c>
    </row>
    <row r="50" spans="1:4" x14ac:dyDescent="0.25">
      <c r="A50" s="8">
        <v>45981</v>
      </c>
      <c r="B50" s="9" t="s">
        <v>3</v>
      </c>
      <c r="C50" s="10">
        <v>850</v>
      </c>
      <c r="D50" s="10">
        <f t="shared" si="1"/>
        <v>1605</v>
      </c>
    </row>
    <row r="51" spans="1:4" x14ac:dyDescent="0.25">
      <c r="A51" s="8">
        <v>45981</v>
      </c>
      <c r="B51" s="9" t="s">
        <v>92</v>
      </c>
      <c r="C51" s="10">
        <v>-755</v>
      </c>
      <c r="D51" s="10">
        <f t="shared" si="1"/>
        <v>850</v>
      </c>
    </row>
    <row r="52" spans="1:4" x14ac:dyDescent="0.25">
      <c r="A52" s="8">
        <v>45985</v>
      </c>
      <c r="B52" s="9" t="s">
        <v>3</v>
      </c>
      <c r="C52" s="10">
        <v>2450</v>
      </c>
      <c r="D52" s="10">
        <f t="shared" si="1"/>
        <v>3300</v>
      </c>
    </row>
    <row r="53" spans="1:4" x14ac:dyDescent="0.25">
      <c r="A53" s="8">
        <v>45988</v>
      </c>
      <c r="B53" s="9" t="s">
        <v>7</v>
      </c>
      <c r="C53" s="10">
        <v>-3300</v>
      </c>
      <c r="D53" s="10">
        <f t="shared" si="1"/>
        <v>0</v>
      </c>
    </row>
    <row r="54" spans="1:4" x14ac:dyDescent="0.25">
      <c r="A54" s="8">
        <v>46002</v>
      </c>
      <c r="B54" s="9" t="s">
        <v>3</v>
      </c>
      <c r="C54" s="10">
        <v>790</v>
      </c>
      <c r="D54" s="10">
        <f t="shared" si="1"/>
        <v>790</v>
      </c>
    </row>
    <row r="55" spans="1:4" x14ac:dyDescent="0.25">
      <c r="A55" s="8">
        <v>46034</v>
      </c>
      <c r="B55" s="9" t="s">
        <v>3</v>
      </c>
      <c r="C55" s="10">
        <v>1200</v>
      </c>
      <c r="D55" s="10">
        <f t="shared" si="1"/>
        <v>1990</v>
      </c>
    </row>
    <row r="56" spans="1:4" x14ac:dyDescent="0.25">
      <c r="A56" s="8">
        <v>46034</v>
      </c>
      <c r="B56" s="9" t="s">
        <v>178</v>
      </c>
      <c r="C56" s="10">
        <v>-1500</v>
      </c>
      <c r="D56" s="10">
        <f t="shared" si="1"/>
        <v>490</v>
      </c>
    </row>
    <row r="57" spans="1:4" x14ac:dyDescent="0.25">
      <c r="A57" s="8">
        <v>46037</v>
      </c>
      <c r="B57" s="9" t="s">
        <v>3</v>
      </c>
      <c r="C57" s="10">
        <v>790</v>
      </c>
      <c r="D57" s="10">
        <f t="shared" si="1"/>
        <v>1280</v>
      </c>
    </row>
    <row r="58" spans="1:4" x14ac:dyDescent="0.25">
      <c r="A58" s="8">
        <v>46037</v>
      </c>
      <c r="B58" s="9" t="s">
        <v>178</v>
      </c>
      <c r="C58" s="10">
        <v>-1280</v>
      </c>
      <c r="D58" s="10">
        <f t="shared" si="1"/>
        <v>0</v>
      </c>
    </row>
    <row r="59" spans="1:4" x14ac:dyDescent="0.25">
      <c r="A59" s="8">
        <v>46059</v>
      </c>
      <c r="B59" s="9" t="s">
        <v>3</v>
      </c>
      <c r="C59" s="10">
        <v>5705</v>
      </c>
      <c r="D59" s="10">
        <f t="shared" si="1"/>
        <v>5705</v>
      </c>
    </row>
    <row r="60" spans="1:4" x14ac:dyDescent="0.25">
      <c r="A60" s="8">
        <v>46062</v>
      </c>
      <c r="B60" s="9" t="s">
        <v>3</v>
      </c>
      <c r="C60" s="10">
        <v>6700</v>
      </c>
      <c r="D60" s="10">
        <f t="shared" si="1"/>
        <v>12405</v>
      </c>
    </row>
    <row r="61" spans="1:4" x14ac:dyDescent="0.25">
      <c r="A61" s="8">
        <v>46069</v>
      </c>
      <c r="B61" s="9" t="s">
        <v>178</v>
      </c>
      <c r="C61" s="10">
        <v>-12405</v>
      </c>
      <c r="D61" s="10">
        <f t="shared" si="1"/>
        <v>0</v>
      </c>
    </row>
    <row r="62" spans="1:4" x14ac:dyDescent="0.25">
      <c r="A62" s="8">
        <v>46076</v>
      </c>
      <c r="B62" s="9" t="s">
        <v>3</v>
      </c>
      <c r="C62" s="10">
        <v>4270</v>
      </c>
      <c r="D62" s="10">
        <f t="shared" si="1"/>
        <v>4270</v>
      </c>
    </row>
    <row r="63" spans="1:4" x14ac:dyDescent="0.25">
      <c r="A63" s="8">
        <v>46076</v>
      </c>
      <c r="B63" s="42" t="s">
        <v>3</v>
      </c>
      <c r="C63" s="10">
        <v>1100</v>
      </c>
      <c r="D63" s="10">
        <f t="shared" si="1"/>
        <v>5370</v>
      </c>
    </row>
    <row r="64" spans="1:4" x14ac:dyDescent="0.25">
      <c r="A64" s="8">
        <v>46076</v>
      </c>
      <c r="B64" s="9" t="s">
        <v>127</v>
      </c>
      <c r="C64" s="10">
        <v>-4630</v>
      </c>
      <c r="D64" s="10">
        <f t="shared" si="1"/>
        <v>740</v>
      </c>
    </row>
    <row r="65" spans="1:4" x14ac:dyDescent="0.25">
      <c r="A65" s="8">
        <v>46090</v>
      </c>
      <c r="B65" s="9" t="s">
        <v>178</v>
      </c>
      <c r="C65" s="10">
        <v>-740</v>
      </c>
      <c r="D65" s="10">
        <f t="shared" si="1"/>
        <v>0</v>
      </c>
    </row>
    <row r="66" spans="1:4" x14ac:dyDescent="0.25">
      <c r="A66" s="8">
        <v>46101</v>
      </c>
      <c r="B66" s="9" t="s">
        <v>129</v>
      </c>
      <c r="C66" s="10">
        <v>3600</v>
      </c>
      <c r="D66" s="10">
        <f t="shared" si="1"/>
        <v>3600</v>
      </c>
    </row>
    <row r="67" spans="1:4" x14ac:dyDescent="0.25">
      <c r="A67" s="8">
        <v>46104</v>
      </c>
      <c r="B67" s="9" t="s">
        <v>127</v>
      </c>
      <c r="C67" s="10">
        <v>-3950</v>
      </c>
      <c r="D67" s="10">
        <f t="shared" si="1"/>
        <v>-350</v>
      </c>
    </row>
    <row r="68" spans="1:4" x14ac:dyDescent="0.25">
      <c r="A68" s="8">
        <v>46112</v>
      </c>
      <c r="B68" s="9" t="s">
        <v>148</v>
      </c>
      <c r="C68" s="10">
        <v>4500</v>
      </c>
      <c r="D68" s="10">
        <f t="shared" si="1"/>
        <v>4150</v>
      </c>
    </row>
    <row r="69" spans="1:4" x14ac:dyDescent="0.25">
      <c r="A69" s="8">
        <v>46112</v>
      </c>
      <c r="B69" s="9" t="s">
        <v>127</v>
      </c>
      <c r="C69" s="10">
        <v>-4500</v>
      </c>
      <c r="D69" s="10">
        <f t="shared" si="1"/>
        <v>-350</v>
      </c>
    </row>
    <row r="70" spans="1:4" x14ac:dyDescent="0.25">
      <c r="A70" s="8">
        <v>46125</v>
      </c>
      <c r="B70" s="9" t="s">
        <v>3</v>
      </c>
      <c r="C70" s="10">
        <v>2060</v>
      </c>
      <c r="D70" s="10">
        <f t="shared" si="1"/>
        <v>1710</v>
      </c>
    </row>
    <row r="71" spans="1:4" x14ac:dyDescent="0.25">
      <c r="A71" s="8">
        <v>46135</v>
      </c>
      <c r="B71" s="9" t="s">
        <v>178</v>
      </c>
      <c r="C71" s="10">
        <v>-1710</v>
      </c>
      <c r="D71" s="10">
        <f t="shared" si="1"/>
        <v>0</v>
      </c>
    </row>
    <row r="72" spans="1:4" x14ac:dyDescent="0.25">
      <c r="A72" s="8">
        <v>46170</v>
      </c>
      <c r="B72" s="9" t="s">
        <v>3</v>
      </c>
      <c r="C72" s="10">
        <v>600</v>
      </c>
      <c r="D72" s="10">
        <f t="shared" si="1"/>
        <v>600</v>
      </c>
    </row>
    <row r="73" spans="1:4" x14ac:dyDescent="0.25">
      <c r="A73" s="8">
        <v>46170</v>
      </c>
      <c r="B73" s="9" t="s">
        <v>178</v>
      </c>
      <c r="C73" s="10">
        <v>-600</v>
      </c>
      <c r="D73" s="10">
        <f t="shared" si="1"/>
        <v>0</v>
      </c>
    </row>
    <row r="74" spans="1:4" x14ac:dyDescent="0.25">
      <c r="A74" s="8">
        <v>46191</v>
      </c>
      <c r="B74" s="9" t="s">
        <v>3</v>
      </c>
      <c r="C74" s="10">
        <v>340</v>
      </c>
      <c r="D74" s="10">
        <f t="shared" si="1"/>
        <v>340</v>
      </c>
    </row>
    <row r="75" spans="1:4" x14ac:dyDescent="0.25">
      <c r="A75" s="8">
        <v>46191</v>
      </c>
      <c r="B75" s="9" t="s">
        <v>178</v>
      </c>
      <c r="C75" s="10">
        <v>-340</v>
      </c>
      <c r="D75" s="10">
        <f t="shared" si="1"/>
        <v>0</v>
      </c>
    </row>
    <row r="76" spans="1:4" x14ac:dyDescent="0.25">
      <c r="A76" s="8">
        <v>46195</v>
      </c>
      <c r="B76" s="9" t="s">
        <v>3</v>
      </c>
      <c r="C76" s="10">
        <v>1200</v>
      </c>
      <c r="D76" s="10">
        <f t="shared" si="1"/>
        <v>1200</v>
      </c>
    </row>
    <row r="77" spans="1:4" x14ac:dyDescent="0.25">
      <c r="A77" s="8">
        <v>46195</v>
      </c>
      <c r="B77" s="9" t="s">
        <v>178</v>
      </c>
      <c r="C77" s="10">
        <v>-1200</v>
      </c>
      <c r="D77" s="10">
        <f t="shared" si="1"/>
        <v>0</v>
      </c>
    </row>
    <row r="78" spans="1:4" x14ac:dyDescent="0.25">
      <c r="A78" s="8">
        <v>46198</v>
      </c>
      <c r="B78" s="9" t="s">
        <v>3</v>
      </c>
      <c r="C78" s="10">
        <v>1500</v>
      </c>
      <c r="D78" s="10">
        <f t="shared" si="1"/>
        <v>1500</v>
      </c>
    </row>
    <row r="79" spans="1:4" x14ac:dyDescent="0.25">
      <c r="A79" s="8">
        <v>46202</v>
      </c>
      <c r="B79" s="9" t="s">
        <v>178</v>
      </c>
      <c r="C79" s="10">
        <v>-1500</v>
      </c>
      <c r="D79" s="10">
        <f t="shared" si="1"/>
        <v>0</v>
      </c>
    </row>
    <row r="80" spans="1:4" x14ac:dyDescent="0.25">
      <c r="A80" s="8">
        <v>46060</v>
      </c>
      <c r="B80" s="9" t="s">
        <v>3</v>
      </c>
      <c r="C80" s="10">
        <v>900</v>
      </c>
      <c r="D80" s="10">
        <f t="shared" si="1"/>
        <v>900</v>
      </c>
    </row>
    <row r="81" spans="1:4" x14ac:dyDescent="0.25">
      <c r="A81" s="8">
        <v>46209</v>
      </c>
      <c r="B81" s="9" t="s">
        <v>3</v>
      </c>
      <c r="C81" s="10">
        <f>500+350+950</f>
        <v>1800</v>
      </c>
      <c r="D81" s="10">
        <f t="shared" si="1"/>
        <v>2700</v>
      </c>
    </row>
    <row r="82" spans="1:4" x14ac:dyDescent="0.25">
      <c r="A82" s="8">
        <v>46209</v>
      </c>
      <c r="B82" s="9" t="s">
        <v>178</v>
      </c>
      <c r="C82" s="10">
        <v>-900</v>
      </c>
      <c r="D82" s="10">
        <f t="shared" si="1"/>
        <v>1800</v>
      </c>
    </row>
    <row r="83" spans="1:4" x14ac:dyDescent="0.25">
      <c r="A83" s="8">
        <v>46216</v>
      </c>
      <c r="B83" s="9" t="s">
        <v>178</v>
      </c>
      <c r="C83" s="10">
        <v>-1800</v>
      </c>
      <c r="D83" s="10">
        <f t="shared" si="1"/>
        <v>0</v>
      </c>
    </row>
    <row r="84" spans="1:4" x14ac:dyDescent="0.25">
      <c r="A84" s="8">
        <v>46219</v>
      </c>
      <c r="B84" s="9" t="s">
        <v>3</v>
      </c>
      <c r="C84" s="10">
        <f>1400-330</f>
        <v>1070</v>
      </c>
      <c r="D84" s="10">
        <f t="shared" si="1"/>
        <v>1070</v>
      </c>
    </row>
    <row r="85" spans="1:4" x14ac:dyDescent="0.25">
      <c r="A85" s="8">
        <v>46223</v>
      </c>
      <c r="B85" s="9" t="s">
        <v>3</v>
      </c>
      <c r="C85" s="10">
        <v>240</v>
      </c>
      <c r="D85" s="10">
        <f t="shared" si="1"/>
        <v>1310</v>
      </c>
    </row>
    <row r="86" spans="1:4" x14ac:dyDescent="0.25">
      <c r="A86" s="8">
        <v>46226</v>
      </c>
      <c r="B86" s="9" t="s">
        <v>3</v>
      </c>
      <c r="C86" s="10">
        <v>1870</v>
      </c>
      <c r="D86" s="10">
        <f t="shared" si="1"/>
        <v>3180</v>
      </c>
    </row>
    <row r="87" spans="1:4" x14ac:dyDescent="0.25">
      <c r="A87" s="8">
        <v>46227</v>
      </c>
      <c r="B87" s="9" t="s">
        <v>3</v>
      </c>
      <c r="C87" s="10">
        <v>600</v>
      </c>
      <c r="D87" s="10">
        <f t="shared" si="1"/>
        <v>3780</v>
      </c>
    </row>
    <row r="88" spans="1:4" x14ac:dyDescent="0.25">
      <c r="A88" s="8">
        <v>46230</v>
      </c>
      <c r="B88" s="9" t="s">
        <v>3</v>
      </c>
      <c r="C88" s="10">
        <v>240</v>
      </c>
      <c r="D88" s="10">
        <f t="shared" si="1"/>
        <v>4020</v>
      </c>
    </row>
    <row r="89" spans="1:4" x14ac:dyDescent="0.25">
      <c r="A89" s="8">
        <v>46230</v>
      </c>
      <c r="B89" s="9" t="s">
        <v>178</v>
      </c>
      <c r="C89" s="10">
        <v>-2200</v>
      </c>
      <c r="D89" s="10">
        <f t="shared" si="1"/>
        <v>1820</v>
      </c>
    </row>
    <row r="90" spans="1:4" x14ac:dyDescent="0.25">
      <c r="A90" s="8">
        <v>46233</v>
      </c>
      <c r="B90" s="9" t="s">
        <v>3</v>
      </c>
      <c r="C90" s="10">
        <v>1050</v>
      </c>
      <c r="D90" s="10">
        <f t="shared" si="1"/>
        <v>2870</v>
      </c>
    </row>
    <row r="91" spans="1:4" x14ac:dyDescent="0.25">
      <c r="A91" s="8">
        <v>46237</v>
      </c>
      <c r="B91" s="9" t="s">
        <v>3</v>
      </c>
      <c r="C91" s="10">
        <v>1620</v>
      </c>
      <c r="D91" s="10">
        <f t="shared" si="1"/>
        <v>4490</v>
      </c>
    </row>
    <row r="92" spans="1:4" x14ac:dyDescent="0.25">
      <c r="A92" s="8">
        <v>46237</v>
      </c>
      <c r="B92" s="9" t="s">
        <v>178</v>
      </c>
      <c r="C92" s="10">
        <v>-2000</v>
      </c>
      <c r="D92" s="10">
        <f t="shared" si="1"/>
        <v>2490</v>
      </c>
    </row>
    <row r="93" spans="1:4" x14ac:dyDescent="0.25">
      <c r="A93" s="8">
        <v>46247</v>
      </c>
      <c r="B93" s="9" t="s">
        <v>3</v>
      </c>
      <c r="C93" s="10">
        <v>350</v>
      </c>
      <c r="D93" s="10">
        <f t="shared" si="1"/>
        <v>2840</v>
      </c>
    </row>
    <row r="94" spans="1:4" x14ac:dyDescent="0.25">
      <c r="A94" s="8">
        <v>46247</v>
      </c>
      <c r="B94" s="9" t="s">
        <v>178</v>
      </c>
      <c r="C94" s="10">
        <v>-1500</v>
      </c>
      <c r="D94" s="10">
        <f t="shared" si="1"/>
        <v>1340</v>
      </c>
    </row>
    <row r="95" spans="1:4" x14ac:dyDescent="0.25">
      <c r="A95" s="8">
        <v>46251</v>
      </c>
      <c r="B95" s="9" t="s">
        <v>3</v>
      </c>
      <c r="C95" s="10">
        <v>700</v>
      </c>
      <c r="D95" s="10">
        <f t="shared" si="1"/>
        <v>2040</v>
      </c>
    </row>
    <row r="96" spans="1:4" x14ac:dyDescent="0.25">
      <c r="A96" s="8">
        <v>46251</v>
      </c>
      <c r="B96" s="9" t="s">
        <v>178</v>
      </c>
      <c r="C96" s="10">
        <v>-2040</v>
      </c>
      <c r="D96" s="10">
        <f t="shared" si="1"/>
        <v>0</v>
      </c>
    </row>
    <row r="97" spans="1:4" x14ac:dyDescent="0.25">
      <c r="A97" s="8">
        <v>46254</v>
      </c>
      <c r="B97" s="9" t="s">
        <v>3</v>
      </c>
      <c r="C97" s="10">
        <v>1250</v>
      </c>
      <c r="D97" s="10">
        <f t="shared" si="1"/>
        <v>1250</v>
      </c>
    </row>
    <row r="98" spans="1:4" x14ac:dyDescent="0.25">
      <c r="A98" s="8">
        <v>46254</v>
      </c>
      <c r="B98" s="9" t="s">
        <v>178</v>
      </c>
      <c r="C98" s="10">
        <v>-1250</v>
      </c>
      <c r="D98" s="10">
        <f t="shared" si="1"/>
        <v>0</v>
      </c>
    </row>
    <row r="99" spans="1:4" x14ac:dyDescent="0.25">
      <c r="A99" s="8">
        <v>46258</v>
      </c>
      <c r="B99" s="9" t="s">
        <v>3</v>
      </c>
      <c r="C99" s="10">
        <v>3960</v>
      </c>
      <c r="D99" s="10">
        <f t="shared" si="1"/>
        <v>3960</v>
      </c>
    </row>
    <row r="100" spans="1:4" x14ac:dyDescent="0.25">
      <c r="A100" s="8">
        <v>46261</v>
      </c>
      <c r="B100" s="9" t="s">
        <v>3</v>
      </c>
      <c r="C100" s="10">
        <v>1750</v>
      </c>
      <c r="D100" s="10">
        <f t="shared" si="1"/>
        <v>5710</v>
      </c>
    </row>
    <row r="101" spans="1:4" x14ac:dyDescent="0.25">
      <c r="A101" s="8">
        <v>46261</v>
      </c>
      <c r="B101" s="9" t="s">
        <v>178</v>
      </c>
      <c r="C101" s="10">
        <v>-3000</v>
      </c>
      <c r="D101" s="10">
        <f t="shared" si="1"/>
        <v>2710</v>
      </c>
    </row>
    <row r="102" spans="1:4" x14ac:dyDescent="0.25">
      <c r="A102" s="8">
        <v>46265</v>
      </c>
      <c r="B102" s="9" t="s">
        <v>3</v>
      </c>
      <c r="C102" s="10">
        <v>660</v>
      </c>
      <c r="D102" s="10">
        <f t="shared" si="1"/>
        <v>3370</v>
      </c>
    </row>
    <row r="103" spans="1:4" x14ac:dyDescent="0.25">
      <c r="A103" s="8">
        <v>46237</v>
      </c>
      <c r="B103" s="9" t="s">
        <v>3</v>
      </c>
      <c r="C103" s="10">
        <v>660</v>
      </c>
      <c r="D103" s="10">
        <f t="shared" si="1"/>
        <v>4030</v>
      </c>
    </row>
    <row r="104" spans="1:4" x14ac:dyDescent="0.25">
      <c r="A104" s="8">
        <v>46237</v>
      </c>
      <c r="B104" s="9" t="s">
        <v>178</v>
      </c>
      <c r="C104" s="10">
        <v>-3000</v>
      </c>
      <c r="D104" s="10">
        <f t="shared" si="1"/>
        <v>1030</v>
      </c>
    </row>
    <row r="105" spans="1:4" x14ac:dyDescent="0.25">
      <c r="A105" s="8">
        <v>46272</v>
      </c>
      <c r="B105" s="9" t="s">
        <v>3</v>
      </c>
      <c r="C105" s="10">
        <v>660</v>
      </c>
      <c r="D105" s="10">
        <f t="shared" si="1"/>
        <v>1690</v>
      </c>
    </row>
    <row r="106" spans="1:4" x14ac:dyDescent="0.25">
      <c r="A106" s="8">
        <v>46272</v>
      </c>
      <c r="B106" s="9" t="s">
        <v>579</v>
      </c>
      <c r="C106" s="10">
        <v>-900</v>
      </c>
      <c r="D106" s="10">
        <f t="shared" si="1"/>
        <v>790</v>
      </c>
    </row>
    <row r="107" spans="1:4" x14ac:dyDescent="0.25">
      <c r="A107" s="9"/>
      <c r="B107" s="9" t="s">
        <v>580</v>
      </c>
      <c r="C107" s="10"/>
      <c r="D107" s="10">
        <f t="shared" si="1"/>
        <v>790</v>
      </c>
    </row>
    <row r="108" spans="1:4" x14ac:dyDescent="0.25">
      <c r="A108" s="8">
        <v>46275</v>
      </c>
      <c r="B108" s="9" t="s">
        <v>3</v>
      </c>
      <c r="C108" s="10">
        <v>660</v>
      </c>
      <c r="D108" s="10">
        <f t="shared" si="1"/>
        <v>1450</v>
      </c>
    </row>
    <row r="109" spans="1:4" x14ac:dyDescent="0.25">
      <c r="A109" s="8">
        <v>46277</v>
      </c>
      <c r="B109" s="9" t="s">
        <v>3</v>
      </c>
      <c r="C109" s="10">
        <v>990</v>
      </c>
      <c r="D109" s="10">
        <f t="shared" si="1"/>
        <v>2440</v>
      </c>
    </row>
    <row r="110" spans="1:4" x14ac:dyDescent="0.25">
      <c r="A110" s="8">
        <v>46279</v>
      </c>
      <c r="B110" s="9" t="s">
        <v>178</v>
      </c>
      <c r="C110" s="10">
        <v>-990</v>
      </c>
      <c r="D110" s="10">
        <f t="shared" si="1"/>
        <v>1450</v>
      </c>
    </row>
    <row r="111" spans="1:4" x14ac:dyDescent="0.25">
      <c r="A111" s="8">
        <v>46286</v>
      </c>
      <c r="B111" s="9" t="s">
        <v>3</v>
      </c>
      <c r="C111" s="10">
        <v>220</v>
      </c>
      <c r="D111" s="10">
        <f t="shared" si="1"/>
        <v>1670</v>
      </c>
    </row>
    <row r="112" spans="1:4" x14ac:dyDescent="0.25">
      <c r="A112" s="8">
        <v>46293</v>
      </c>
      <c r="B112" s="9" t="s">
        <v>3</v>
      </c>
      <c r="C112" s="10">
        <v>1400</v>
      </c>
      <c r="D112" s="10">
        <f t="shared" si="1"/>
        <v>3070</v>
      </c>
    </row>
    <row r="113" spans="1:4" x14ac:dyDescent="0.25">
      <c r="A113" s="8">
        <v>46293</v>
      </c>
      <c r="B113" s="9" t="s">
        <v>178</v>
      </c>
      <c r="C113" s="10">
        <v>-1670</v>
      </c>
      <c r="D113" s="10">
        <f t="shared" ref="D113:D118" si="2">D112+C113</f>
        <v>1400</v>
      </c>
    </row>
    <row r="114" spans="1:4" x14ac:dyDescent="0.25">
      <c r="A114" s="8">
        <v>46300</v>
      </c>
      <c r="B114" s="9" t="s">
        <v>178</v>
      </c>
      <c r="C114" s="10">
        <v>-1400</v>
      </c>
      <c r="D114" s="10">
        <f t="shared" si="2"/>
        <v>0</v>
      </c>
    </row>
    <row r="115" spans="1:4" x14ac:dyDescent="0.25">
      <c r="A115" s="9"/>
      <c r="B115" s="9"/>
      <c r="C115" s="10"/>
      <c r="D115" s="10">
        <f t="shared" si="2"/>
        <v>0</v>
      </c>
    </row>
    <row r="116" spans="1:4" x14ac:dyDescent="0.25">
      <c r="A116" s="9"/>
      <c r="B116" s="9"/>
      <c r="C116" s="10"/>
      <c r="D116" s="10">
        <f t="shared" si="2"/>
        <v>0</v>
      </c>
    </row>
    <row r="117" spans="1:4" x14ac:dyDescent="0.25">
      <c r="A117" s="9"/>
      <c r="B117" s="9"/>
      <c r="C117" s="10"/>
      <c r="D117" s="10">
        <f t="shared" si="2"/>
        <v>0</v>
      </c>
    </row>
    <row r="118" spans="1:4" x14ac:dyDescent="0.25">
      <c r="A118" s="9"/>
      <c r="B118" s="9"/>
      <c r="C118" s="10"/>
      <c r="D118" s="10">
        <f t="shared" si="2"/>
        <v>0</v>
      </c>
    </row>
    <row r="119" spans="1:4" x14ac:dyDescent="0.25">
      <c r="A119" s="9"/>
      <c r="B119" s="9"/>
      <c r="C119" s="10"/>
      <c r="D119" s="10"/>
    </row>
    <row r="120" spans="1:4" x14ac:dyDescent="0.25">
      <c r="A120" s="9"/>
      <c r="B120" s="9"/>
      <c r="C120" s="10"/>
      <c r="D120" s="10"/>
    </row>
    <row r="121" spans="1:4" x14ac:dyDescent="0.25">
      <c r="A121" s="9"/>
      <c r="B121" s="9"/>
      <c r="C121" s="10"/>
      <c r="D121" s="10"/>
    </row>
    <row r="122" spans="1:4" x14ac:dyDescent="0.25">
      <c r="A122" s="9"/>
      <c r="B122" s="9"/>
      <c r="C122" s="10"/>
      <c r="D122" s="10"/>
    </row>
    <row r="123" spans="1:4" x14ac:dyDescent="0.25">
      <c r="A123" s="9"/>
      <c r="B123" s="9"/>
      <c r="C123" s="10"/>
      <c r="D123" s="10"/>
    </row>
    <row r="124" spans="1:4" x14ac:dyDescent="0.25">
      <c r="A124" s="9"/>
      <c r="B124" s="9"/>
      <c r="C124" s="10"/>
      <c r="D124" s="10"/>
    </row>
    <row r="125" spans="1:4" x14ac:dyDescent="0.25">
      <c r="A125" s="9"/>
      <c r="B125" s="9"/>
      <c r="C125" s="10"/>
      <c r="D125" s="10"/>
    </row>
    <row r="126" spans="1:4" x14ac:dyDescent="0.25">
      <c r="A126" s="9"/>
      <c r="B126" s="9"/>
      <c r="C126" s="10"/>
      <c r="D126" s="10"/>
    </row>
    <row r="127" spans="1:4" x14ac:dyDescent="0.25">
      <c r="A127" s="9"/>
      <c r="B127" s="9"/>
      <c r="C127" s="10"/>
      <c r="D127" s="10"/>
    </row>
    <row r="128" spans="1:4" x14ac:dyDescent="0.25">
      <c r="A128" s="9"/>
      <c r="B128" s="9"/>
      <c r="C128" s="10"/>
      <c r="D128" s="10"/>
    </row>
    <row r="129" spans="1:4" x14ac:dyDescent="0.25">
      <c r="A129" s="9"/>
      <c r="B129" s="9"/>
      <c r="C129" s="10"/>
      <c r="D129" s="10"/>
    </row>
    <row r="130" spans="1:4" x14ac:dyDescent="0.25">
      <c r="A130" s="9"/>
      <c r="B130" s="9"/>
      <c r="C130" s="10"/>
      <c r="D130" s="10"/>
    </row>
    <row r="131" spans="1:4" x14ac:dyDescent="0.25">
      <c r="A131" s="9"/>
      <c r="B131" s="9"/>
      <c r="C131" s="10"/>
      <c r="D131" s="10"/>
    </row>
    <row r="132" spans="1:4" x14ac:dyDescent="0.25">
      <c r="A132" s="9"/>
      <c r="B132" s="9"/>
      <c r="C132" s="10"/>
      <c r="D132" s="10"/>
    </row>
    <row r="133" spans="1:4" x14ac:dyDescent="0.25">
      <c r="A133" s="9"/>
      <c r="B133" s="9"/>
      <c r="C133" s="10"/>
      <c r="D133" s="10"/>
    </row>
    <row r="134" spans="1:4" x14ac:dyDescent="0.25">
      <c r="A134" s="9"/>
      <c r="B134" s="9"/>
      <c r="C134" s="10"/>
      <c r="D134" s="10"/>
    </row>
    <row r="135" spans="1:4" x14ac:dyDescent="0.25">
      <c r="A135" s="9"/>
      <c r="B135" s="9"/>
      <c r="C135" s="10"/>
      <c r="D135" s="10"/>
    </row>
    <row r="136" spans="1:4" x14ac:dyDescent="0.25">
      <c r="A136" s="9"/>
      <c r="B136" s="9"/>
      <c r="C136" s="10"/>
      <c r="D136" s="10"/>
    </row>
    <row r="137" spans="1:4" x14ac:dyDescent="0.25">
      <c r="A137" s="9"/>
      <c r="B137" s="9"/>
      <c r="C137" s="10"/>
      <c r="D137" s="10"/>
    </row>
    <row r="138" spans="1:4" x14ac:dyDescent="0.25">
      <c r="A138" s="9"/>
      <c r="B138" s="9"/>
      <c r="C138" s="10"/>
      <c r="D138" s="10"/>
    </row>
    <row r="139" spans="1:4" x14ac:dyDescent="0.25">
      <c r="A139" s="9"/>
      <c r="B139" s="9"/>
      <c r="C139" s="10"/>
      <c r="D139" s="10"/>
    </row>
    <row r="140" spans="1:4" x14ac:dyDescent="0.25">
      <c r="A140" s="9"/>
      <c r="B140" s="9"/>
      <c r="C140" s="10"/>
      <c r="D140" s="10"/>
    </row>
    <row r="141" spans="1:4" x14ac:dyDescent="0.25">
      <c r="A141" s="9"/>
      <c r="B141" s="9"/>
      <c r="C141" s="10"/>
      <c r="D141" s="10"/>
    </row>
    <row r="142" spans="1:4" x14ac:dyDescent="0.25">
      <c r="A142" s="9"/>
      <c r="B142" s="9"/>
      <c r="C142" s="10"/>
      <c r="D142" s="10"/>
    </row>
    <row r="143" spans="1:4" x14ac:dyDescent="0.25">
      <c r="A143" s="9"/>
      <c r="B143" s="9"/>
      <c r="C143" s="10"/>
      <c r="D143" s="10"/>
    </row>
    <row r="144" spans="1:4" x14ac:dyDescent="0.25">
      <c r="A144" s="9"/>
      <c r="B144" s="9"/>
      <c r="C144" s="10"/>
      <c r="D144" s="10"/>
    </row>
    <row r="145" spans="1:4" x14ac:dyDescent="0.25">
      <c r="A145" s="9"/>
      <c r="B145" s="9"/>
      <c r="C145" s="10"/>
      <c r="D145" s="10"/>
    </row>
    <row r="146" spans="1:4" x14ac:dyDescent="0.25">
      <c r="A146" s="9"/>
      <c r="B146" s="9"/>
      <c r="C146" s="10"/>
      <c r="D146" s="10"/>
    </row>
    <row r="147" spans="1:4" x14ac:dyDescent="0.25">
      <c r="A147" s="9"/>
      <c r="B147" s="9"/>
      <c r="C147" s="10"/>
      <c r="D147" s="10"/>
    </row>
    <row r="148" spans="1:4" x14ac:dyDescent="0.25">
      <c r="A148" s="9"/>
      <c r="B148" s="9"/>
      <c r="C148" s="10"/>
      <c r="D148" s="10"/>
    </row>
    <row r="149" spans="1:4" x14ac:dyDescent="0.25">
      <c r="A149" s="9"/>
      <c r="B149" s="9"/>
      <c r="C149" s="10"/>
      <c r="D149" s="10"/>
    </row>
    <row r="150" spans="1:4" x14ac:dyDescent="0.25">
      <c r="A150" s="9"/>
      <c r="B150" s="9"/>
      <c r="C150" s="10"/>
      <c r="D150" s="10"/>
    </row>
    <row r="151" spans="1:4" x14ac:dyDescent="0.25">
      <c r="A151" s="9"/>
      <c r="B151" s="9"/>
      <c r="C151" s="10"/>
      <c r="D151" s="10"/>
    </row>
    <row r="152" spans="1:4" x14ac:dyDescent="0.25">
      <c r="A152" s="9"/>
      <c r="B152" s="9"/>
      <c r="C152" s="10"/>
      <c r="D152" s="10"/>
    </row>
    <row r="153" spans="1:4" x14ac:dyDescent="0.25">
      <c r="A153" s="9"/>
      <c r="B153" s="9"/>
      <c r="C153" s="10"/>
      <c r="D153" s="10"/>
    </row>
    <row r="154" spans="1:4" x14ac:dyDescent="0.25">
      <c r="A154" s="9"/>
      <c r="B154" s="9"/>
      <c r="C154" s="10"/>
      <c r="D154" s="10"/>
    </row>
    <row r="155" spans="1:4" x14ac:dyDescent="0.25">
      <c r="A155" s="9"/>
      <c r="B155" s="9"/>
      <c r="C155" s="10"/>
      <c r="D155" s="10"/>
    </row>
    <row r="156" spans="1:4" x14ac:dyDescent="0.25">
      <c r="A156" s="9"/>
      <c r="B156" s="9"/>
      <c r="C156" s="10"/>
      <c r="D156" s="10"/>
    </row>
    <row r="157" spans="1:4" x14ac:dyDescent="0.25">
      <c r="A157" s="9"/>
      <c r="B157" s="9"/>
      <c r="C157" s="10"/>
      <c r="D157" s="10"/>
    </row>
    <row r="158" spans="1:4" x14ac:dyDescent="0.25">
      <c r="A158" s="9"/>
      <c r="B158" s="9"/>
      <c r="C158" s="10"/>
      <c r="D158" s="10"/>
    </row>
    <row r="159" spans="1:4" x14ac:dyDescent="0.25">
      <c r="A159" s="9"/>
      <c r="B159" s="9"/>
      <c r="C159" s="10"/>
      <c r="D159" s="10"/>
    </row>
    <row r="160" spans="1:4" x14ac:dyDescent="0.25">
      <c r="A160" s="9"/>
      <c r="B160" s="9"/>
      <c r="C160" s="10"/>
      <c r="D160" s="10"/>
    </row>
    <row r="161" spans="1:4" x14ac:dyDescent="0.25">
      <c r="A161" s="9"/>
      <c r="B161" s="9"/>
      <c r="C161" s="10"/>
      <c r="D161" s="10"/>
    </row>
    <row r="162" spans="1:4" x14ac:dyDescent="0.25">
      <c r="A162" s="9"/>
      <c r="B162" s="9"/>
      <c r="C162" s="10"/>
      <c r="D162" s="10"/>
    </row>
    <row r="163" spans="1:4" x14ac:dyDescent="0.25">
      <c r="A163" s="9"/>
      <c r="B163" s="9"/>
      <c r="C163" s="10"/>
      <c r="D163" s="10"/>
    </row>
    <row r="164" spans="1:4" x14ac:dyDescent="0.25">
      <c r="A164" s="9"/>
      <c r="B164" s="9"/>
      <c r="C164" s="10"/>
      <c r="D164" s="10"/>
    </row>
    <row r="165" spans="1:4" x14ac:dyDescent="0.25">
      <c r="A165" s="9"/>
      <c r="B165" s="9"/>
      <c r="C165" s="10"/>
      <c r="D165" s="10"/>
    </row>
    <row r="166" spans="1:4" x14ac:dyDescent="0.25">
      <c r="A166" s="9"/>
      <c r="B166" s="9"/>
      <c r="C166" s="10"/>
      <c r="D166" s="10"/>
    </row>
    <row r="167" spans="1:4" x14ac:dyDescent="0.25">
      <c r="A167" s="9"/>
      <c r="B167" s="9"/>
      <c r="C167" s="10"/>
      <c r="D167" s="10"/>
    </row>
    <row r="168" spans="1:4" x14ac:dyDescent="0.25">
      <c r="A168" s="9"/>
      <c r="B168" s="9"/>
      <c r="C168" s="10"/>
      <c r="D168" s="10"/>
    </row>
    <row r="169" spans="1:4" x14ac:dyDescent="0.25">
      <c r="A169" s="9"/>
      <c r="B169" s="9"/>
      <c r="C169" s="10"/>
      <c r="D169" s="10"/>
    </row>
    <row r="170" spans="1:4" x14ac:dyDescent="0.25">
      <c r="A170" s="9"/>
      <c r="B170" s="9"/>
      <c r="C170" s="10"/>
      <c r="D170" s="10"/>
    </row>
    <row r="171" spans="1:4" x14ac:dyDescent="0.25">
      <c r="A171" s="9"/>
      <c r="B171" s="9"/>
      <c r="C171" s="10"/>
      <c r="D171" s="10"/>
    </row>
    <row r="172" spans="1:4" x14ac:dyDescent="0.25">
      <c r="A172" s="9"/>
      <c r="B172" s="9"/>
      <c r="C172" s="10"/>
      <c r="D172" s="10"/>
    </row>
    <row r="173" spans="1:4" x14ac:dyDescent="0.25">
      <c r="A173" s="9"/>
      <c r="B173" s="9"/>
      <c r="C173" s="10"/>
      <c r="D173" s="10"/>
    </row>
    <row r="174" spans="1:4" x14ac:dyDescent="0.25">
      <c r="A174" s="9"/>
      <c r="B174" s="9"/>
      <c r="C174" s="10"/>
      <c r="D174" s="10"/>
    </row>
    <row r="175" spans="1:4" x14ac:dyDescent="0.25">
      <c r="A175" s="9"/>
      <c r="B175" s="9"/>
      <c r="C175" s="10"/>
      <c r="D175" s="10"/>
    </row>
    <row r="176" spans="1:4" x14ac:dyDescent="0.25">
      <c r="A176" s="9"/>
      <c r="B176" s="9"/>
      <c r="C176" s="10"/>
      <c r="D176" s="10"/>
    </row>
    <row r="177" spans="1:4" x14ac:dyDescent="0.25">
      <c r="A177" s="9"/>
      <c r="B177" s="9"/>
      <c r="C177" s="10"/>
      <c r="D177" s="10"/>
    </row>
    <row r="178" spans="1:4" x14ac:dyDescent="0.25">
      <c r="A178" s="9"/>
      <c r="B178" s="9"/>
      <c r="C178" s="10"/>
      <c r="D178" s="10"/>
    </row>
    <row r="179" spans="1:4" x14ac:dyDescent="0.25">
      <c r="A179" s="9"/>
      <c r="B179" s="9"/>
      <c r="C179" s="10"/>
      <c r="D179" s="10"/>
    </row>
    <row r="180" spans="1:4" x14ac:dyDescent="0.25">
      <c r="A180" s="9"/>
      <c r="B180" s="9"/>
      <c r="C180" s="10"/>
      <c r="D180" s="10"/>
    </row>
    <row r="181" spans="1:4" x14ac:dyDescent="0.25">
      <c r="A181" s="9"/>
      <c r="B181" s="9"/>
      <c r="C181" s="10"/>
      <c r="D181" s="10"/>
    </row>
    <row r="182" spans="1:4" x14ac:dyDescent="0.25">
      <c r="A182" s="9"/>
      <c r="B182" s="9"/>
      <c r="C182" s="10"/>
      <c r="D182" s="10"/>
    </row>
    <row r="183" spans="1:4" x14ac:dyDescent="0.25">
      <c r="A183" s="9"/>
      <c r="B183" s="9"/>
      <c r="C183" s="10"/>
      <c r="D183" s="10"/>
    </row>
    <row r="184" spans="1:4" x14ac:dyDescent="0.25">
      <c r="A184" s="9"/>
      <c r="B184" s="9"/>
      <c r="C184" s="10"/>
      <c r="D184" s="10"/>
    </row>
    <row r="185" spans="1:4" x14ac:dyDescent="0.25">
      <c r="A185" s="9"/>
      <c r="B185" s="9"/>
      <c r="C185" s="10"/>
      <c r="D185" s="10">
        <f>SUM(D10:D184)</f>
        <v>157120</v>
      </c>
    </row>
  </sheetData>
  <mergeCells count="2">
    <mergeCell ref="A4:D4"/>
    <mergeCell ref="B6:D6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73905-93CD-49EE-9407-D902C4809298}">
  <dimension ref="A4:G206"/>
  <sheetViews>
    <sheetView topLeftCell="A171" workbookViewId="0">
      <selection activeCell="C196" sqref="C196"/>
    </sheetView>
  </sheetViews>
  <sheetFormatPr baseColWidth="10" defaultRowHeight="15" x14ac:dyDescent="0.25"/>
  <cols>
    <col min="1" max="1" width="28.28515625" customWidth="1"/>
    <col min="2" max="2" width="27.140625" customWidth="1"/>
    <col min="3" max="3" width="23.42578125" style="6" customWidth="1"/>
    <col min="4" max="4" width="21.85546875" style="6" customWidth="1"/>
  </cols>
  <sheetData>
    <row r="4" spans="1:7" ht="18" x14ac:dyDescent="0.25">
      <c r="A4" s="98" t="s">
        <v>0</v>
      </c>
      <c r="B4" s="98"/>
      <c r="C4" s="98"/>
      <c r="D4" s="98"/>
      <c r="E4" s="1"/>
      <c r="F4" s="1"/>
      <c r="G4" s="1"/>
    </row>
    <row r="6" spans="1:7" x14ac:dyDescent="0.25">
      <c r="A6" s="2" t="s">
        <v>1</v>
      </c>
      <c r="B6" s="96" t="s">
        <v>65</v>
      </c>
      <c r="C6" s="97"/>
      <c r="D6" s="97"/>
    </row>
    <row r="7" spans="1:7" x14ac:dyDescent="0.25">
      <c r="A7" s="3" t="s">
        <v>11</v>
      </c>
      <c r="B7" s="4" t="s">
        <v>18</v>
      </c>
      <c r="C7" s="4"/>
      <c r="D7" s="4"/>
    </row>
    <row r="8" spans="1:7" x14ac:dyDescent="0.25">
      <c r="B8" s="5"/>
    </row>
    <row r="9" spans="1:7" x14ac:dyDescent="0.25">
      <c r="A9" s="2" t="s">
        <v>2</v>
      </c>
      <c r="B9" s="2" t="s">
        <v>3</v>
      </c>
      <c r="C9" s="7" t="s">
        <v>4</v>
      </c>
      <c r="D9" s="7" t="s">
        <v>5</v>
      </c>
    </row>
    <row r="10" spans="1:7" x14ac:dyDescent="0.25">
      <c r="A10" s="8">
        <v>45855</v>
      </c>
      <c r="B10" s="9" t="s">
        <v>3</v>
      </c>
      <c r="C10" s="10">
        <v>3540</v>
      </c>
      <c r="D10" s="10">
        <f>C10</f>
        <v>3540</v>
      </c>
    </row>
    <row r="11" spans="1:7" x14ac:dyDescent="0.25">
      <c r="A11" s="8">
        <v>45856</v>
      </c>
      <c r="B11" s="9" t="s">
        <v>55</v>
      </c>
      <c r="C11" s="10">
        <v>-3540</v>
      </c>
      <c r="D11" s="10">
        <f>C11</f>
        <v>-3540</v>
      </c>
    </row>
    <row r="12" spans="1:7" x14ac:dyDescent="0.25">
      <c r="A12" s="8">
        <v>45860</v>
      </c>
      <c r="B12" s="9" t="s">
        <v>7</v>
      </c>
      <c r="C12" s="10">
        <v>-2170</v>
      </c>
      <c r="D12" s="10">
        <f t="shared" ref="D12:D30" si="0">C12</f>
        <v>-2170</v>
      </c>
    </row>
    <row r="13" spans="1:7" x14ac:dyDescent="0.25">
      <c r="A13" s="8">
        <v>45862</v>
      </c>
      <c r="B13" s="9" t="s">
        <v>55</v>
      </c>
      <c r="C13" s="10">
        <v>-2370</v>
      </c>
      <c r="D13" s="10">
        <f t="shared" si="0"/>
        <v>-2370</v>
      </c>
    </row>
    <row r="14" spans="1:7" x14ac:dyDescent="0.25">
      <c r="A14" s="8">
        <v>45862</v>
      </c>
      <c r="B14" s="9" t="s">
        <v>3</v>
      </c>
      <c r="C14" s="10">
        <v>2370</v>
      </c>
      <c r="D14" s="10">
        <f t="shared" si="0"/>
        <v>2370</v>
      </c>
    </row>
    <row r="15" spans="1:7" x14ac:dyDescent="0.25">
      <c r="A15" s="8">
        <v>45866</v>
      </c>
      <c r="B15" s="9" t="s">
        <v>3</v>
      </c>
      <c r="C15" s="10">
        <v>4750</v>
      </c>
      <c r="D15" s="10">
        <f t="shared" si="0"/>
        <v>4750</v>
      </c>
    </row>
    <row r="16" spans="1:7" x14ac:dyDescent="0.25">
      <c r="A16" s="8">
        <v>45866</v>
      </c>
      <c r="B16" s="9" t="s">
        <v>7</v>
      </c>
      <c r="C16" s="10">
        <v>-4750</v>
      </c>
      <c r="D16" s="10">
        <f t="shared" si="0"/>
        <v>-4750</v>
      </c>
    </row>
    <row r="17" spans="1:4" x14ac:dyDescent="0.25">
      <c r="A17" s="8">
        <v>45869</v>
      </c>
      <c r="B17" s="9" t="s">
        <v>3</v>
      </c>
      <c r="C17" s="10">
        <v>4190</v>
      </c>
      <c r="D17" s="10">
        <f t="shared" si="0"/>
        <v>4190</v>
      </c>
    </row>
    <row r="18" spans="1:4" x14ac:dyDescent="0.25">
      <c r="A18" s="8">
        <v>45870</v>
      </c>
      <c r="B18" s="9" t="s">
        <v>7</v>
      </c>
      <c r="C18" s="10">
        <v>-3190</v>
      </c>
      <c r="D18" s="10">
        <f t="shared" si="0"/>
        <v>-3190</v>
      </c>
    </row>
    <row r="19" spans="1:4" x14ac:dyDescent="0.25">
      <c r="A19" s="8">
        <v>45873</v>
      </c>
      <c r="B19" s="9" t="s">
        <v>3</v>
      </c>
      <c r="C19" s="10">
        <v>3220</v>
      </c>
      <c r="D19" s="10">
        <f t="shared" si="0"/>
        <v>3220</v>
      </c>
    </row>
    <row r="20" spans="1:4" x14ac:dyDescent="0.25">
      <c r="A20" s="8">
        <v>45873</v>
      </c>
      <c r="B20" s="9" t="s">
        <v>64</v>
      </c>
      <c r="C20" s="10">
        <v>-3220</v>
      </c>
      <c r="D20" s="10">
        <f t="shared" si="0"/>
        <v>-3220</v>
      </c>
    </row>
    <row r="21" spans="1:4" x14ac:dyDescent="0.25">
      <c r="A21" s="8">
        <v>45877</v>
      </c>
      <c r="B21" s="9" t="s">
        <v>64</v>
      </c>
      <c r="C21" s="10">
        <v>-2030</v>
      </c>
      <c r="D21" s="10">
        <f t="shared" si="0"/>
        <v>-2030</v>
      </c>
    </row>
    <row r="22" spans="1:4" x14ac:dyDescent="0.25">
      <c r="A22" s="8">
        <v>45877</v>
      </c>
      <c r="B22" s="9" t="s">
        <v>3</v>
      </c>
      <c r="C22" s="10">
        <v>2630</v>
      </c>
      <c r="D22" s="10">
        <f t="shared" si="0"/>
        <v>2630</v>
      </c>
    </row>
    <row r="23" spans="1:4" x14ac:dyDescent="0.25">
      <c r="A23" s="8">
        <v>45880</v>
      </c>
      <c r="B23" s="9" t="s">
        <v>3</v>
      </c>
      <c r="C23" s="10">
        <v>1830</v>
      </c>
      <c r="D23" s="10">
        <f t="shared" si="0"/>
        <v>1830</v>
      </c>
    </row>
    <row r="24" spans="1:4" x14ac:dyDescent="0.25">
      <c r="A24" s="8">
        <v>45880</v>
      </c>
      <c r="B24" s="9" t="s">
        <v>64</v>
      </c>
      <c r="C24" s="10">
        <v>-1830</v>
      </c>
      <c r="D24" s="10">
        <f t="shared" si="0"/>
        <v>-1830</v>
      </c>
    </row>
    <row r="25" spans="1:4" x14ac:dyDescent="0.25">
      <c r="A25" s="8">
        <v>45887</v>
      </c>
      <c r="B25" s="9" t="s">
        <v>3</v>
      </c>
      <c r="C25" s="10">
        <v>2650</v>
      </c>
      <c r="D25" s="10">
        <f t="shared" si="0"/>
        <v>2650</v>
      </c>
    </row>
    <row r="26" spans="1:4" x14ac:dyDescent="0.25">
      <c r="A26" s="8">
        <v>45888</v>
      </c>
      <c r="B26" s="9" t="s">
        <v>64</v>
      </c>
      <c r="C26" s="10">
        <v>-2650</v>
      </c>
      <c r="D26" s="10">
        <f t="shared" si="0"/>
        <v>-2650</v>
      </c>
    </row>
    <row r="27" spans="1:4" x14ac:dyDescent="0.25">
      <c r="A27" s="8">
        <v>45890</v>
      </c>
      <c r="B27" s="9" t="s">
        <v>3</v>
      </c>
      <c r="C27" s="10">
        <v>1430</v>
      </c>
      <c r="D27" s="10">
        <f t="shared" si="0"/>
        <v>1430</v>
      </c>
    </row>
    <row r="28" spans="1:4" x14ac:dyDescent="0.25">
      <c r="A28" s="8">
        <v>45891</v>
      </c>
      <c r="B28" s="9" t="s">
        <v>64</v>
      </c>
      <c r="C28" s="10">
        <v>-1430</v>
      </c>
      <c r="D28" s="10">
        <f t="shared" si="0"/>
        <v>-1430</v>
      </c>
    </row>
    <row r="29" spans="1:4" x14ac:dyDescent="0.25">
      <c r="A29" s="8">
        <v>45894</v>
      </c>
      <c r="B29" s="9" t="s">
        <v>3</v>
      </c>
      <c r="C29" s="10">
        <v>2638</v>
      </c>
      <c r="D29" s="10">
        <f t="shared" si="0"/>
        <v>2638</v>
      </c>
    </row>
    <row r="30" spans="1:4" x14ac:dyDescent="0.25">
      <c r="A30" s="8">
        <v>45895</v>
      </c>
      <c r="B30" s="9" t="s">
        <v>44</v>
      </c>
      <c r="C30" s="10">
        <v>-2638</v>
      </c>
      <c r="D30" s="10">
        <f t="shared" si="0"/>
        <v>-2638</v>
      </c>
    </row>
    <row r="31" spans="1:4" x14ac:dyDescent="0.25">
      <c r="A31" s="8">
        <v>45897</v>
      </c>
      <c r="B31" s="9" t="s">
        <v>3</v>
      </c>
      <c r="C31" s="10">
        <v>4070</v>
      </c>
      <c r="D31" s="10">
        <f>C31</f>
        <v>4070</v>
      </c>
    </row>
    <row r="32" spans="1:4" x14ac:dyDescent="0.25">
      <c r="A32" s="8">
        <v>45900</v>
      </c>
      <c r="B32" s="9" t="s">
        <v>64</v>
      </c>
      <c r="C32" s="10">
        <v>-4070</v>
      </c>
      <c r="D32" s="10">
        <f t="shared" ref="D32:D34" si="1">C32</f>
        <v>-4070</v>
      </c>
    </row>
    <row r="33" spans="1:4" x14ac:dyDescent="0.25">
      <c r="A33" s="8">
        <v>45901</v>
      </c>
      <c r="B33" s="9" t="s">
        <v>3</v>
      </c>
      <c r="C33" s="10">
        <v>6250</v>
      </c>
      <c r="D33" s="10">
        <f t="shared" si="1"/>
        <v>6250</v>
      </c>
    </row>
    <row r="34" spans="1:4" x14ac:dyDescent="0.25">
      <c r="A34" s="8">
        <v>45901</v>
      </c>
      <c r="B34" s="9" t="s">
        <v>44</v>
      </c>
      <c r="C34" s="10">
        <v>-6250</v>
      </c>
      <c r="D34" s="10">
        <f t="shared" si="1"/>
        <v>-6250</v>
      </c>
    </row>
    <row r="35" spans="1:4" x14ac:dyDescent="0.25">
      <c r="A35" s="8">
        <v>45905</v>
      </c>
      <c r="B35" s="9" t="s">
        <v>3</v>
      </c>
      <c r="C35" s="10">
        <v>730</v>
      </c>
      <c r="D35" s="10">
        <f t="shared" ref="D35:D38" si="2">C35</f>
        <v>730</v>
      </c>
    </row>
    <row r="36" spans="1:4" x14ac:dyDescent="0.25">
      <c r="A36" s="8">
        <v>45905</v>
      </c>
      <c r="B36" s="9" t="s">
        <v>75</v>
      </c>
      <c r="C36" s="10">
        <v>-730</v>
      </c>
      <c r="D36" s="10">
        <f t="shared" si="2"/>
        <v>-730</v>
      </c>
    </row>
    <row r="37" spans="1:4" x14ac:dyDescent="0.25">
      <c r="A37" s="8">
        <v>45908</v>
      </c>
      <c r="B37" s="9" t="s">
        <v>3</v>
      </c>
      <c r="C37" s="10">
        <v>4080</v>
      </c>
      <c r="D37" s="10">
        <f t="shared" si="2"/>
        <v>4080</v>
      </c>
    </row>
    <row r="38" spans="1:4" x14ac:dyDescent="0.25">
      <c r="A38" s="8">
        <v>45911</v>
      </c>
      <c r="B38" s="9" t="s">
        <v>3</v>
      </c>
      <c r="C38" s="10">
        <v>2660</v>
      </c>
      <c r="D38" s="10">
        <f t="shared" si="2"/>
        <v>2660</v>
      </c>
    </row>
    <row r="39" spans="1:4" x14ac:dyDescent="0.25">
      <c r="A39" s="8">
        <v>45913</v>
      </c>
      <c r="B39" s="9" t="s">
        <v>44</v>
      </c>
      <c r="C39" s="10">
        <v>-2660</v>
      </c>
      <c r="D39" s="10">
        <f>D38+C39</f>
        <v>0</v>
      </c>
    </row>
    <row r="40" spans="1:4" x14ac:dyDescent="0.25">
      <c r="A40" s="8">
        <v>45915</v>
      </c>
      <c r="B40" s="9" t="s">
        <v>3</v>
      </c>
      <c r="C40" s="10">
        <v>3720</v>
      </c>
      <c r="D40" s="10">
        <f t="shared" ref="D40:D103" si="3">D39+C40</f>
        <v>3720</v>
      </c>
    </row>
    <row r="41" spans="1:4" x14ac:dyDescent="0.25">
      <c r="A41" s="8">
        <v>45918</v>
      </c>
      <c r="B41" s="9" t="s">
        <v>44</v>
      </c>
      <c r="C41" s="10">
        <v>-3720</v>
      </c>
      <c r="D41" s="10">
        <f t="shared" si="3"/>
        <v>0</v>
      </c>
    </row>
    <row r="42" spans="1:4" x14ac:dyDescent="0.25">
      <c r="A42" s="8">
        <v>45918</v>
      </c>
      <c r="B42" s="9" t="s">
        <v>3</v>
      </c>
      <c r="C42" s="10">
        <v>7630</v>
      </c>
      <c r="D42" s="10">
        <f t="shared" si="3"/>
        <v>7630</v>
      </c>
    </row>
    <row r="43" spans="1:4" x14ac:dyDescent="0.25">
      <c r="A43" s="8">
        <v>45922</v>
      </c>
      <c r="B43" s="9" t="s">
        <v>3</v>
      </c>
      <c r="C43" s="10">
        <v>6140</v>
      </c>
      <c r="D43" s="10">
        <f t="shared" si="3"/>
        <v>13770</v>
      </c>
    </row>
    <row r="44" spans="1:4" x14ac:dyDescent="0.25">
      <c r="A44" s="8">
        <v>45923</v>
      </c>
      <c r="B44" s="9" t="s">
        <v>44</v>
      </c>
      <c r="C44" s="10">
        <v>-13770</v>
      </c>
      <c r="D44" s="10">
        <f t="shared" si="3"/>
        <v>0</v>
      </c>
    </row>
    <row r="45" spans="1:4" x14ac:dyDescent="0.25">
      <c r="A45" s="8">
        <v>45936</v>
      </c>
      <c r="B45" s="9" t="s">
        <v>3</v>
      </c>
      <c r="C45" s="10">
        <v>5240</v>
      </c>
      <c r="D45" s="10">
        <f t="shared" si="3"/>
        <v>5240</v>
      </c>
    </row>
    <row r="46" spans="1:4" x14ac:dyDescent="0.25">
      <c r="A46" s="8">
        <v>45939</v>
      </c>
      <c r="B46" s="9" t="s">
        <v>178</v>
      </c>
      <c r="C46" s="10">
        <v>-5240</v>
      </c>
      <c r="D46" s="10">
        <f t="shared" si="3"/>
        <v>0</v>
      </c>
    </row>
    <row r="47" spans="1:4" x14ac:dyDescent="0.25">
      <c r="A47" s="8">
        <v>45943</v>
      </c>
      <c r="B47" s="9" t="s">
        <v>3</v>
      </c>
      <c r="C47" s="10">
        <v>2100</v>
      </c>
      <c r="D47" s="10">
        <f t="shared" si="3"/>
        <v>2100</v>
      </c>
    </row>
    <row r="48" spans="1:4" x14ac:dyDescent="0.25">
      <c r="A48" s="8">
        <v>45946</v>
      </c>
      <c r="B48" s="9" t="s">
        <v>3</v>
      </c>
      <c r="C48" s="10">
        <v>3350</v>
      </c>
      <c r="D48" s="10">
        <f t="shared" si="3"/>
        <v>5450</v>
      </c>
    </row>
    <row r="49" spans="1:4" x14ac:dyDescent="0.25">
      <c r="A49" s="8">
        <v>45946</v>
      </c>
      <c r="B49" s="9" t="s">
        <v>179</v>
      </c>
      <c r="C49" s="10">
        <v>-5570</v>
      </c>
      <c r="D49" s="10">
        <f t="shared" si="3"/>
        <v>-120</v>
      </c>
    </row>
    <row r="50" spans="1:4" x14ac:dyDescent="0.25">
      <c r="A50" s="8">
        <v>45950</v>
      </c>
      <c r="B50" s="9" t="s">
        <v>3</v>
      </c>
      <c r="C50" s="10">
        <v>6790</v>
      </c>
      <c r="D50" s="10">
        <f t="shared" si="3"/>
        <v>6670</v>
      </c>
    </row>
    <row r="51" spans="1:4" x14ac:dyDescent="0.25">
      <c r="A51" s="8">
        <v>45953</v>
      </c>
      <c r="B51" s="9" t="s">
        <v>179</v>
      </c>
      <c r="C51" s="10">
        <v>-6790</v>
      </c>
      <c r="D51" s="10">
        <f t="shared" si="3"/>
        <v>-120</v>
      </c>
    </row>
    <row r="52" spans="1:4" x14ac:dyDescent="0.25">
      <c r="A52" s="8">
        <v>45953</v>
      </c>
      <c r="B52" s="9" t="s">
        <v>3</v>
      </c>
      <c r="C52" s="10">
        <v>4360</v>
      </c>
      <c r="D52" s="10">
        <f t="shared" si="3"/>
        <v>4240</v>
      </c>
    </row>
    <row r="53" spans="1:4" x14ac:dyDescent="0.25">
      <c r="A53" s="8">
        <v>45955</v>
      </c>
      <c r="B53" s="9" t="s">
        <v>179</v>
      </c>
      <c r="C53" s="10">
        <v>-4360</v>
      </c>
      <c r="D53" s="10">
        <f t="shared" si="3"/>
        <v>-120</v>
      </c>
    </row>
    <row r="54" spans="1:4" x14ac:dyDescent="0.25">
      <c r="A54" s="8">
        <v>45957</v>
      </c>
      <c r="B54" s="9" t="s">
        <v>3</v>
      </c>
      <c r="C54" s="10">
        <v>3560</v>
      </c>
      <c r="D54" s="10">
        <f t="shared" si="3"/>
        <v>3440</v>
      </c>
    </row>
    <row r="55" spans="1:4" x14ac:dyDescent="0.25">
      <c r="A55" s="8">
        <v>45960</v>
      </c>
      <c r="B55" s="9" t="s">
        <v>3</v>
      </c>
      <c r="C55" s="10">
        <v>4800</v>
      </c>
      <c r="D55" s="10">
        <f t="shared" si="3"/>
        <v>8240</v>
      </c>
    </row>
    <row r="56" spans="1:4" x14ac:dyDescent="0.25">
      <c r="A56" s="8">
        <v>45962</v>
      </c>
      <c r="B56" s="9" t="s">
        <v>187</v>
      </c>
      <c r="C56" s="10">
        <v>-8360</v>
      </c>
      <c r="D56" s="10">
        <f t="shared" si="3"/>
        <v>-120</v>
      </c>
    </row>
    <row r="57" spans="1:4" x14ac:dyDescent="0.25">
      <c r="A57" s="8">
        <v>45964</v>
      </c>
      <c r="B57" s="9" t="s">
        <v>3</v>
      </c>
      <c r="C57" s="10">
        <v>3270</v>
      </c>
      <c r="D57" s="10">
        <f t="shared" si="3"/>
        <v>3150</v>
      </c>
    </row>
    <row r="58" spans="1:4" x14ac:dyDescent="0.25">
      <c r="A58" s="8">
        <v>45964</v>
      </c>
      <c r="B58" s="9" t="s">
        <v>178</v>
      </c>
      <c r="C58" s="10">
        <v>-3270</v>
      </c>
      <c r="D58" s="10">
        <f t="shared" si="3"/>
        <v>-120</v>
      </c>
    </row>
    <row r="59" spans="1:4" x14ac:dyDescent="0.25">
      <c r="A59" s="8">
        <v>45971</v>
      </c>
      <c r="B59" s="9" t="s">
        <v>3</v>
      </c>
      <c r="C59" s="10">
        <v>7050</v>
      </c>
      <c r="D59" s="10">
        <f t="shared" si="3"/>
        <v>6930</v>
      </c>
    </row>
    <row r="60" spans="1:4" x14ac:dyDescent="0.25">
      <c r="A60" s="8">
        <v>45973</v>
      </c>
      <c r="B60" s="9" t="s">
        <v>127</v>
      </c>
      <c r="C60" s="10">
        <v>-7030</v>
      </c>
      <c r="D60" s="10">
        <f t="shared" si="3"/>
        <v>-100</v>
      </c>
    </row>
    <row r="61" spans="1:4" x14ac:dyDescent="0.25">
      <c r="A61" s="8">
        <v>45974</v>
      </c>
      <c r="B61" s="9" t="s">
        <v>3</v>
      </c>
      <c r="C61" s="10">
        <v>5700</v>
      </c>
      <c r="D61" s="10">
        <f t="shared" si="3"/>
        <v>5600</v>
      </c>
    </row>
    <row r="62" spans="1:4" x14ac:dyDescent="0.25">
      <c r="A62" s="8">
        <v>45978</v>
      </c>
      <c r="B62" s="9" t="s">
        <v>3</v>
      </c>
      <c r="C62" s="10">
        <v>3920</v>
      </c>
      <c r="D62" s="10">
        <f t="shared" si="3"/>
        <v>9520</v>
      </c>
    </row>
    <row r="63" spans="1:4" x14ac:dyDescent="0.25">
      <c r="A63" s="8">
        <v>45979</v>
      </c>
      <c r="B63" s="9" t="s">
        <v>44</v>
      </c>
      <c r="C63" s="10">
        <v>-9620</v>
      </c>
      <c r="D63" s="10">
        <f t="shared" si="3"/>
        <v>-100</v>
      </c>
    </row>
    <row r="64" spans="1:4" x14ac:dyDescent="0.25">
      <c r="A64" s="8">
        <v>45981</v>
      </c>
      <c r="B64" s="9" t="s">
        <v>3</v>
      </c>
      <c r="C64" s="10">
        <v>6230</v>
      </c>
      <c r="D64" s="10">
        <f t="shared" si="3"/>
        <v>6130</v>
      </c>
    </row>
    <row r="65" spans="1:4" x14ac:dyDescent="0.25">
      <c r="A65" s="8">
        <v>45981</v>
      </c>
      <c r="B65" s="9" t="s">
        <v>44</v>
      </c>
      <c r="C65" s="10">
        <v>-6230</v>
      </c>
      <c r="D65" s="10">
        <f t="shared" si="3"/>
        <v>-100</v>
      </c>
    </row>
    <row r="66" spans="1:4" x14ac:dyDescent="0.25">
      <c r="A66" s="8">
        <v>45985</v>
      </c>
      <c r="B66" s="9" t="s">
        <v>3</v>
      </c>
      <c r="C66" s="10">
        <v>4980</v>
      </c>
      <c r="D66" s="10">
        <f t="shared" si="3"/>
        <v>4880</v>
      </c>
    </row>
    <row r="67" spans="1:4" x14ac:dyDescent="0.25">
      <c r="A67" s="8">
        <v>45987</v>
      </c>
      <c r="B67" s="9" t="s">
        <v>150</v>
      </c>
      <c r="C67" s="10">
        <v>-4980</v>
      </c>
      <c r="D67" s="10">
        <f t="shared" si="3"/>
        <v>-100</v>
      </c>
    </row>
    <row r="68" spans="1:4" x14ac:dyDescent="0.25">
      <c r="A68" s="8">
        <v>45988</v>
      </c>
      <c r="B68" s="9" t="s">
        <v>3</v>
      </c>
      <c r="C68" s="10">
        <v>4650</v>
      </c>
      <c r="D68" s="10">
        <f t="shared" si="3"/>
        <v>4550</v>
      </c>
    </row>
    <row r="69" spans="1:4" x14ac:dyDescent="0.25">
      <c r="A69" s="8">
        <v>45988</v>
      </c>
      <c r="B69" s="9" t="s">
        <v>150</v>
      </c>
      <c r="C69" s="10">
        <v>-4650</v>
      </c>
      <c r="D69" s="10">
        <f t="shared" si="3"/>
        <v>-100</v>
      </c>
    </row>
    <row r="70" spans="1:4" x14ac:dyDescent="0.25">
      <c r="A70" s="8">
        <v>45992</v>
      </c>
      <c r="B70" s="9" t="s">
        <v>3</v>
      </c>
      <c r="C70" s="10">
        <v>8910</v>
      </c>
      <c r="D70" s="10">
        <f t="shared" si="3"/>
        <v>8810</v>
      </c>
    </row>
    <row r="71" spans="1:4" x14ac:dyDescent="0.25">
      <c r="A71" s="8">
        <v>45992</v>
      </c>
      <c r="B71" s="9" t="s">
        <v>150</v>
      </c>
      <c r="C71" s="10">
        <v>-9190</v>
      </c>
      <c r="D71" s="10">
        <f t="shared" si="3"/>
        <v>-380</v>
      </c>
    </row>
    <row r="72" spans="1:4" x14ac:dyDescent="0.25">
      <c r="A72" s="8">
        <v>45996</v>
      </c>
      <c r="B72" s="9" t="s">
        <v>3</v>
      </c>
      <c r="C72" s="10">
        <v>1150</v>
      </c>
      <c r="D72" s="10">
        <f t="shared" si="3"/>
        <v>770</v>
      </c>
    </row>
    <row r="73" spans="1:4" x14ac:dyDescent="0.25">
      <c r="A73" s="8">
        <v>45996</v>
      </c>
      <c r="B73" s="9" t="s">
        <v>150</v>
      </c>
      <c r="C73" s="10">
        <v>-870</v>
      </c>
      <c r="D73" s="10">
        <f t="shared" si="3"/>
        <v>-100</v>
      </c>
    </row>
    <row r="74" spans="1:4" x14ac:dyDescent="0.25">
      <c r="A74" s="8">
        <v>45999</v>
      </c>
      <c r="B74" s="9" t="s">
        <v>3</v>
      </c>
      <c r="C74" s="10">
        <v>6370</v>
      </c>
      <c r="D74" s="10">
        <f t="shared" si="3"/>
        <v>6270</v>
      </c>
    </row>
    <row r="75" spans="1:4" x14ac:dyDescent="0.25">
      <c r="A75" s="8">
        <v>46002</v>
      </c>
      <c r="B75" s="9" t="s">
        <v>3</v>
      </c>
      <c r="C75" s="10">
        <v>5860</v>
      </c>
      <c r="D75" s="10">
        <f t="shared" si="3"/>
        <v>12130</v>
      </c>
    </row>
    <row r="76" spans="1:4" x14ac:dyDescent="0.25">
      <c r="A76" s="8">
        <v>46002</v>
      </c>
      <c r="B76" s="9" t="s">
        <v>150</v>
      </c>
      <c r="C76" s="10">
        <v>-12290</v>
      </c>
      <c r="D76" s="10">
        <f t="shared" si="3"/>
        <v>-160</v>
      </c>
    </row>
    <row r="77" spans="1:4" x14ac:dyDescent="0.25">
      <c r="A77" s="8">
        <v>46006</v>
      </c>
      <c r="B77" s="9" t="s">
        <v>3</v>
      </c>
      <c r="C77" s="10">
        <v>5260</v>
      </c>
      <c r="D77" s="10">
        <f t="shared" si="3"/>
        <v>5100</v>
      </c>
    </row>
    <row r="78" spans="1:4" x14ac:dyDescent="0.25">
      <c r="A78" s="8">
        <v>46006</v>
      </c>
      <c r="B78" s="9" t="s">
        <v>150</v>
      </c>
      <c r="C78" s="10">
        <v>-5260</v>
      </c>
      <c r="D78" s="10">
        <f t="shared" si="3"/>
        <v>-160</v>
      </c>
    </row>
    <row r="79" spans="1:4" x14ac:dyDescent="0.25">
      <c r="A79" s="8">
        <v>46009</v>
      </c>
      <c r="B79" s="9" t="s">
        <v>3</v>
      </c>
      <c r="C79" s="10">
        <v>2210</v>
      </c>
      <c r="D79" s="10">
        <f t="shared" si="3"/>
        <v>2050</v>
      </c>
    </row>
    <row r="80" spans="1:4" x14ac:dyDescent="0.25">
      <c r="A80" s="8">
        <v>46010</v>
      </c>
      <c r="B80" s="9" t="s">
        <v>179</v>
      </c>
      <c r="C80" s="10">
        <v>-2210</v>
      </c>
      <c r="D80" s="10">
        <f t="shared" si="3"/>
        <v>-160</v>
      </c>
    </row>
    <row r="81" spans="1:4" x14ac:dyDescent="0.25">
      <c r="A81" s="8">
        <v>46013</v>
      </c>
      <c r="B81" s="9" t="s">
        <v>3</v>
      </c>
      <c r="C81" s="10">
        <v>4940</v>
      </c>
      <c r="D81" s="10">
        <f t="shared" si="3"/>
        <v>4780</v>
      </c>
    </row>
    <row r="82" spans="1:4" x14ac:dyDescent="0.25">
      <c r="A82" s="8">
        <v>46014</v>
      </c>
      <c r="B82" s="9" t="s">
        <v>127</v>
      </c>
      <c r="C82" s="10">
        <v>-4650</v>
      </c>
      <c r="D82" s="10">
        <f t="shared" si="3"/>
        <v>130</v>
      </c>
    </row>
    <row r="83" spans="1:4" x14ac:dyDescent="0.25">
      <c r="A83" s="8">
        <v>46017</v>
      </c>
      <c r="B83" s="9" t="s">
        <v>3</v>
      </c>
      <c r="C83" s="10">
        <v>1810</v>
      </c>
      <c r="D83" s="10">
        <f t="shared" si="3"/>
        <v>1940</v>
      </c>
    </row>
    <row r="84" spans="1:4" x14ac:dyDescent="0.25">
      <c r="A84" s="8">
        <v>46020</v>
      </c>
      <c r="B84" s="9" t="s">
        <v>3</v>
      </c>
      <c r="C84" s="10">
        <v>2620</v>
      </c>
      <c r="D84" s="10">
        <f t="shared" si="3"/>
        <v>4560</v>
      </c>
    </row>
    <row r="85" spans="1:4" x14ac:dyDescent="0.25">
      <c r="A85" s="8">
        <v>46022</v>
      </c>
      <c r="B85" s="9" t="s">
        <v>179</v>
      </c>
      <c r="C85" s="10">
        <v>-4430</v>
      </c>
      <c r="D85" s="10">
        <f t="shared" si="3"/>
        <v>130</v>
      </c>
    </row>
    <row r="86" spans="1:4" x14ac:dyDescent="0.25">
      <c r="A86" s="8">
        <v>46027</v>
      </c>
      <c r="B86" s="9" t="s">
        <v>3</v>
      </c>
      <c r="C86" s="10">
        <v>6470</v>
      </c>
      <c r="D86" s="10">
        <f t="shared" si="3"/>
        <v>6600</v>
      </c>
    </row>
    <row r="87" spans="1:4" x14ac:dyDescent="0.25">
      <c r="A87" s="8">
        <v>46029</v>
      </c>
      <c r="B87" s="9" t="s">
        <v>273</v>
      </c>
      <c r="C87" s="10">
        <v>-6470</v>
      </c>
      <c r="D87" s="10">
        <f t="shared" si="3"/>
        <v>130</v>
      </c>
    </row>
    <row r="88" spans="1:4" x14ac:dyDescent="0.25">
      <c r="A88" s="8">
        <v>46030</v>
      </c>
      <c r="B88" s="9" t="s">
        <v>3</v>
      </c>
      <c r="C88" s="10">
        <v>3730</v>
      </c>
      <c r="D88" s="10">
        <f t="shared" si="3"/>
        <v>3860</v>
      </c>
    </row>
    <row r="89" spans="1:4" x14ac:dyDescent="0.25">
      <c r="A89" s="8">
        <v>46034</v>
      </c>
      <c r="B89" s="9" t="s">
        <v>3</v>
      </c>
      <c r="C89" s="10">
        <v>8510</v>
      </c>
      <c r="D89" s="10">
        <f t="shared" si="3"/>
        <v>12370</v>
      </c>
    </row>
    <row r="90" spans="1:4" x14ac:dyDescent="0.25">
      <c r="A90" s="8">
        <v>46036</v>
      </c>
      <c r="B90" s="9" t="s">
        <v>179</v>
      </c>
      <c r="C90" s="10">
        <v>-12370</v>
      </c>
      <c r="D90" s="10">
        <f t="shared" si="3"/>
        <v>0</v>
      </c>
    </row>
    <row r="91" spans="1:4" x14ac:dyDescent="0.25">
      <c r="A91" s="8">
        <v>46041</v>
      </c>
      <c r="B91" s="9" t="s">
        <v>3</v>
      </c>
      <c r="C91" s="10">
        <v>1930</v>
      </c>
      <c r="D91" s="10">
        <f t="shared" si="3"/>
        <v>1930</v>
      </c>
    </row>
    <row r="92" spans="1:4" x14ac:dyDescent="0.25">
      <c r="A92" s="8">
        <v>46042</v>
      </c>
      <c r="B92" s="9" t="s">
        <v>3</v>
      </c>
      <c r="C92" s="10">
        <v>-1930</v>
      </c>
      <c r="D92" s="10">
        <f t="shared" si="3"/>
        <v>0</v>
      </c>
    </row>
    <row r="93" spans="1:4" x14ac:dyDescent="0.25">
      <c r="A93" s="8">
        <v>46044</v>
      </c>
      <c r="B93" s="9" t="s">
        <v>3</v>
      </c>
      <c r="C93" s="10">
        <v>11190</v>
      </c>
      <c r="D93" s="10">
        <f t="shared" si="3"/>
        <v>11190</v>
      </c>
    </row>
    <row r="94" spans="1:4" x14ac:dyDescent="0.25">
      <c r="A94" s="8">
        <v>46046</v>
      </c>
      <c r="B94" s="9" t="s">
        <v>127</v>
      </c>
      <c r="C94" s="10">
        <v>-11190</v>
      </c>
      <c r="D94" s="10">
        <f t="shared" si="3"/>
        <v>0</v>
      </c>
    </row>
    <row r="95" spans="1:4" x14ac:dyDescent="0.25">
      <c r="A95" s="8">
        <v>46048</v>
      </c>
      <c r="B95" s="9" t="s">
        <v>3</v>
      </c>
      <c r="C95" s="10">
        <v>4460</v>
      </c>
      <c r="D95" s="10">
        <f t="shared" si="3"/>
        <v>4460</v>
      </c>
    </row>
    <row r="96" spans="1:4" x14ac:dyDescent="0.25">
      <c r="A96" s="8">
        <v>46051</v>
      </c>
      <c r="B96" s="9" t="s">
        <v>261</v>
      </c>
      <c r="C96" s="10">
        <v>-4460</v>
      </c>
      <c r="D96" s="10">
        <f t="shared" si="3"/>
        <v>0</v>
      </c>
    </row>
    <row r="97" spans="1:4" x14ac:dyDescent="0.25">
      <c r="A97" s="8">
        <v>46051</v>
      </c>
      <c r="B97" s="9" t="s">
        <v>3</v>
      </c>
      <c r="C97" s="10">
        <v>1840</v>
      </c>
      <c r="D97" s="10">
        <f t="shared" si="3"/>
        <v>1840</v>
      </c>
    </row>
    <row r="98" spans="1:4" x14ac:dyDescent="0.25">
      <c r="A98" s="8">
        <v>46055</v>
      </c>
      <c r="B98" s="9" t="s">
        <v>3</v>
      </c>
      <c r="C98" s="10">
        <v>4450</v>
      </c>
      <c r="D98" s="10">
        <f t="shared" si="3"/>
        <v>6290</v>
      </c>
    </row>
    <row r="99" spans="1:4" s="41" customFormat="1" x14ac:dyDescent="0.25">
      <c r="A99" s="8">
        <v>46056</v>
      </c>
      <c r="B99" s="9" t="s">
        <v>127</v>
      </c>
      <c r="C99" s="10">
        <v>-1840</v>
      </c>
      <c r="D99" s="10">
        <f t="shared" si="3"/>
        <v>4450</v>
      </c>
    </row>
    <row r="100" spans="1:4" x14ac:dyDescent="0.25">
      <c r="A100" s="8">
        <v>46058</v>
      </c>
      <c r="B100" s="9" t="s">
        <v>3</v>
      </c>
      <c r="C100" s="10">
        <v>5560</v>
      </c>
      <c r="D100" s="10">
        <f t="shared" si="3"/>
        <v>10010</v>
      </c>
    </row>
    <row r="101" spans="1:4" x14ac:dyDescent="0.25">
      <c r="A101" s="8">
        <v>46059</v>
      </c>
      <c r="B101" s="9" t="s">
        <v>261</v>
      </c>
      <c r="C101" s="10">
        <v>-10010</v>
      </c>
      <c r="D101" s="10">
        <f t="shared" si="3"/>
        <v>0</v>
      </c>
    </row>
    <row r="102" spans="1:4" x14ac:dyDescent="0.25">
      <c r="A102" s="8">
        <v>46062</v>
      </c>
      <c r="B102" s="9" t="s">
        <v>3</v>
      </c>
      <c r="C102" s="10">
        <v>4840</v>
      </c>
      <c r="D102" s="10">
        <f t="shared" si="3"/>
        <v>4840</v>
      </c>
    </row>
    <row r="103" spans="1:4" x14ac:dyDescent="0.25">
      <c r="A103" s="8">
        <v>46066</v>
      </c>
      <c r="B103" s="9" t="s">
        <v>3</v>
      </c>
      <c r="C103" s="10">
        <v>44390</v>
      </c>
      <c r="D103" s="10">
        <f t="shared" si="3"/>
        <v>49230</v>
      </c>
    </row>
    <row r="104" spans="1:4" x14ac:dyDescent="0.25">
      <c r="A104" s="8">
        <v>46070</v>
      </c>
      <c r="B104" s="9" t="s">
        <v>227</v>
      </c>
      <c r="C104" s="10">
        <v>-49840</v>
      </c>
      <c r="D104" s="10">
        <f t="shared" ref="D104:D167" si="4">D103+C104</f>
        <v>-610</v>
      </c>
    </row>
    <row r="105" spans="1:4" x14ac:dyDescent="0.25">
      <c r="A105" s="8">
        <v>46072</v>
      </c>
      <c r="B105" s="9" t="s">
        <v>3</v>
      </c>
      <c r="C105" s="10">
        <v>8430</v>
      </c>
      <c r="D105" s="10">
        <f t="shared" si="4"/>
        <v>7820</v>
      </c>
    </row>
    <row r="106" spans="1:4" x14ac:dyDescent="0.25">
      <c r="A106" s="8">
        <v>46074</v>
      </c>
      <c r="B106" s="9" t="s">
        <v>127</v>
      </c>
      <c r="C106" s="10">
        <v>-8430</v>
      </c>
      <c r="D106" s="10">
        <f t="shared" si="4"/>
        <v>-610</v>
      </c>
    </row>
    <row r="107" spans="1:4" x14ac:dyDescent="0.25">
      <c r="A107" s="8">
        <v>46076</v>
      </c>
      <c r="B107" s="9" t="s">
        <v>3</v>
      </c>
      <c r="C107" s="10">
        <v>3830</v>
      </c>
      <c r="D107" s="10">
        <f t="shared" si="4"/>
        <v>3220</v>
      </c>
    </row>
    <row r="108" spans="1:4" x14ac:dyDescent="0.25">
      <c r="A108" s="8">
        <v>46076</v>
      </c>
      <c r="B108" s="9" t="s">
        <v>3</v>
      </c>
      <c r="C108" s="10">
        <v>6290</v>
      </c>
      <c r="D108" s="10">
        <f t="shared" si="4"/>
        <v>9510</v>
      </c>
    </row>
    <row r="109" spans="1:4" x14ac:dyDescent="0.25">
      <c r="A109" s="8">
        <v>46083</v>
      </c>
      <c r="B109" s="9" t="s">
        <v>3</v>
      </c>
      <c r="C109" s="10">
        <v>1650</v>
      </c>
      <c r="D109" s="10">
        <f t="shared" si="4"/>
        <v>11160</v>
      </c>
    </row>
    <row r="110" spans="1:4" x14ac:dyDescent="0.25">
      <c r="A110" s="8">
        <v>46083</v>
      </c>
      <c r="B110" s="9" t="s">
        <v>178</v>
      </c>
      <c r="C110" s="10">
        <v>-11160</v>
      </c>
      <c r="D110" s="10">
        <f t="shared" si="4"/>
        <v>0</v>
      </c>
    </row>
    <row r="111" spans="1:4" x14ac:dyDescent="0.25">
      <c r="A111" s="8">
        <v>46086</v>
      </c>
      <c r="B111" s="9" t="s">
        <v>3</v>
      </c>
      <c r="C111" s="10">
        <v>3180</v>
      </c>
      <c r="D111" s="10">
        <f t="shared" si="4"/>
        <v>3180</v>
      </c>
    </row>
    <row r="112" spans="1:4" x14ac:dyDescent="0.25">
      <c r="A112" s="8">
        <v>46086</v>
      </c>
      <c r="B112" s="9" t="s">
        <v>178</v>
      </c>
      <c r="C112" s="10">
        <v>-2000</v>
      </c>
      <c r="D112" s="10">
        <f t="shared" si="4"/>
        <v>1180</v>
      </c>
    </row>
    <row r="113" spans="1:4" x14ac:dyDescent="0.25">
      <c r="A113" s="8">
        <v>46090</v>
      </c>
      <c r="B113" s="9" t="s">
        <v>3</v>
      </c>
      <c r="C113" s="10">
        <v>3510</v>
      </c>
      <c r="D113" s="10">
        <f t="shared" si="4"/>
        <v>4690</v>
      </c>
    </row>
    <row r="114" spans="1:4" x14ac:dyDescent="0.25">
      <c r="A114" s="8">
        <v>46090</v>
      </c>
      <c r="B114" s="9" t="s">
        <v>178</v>
      </c>
      <c r="C114" s="10">
        <v>-1180</v>
      </c>
      <c r="D114" s="10">
        <f t="shared" si="4"/>
        <v>3510</v>
      </c>
    </row>
    <row r="115" spans="1:4" x14ac:dyDescent="0.25">
      <c r="A115" s="8">
        <v>46093</v>
      </c>
      <c r="B115" s="9" t="s">
        <v>3</v>
      </c>
      <c r="C115" s="10">
        <v>3450</v>
      </c>
      <c r="D115" s="10">
        <f t="shared" si="4"/>
        <v>6960</v>
      </c>
    </row>
    <row r="116" spans="1:4" x14ac:dyDescent="0.25">
      <c r="A116" s="8">
        <v>46093</v>
      </c>
      <c r="B116" s="9" t="s">
        <v>178</v>
      </c>
      <c r="C116" s="10">
        <v>-3510</v>
      </c>
      <c r="D116" s="10">
        <f t="shared" si="4"/>
        <v>3450</v>
      </c>
    </row>
    <row r="117" spans="1:4" x14ac:dyDescent="0.25">
      <c r="A117" s="8">
        <v>46097</v>
      </c>
      <c r="B117" s="9" t="s">
        <v>3</v>
      </c>
      <c r="C117" s="10">
        <v>3870</v>
      </c>
      <c r="D117" s="10">
        <f t="shared" si="4"/>
        <v>7320</v>
      </c>
    </row>
    <row r="118" spans="1:4" x14ac:dyDescent="0.25">
      <c r="A118" s="8">
        <v>46097</v>
      </c>
      <c r="B118" s="9" t="s">
        <v>178</v>
      </c>
      <c r="C118" s="10">
        <v>-3450</v>
      </c>
      <c r="D118" s="10">
        <f t="shared" si="4"/>
        <v>3870</v>
      </c>
    </row>
    <row r="119" spans="1:4" x14ac:dyDescent="0.25">
      <c r="A119" s="8">
        <v>46100</v>
      </c>
      <c r="B119" s="9" t="s">
        <v>3</v>
      </c>
      <c r="C119" s="10">
        <v>4860</v>
      </c>
      <c r="D119" s="10">
        <f t="shared" si="4"/>
        <v>8730</v>
      </c>
    </row>
    <row r="120" spans="1:4" x14ac:dyDescent="0.25">
      <c r="A120" s="8">
        <v>46104</v>
      </c>
      <c r="B120" s="9" t="s">
        <v>178</v>
      </c>
      <c r="C120" s="10">
        <v>-8730</v>
      </c>
      <c r="D120" s="10">
        <f t="shared" si="4"/>
        <v>0</v>
      </c>
    </row>
    <row r="121" spans="1:4" x14ac:dyDescent="0.25">
      <c r="A121" s="8">
        <v>46107</v>
      </c>
      <c r="B121" s="9" t="s">
        <v>3</v>
      </c>
      <c r="C121" s="10">
        <v>2970</v>
      </c>
      <c r="D121" s="10">
        <f t="shared" si="4"/>
        <v>2970</v>
      </c>
    </row>
    <row r="122" spans="1:4" x14ac:dyDescent="0.25">
      <c r="A122" s="8">
        <v>46111</v>
      </c>
      <c r="B122" s="9" t="s">
        <v>3</v>
      </c>
      <c r="C122" s="10">
        <v>6120</v>
      </c>
      <c r="D122" s="10">
        <f t="shared" si="4"/>
        <v>9090</v>
      </c>
    </row>
    <row r="123" spans="1:4" x14ac:dyDescent="0.25">
      <c r="A123" s="8">
        <v>46111</v>
      </c>
      <c r="B123" s="9" t="s">
        <v>178</v>
      </c>
      <c r="C123" s="10">
        <v>-2970</v>
      </c>
      <c r="D123" s="10">
        <f t="shared" si="4"/>
        <v>6120</v>
      </c>
    </row>
    <row r="124" spans="1:4" x14ac:dyDescent="0.25">
      <c r="A124" s="8">
        <v>46118</v>
      </c>
      <c r="B124" s="9" t="s">
        <v>3</v>
      </c>
      <c r="C124" s="10">
        <v>1900</v>
      </c>
      <c r="D124" s="10">
        <f t="shared" si="4"/>
        <v>8020</v>
      </c>
    </row>
    <row r="125" spans="1:4" x14ac:dyDescent="0.25">
      <c r="A125" s="8">
        <v>46118</v>
      </c>
      <c r="B125" s="9" t="s">
        <v>178</v>
      </c>
      <c r="C125" s="10">
        <v>-6120</v>
      </c>
      <c r="D125" s="10">
        <f t="shared" si="4"/>
        <v>1900</v>
      </c>
    </row>
    <row r="126" spans="1:4" x14ac:dyDescent="0.25">
      <c r="A126" s="8">
        <v>46121</v>
      </c>
      <c r="B126" s="9" t="s">
        <v>3</v>
      </c>
      <c r="C126" s="10">
        <v>8820</v>
      </c>
      <c r="D126" s="10">
        <f t="shared" si="4"/>
        <v>10720</v>
      </c>
    </row>
    <row r="127" spans="1:4" x14ac:dyDescent="0.25">
      <c r="A127" s="8">
        <v>46125</v>
      </c>
      <c r="B127" s="9" t="s">
        <v>3</v>
      </c>
      <c r="C127" s="10">
        <v>5060</v>
      </c>
      <c r="D127" s="10">
        <f t="shared" si="4"/>
        <v>15780</v>
      </c>
    </row>
    <row r="128" spans="1:4" x14ac:dyDescent="0.25">
      <c r="A128" s="8">
        <v>46125</v>
      </c>
      <c r="B128" s="9" t="s">
        <v>178</v>
      </c>
      <c r="C128" s="10">
        <v>-10720</v>
      </c>
      <c r="D128" s="10">
        <f t="shared" si="4"/>
        <v>5060</v>
      </c>
    </row>
    <row r="129" spans="1:4" x14ac:dyDescent="0.25">
      <c r="A129" s="8">
        <v>46128</v>
      </c>
      <c r="B129" s="9" t="s">
        <v>3</v>
      </c>
      <c r="C129" s="10">
        <v>4030</v>
      </c>
      <c r="D129" s="10">
        <f t="shared" si="4"/>
        <v>9090</v>
      </c>
    </row>
    <row r="130" spans="1:4" x14ac:dyDescent="0.25">
      <c r="A130" s="8">
        <v>46128</v>
      </c>
      <c r="B130" s="9" t="s">
        <v>178</v>
      </c>
      <c r="C130" s="10">
        <v>-5060</v>
      </c>
      <c r="D130" s="10">
        <f t="shared" si="4"/>
        <v>4030</v>
      </c>
    </row>
    <row r="131" spans="1:4" x14ac:dyDescent="0.25">
      <c r="A131" s="8">
        <v>46135</v>
      </c>
      <c r="B131" s="9" t="s">
        <v>3</v>
      </c>
      <c r="C131" s="10">
        <v>4770</v>
      </c>
      <c r="D131" s="10">
        <f t="shared" si="4"/>
        <v>8800</v>
      </c>
    </row>
    <row r="132" spans="1:4" x14ac:dyDescent="0.25">
      <c r="A132" s="8">
        <v>46135</v>
      </c>
      <c r="B132" s="9" t="s">
        <v>178</v>
      </c>
      <c r="C132" s="10">
        <v>-4030</v>
      </c>
      <c r="D132" s="10">
        <f t="shared" si="4"/>
        <v>4770</v>
      </c>
    </row>
    <row r="133" spans="1:4" x14ac:dyDescent="0.25">
      <c r="A133" s="8">
        <v>46139</v>
      </c>
      <c r="B133" s="9" t="s">
        <v>3</v>
      </c>
      <c r="C133" s="10">
        <v>2530</v>
      </c>
      <c r="D133" s="10">
        <f t="shared" si="4"/>
        <v>7300</v>
      </c>
    </row>
    <row r="134" spans="1:4" x14ac:dyDescent="0.25">
      <c r="A134" s="8">
        <v>46146</v>
      </c>
      <c r="B134" s="9" t="s">
        <v>178</v>
      </c>
      <c r="C134" s="10">
        <v>-5850</v>
      </c>
      <c r="D134" s="10">
        <f t="shared" si="4"/>
        <v>1450</v>
      </c>
    </row>
    <row r="135" spans="1:4" x14ac:dyDescent="0.25">
      <c r="A135" s="8">
        <v>46153</v>
      </c>
      <c r="B135" s="9" t="s">
        <v>3</v>
      </c>
      <c r="C135" s="10">
        <v>860</v>
      </c>
      <c r="D135" s="10">
        <f t="shared" si="4"/>
        <v>2310</v>
      </c>
    </row>
    <row r="136" spans="1:4" x14ac:dyDescent="0.25">
      <c r="A136" s="8">
        <v>46149</v>
      </c>
      <c r="B136" s="9" t="s">
        <v>416</v>
      </c>
      <c r="C136" s="10">
        <v>37000</v>
      </c>
      <c r="D136" s="10">
        <f t="shared" si="4"/>
        <v>39310</v>
      </c>
    </row>
    <row r="137" spans="1:4" x14ac:dyDescent="0.25">
      <c r="A137" s="8">
        <v>46156</v>
      </c>
      <c r="B137" s="9" t="s">
        <v>3</v>
      </c>
      <c r="C137" s="10">
        <v>6980</v>
      </c>
      <c r="D137" s="10">
        <f t="shared" si="4"/>
        <v>46290</v>
      </c>
    </row>
    <row r="138" spans="1:4" x14ac:dyDescent="0.25">
      <c r="A138" s="8">
        <v>46160</v>
      </c>
      <c r="B138" s="9" t="s">
        <v>178</v>
      </c>
      <c r="C138" s="10">
        <v>-46290</v>
      </c>
      <c r="D138" s="10">
        <f t="shared" si="4"/>
        <v>0</v>
      </c>
    </row>
    <row r="139" spans="1:4" x14ac:dyDescent="0.25">
      <c r="A139" s="8">
        <v>46163</v>
      </c>
      <c r="B139" s="9" t="s">
        <v>3</v>
      </c>
      <c r="C139" s="10">
        <v>2330</v>
      </c>
      <c r="D139" s="10">
        <f t="shared" si="4"/>
        <v>2330</v>
      </c>
    </row>
    <row r="140" spans="1:4" x14ac:dyDescent="0.25">
      <c r="A140" s="8">
        <v>46167</v>
      </c>
      <c r="B140" s="9" t="s">
        <v>3</v>
      </c>
      <c r="C140" s="10">
        <v>-2330</v>
      </c>
      <c r="D140" s="10">
        <f t="shared" si="4"/>
        <v>0</v>
      </c>
    </row>
    <row r="141" spans="1:4" x14ac:dyDescent="0.25">
      <c r="A141" s="8">
        <v>46174</v>
      </c>
      <c r="B141" s="9" t="s">
        <v>3</v>
      </c>
      <c r="C141" s="10">
        <v>3600</v>
      </c>
      <c r="D141" s="10">
        <f t="shared" si="4"/>
        <v>3600</v>
      </c>
    </row>
    <row r="142" spans="1:4" x14ac:dyDescent="0.25">
      <c r="A142" s="8">
        <v>46177</v>
      </c>
      <c r="B142" s="9" t="s">
        <v>178</v>
      </c>
      <c r="C142" s="10">
        <v>-3600</v>
      </c>
      <c r="D142" s="10">
        <f t="shared" si="4"/>
        <v>0</v>
      </c>
    </row>
    <row r="143" spans="1:4" x14ac:dyDescent="0.25">
      <c r="A143" s="8">
        <v>46181</v>
      </c>
      <c r="B143" s="9" t="s">
        <v>3</v>
      </c>
      <c r="C143" s="10">
        <v>3010</v>
      </c>
      <c r="D143" s="10">
        <f t="shared" si="4"/>
        <v>3010</v>
      </c>
    </row>
    <row r="144" spans="1:4" x14ac:dyDescent="0.25">
      <c r="A144" s="8">
        <v>46184</v>
      </c>
      <c r="B144" s="9" t="s">
        <v>3</v>
      </c>
      <c r="C144" s="10">
        <v>1590</v>
      </c>
      <c r="D144" s="10">
        <f t="shared" si="4"/>
        <v>4600</v>
      </c>
    </row>
    <row r="145" spans="1:7" x14ac:dyDescent="0.25">
      <c r="A145" s="8">
        <v>46184</v>
      </c>
      <c r="B145" s="9" t="s">
        <v>178</v>
      </c>
      <c r="C145" s="10">
        <v>-3010</v>
      </c>
      <c r="D145" s="10">
        <f t="shared" si="4"/>
        <v>1590</v>
      </c>
    </row>
    <row r="146" spans="1:7" x14ac:dyDescent="0.25">
      <c r="A146" s="8">
        <v>46188</v>
      </c>
      <c r="B146" s="9" t="s">
        <v>3</v>
      </c>
      <c r="C146" s="10">
        <v>5400</v>
      </c>
      <c r="D146" s="10">
        <f t="shared" si="4"/>
        <v>6990</v>
      </c>
    </row>
    <row r="147" spans="1:7" x14ac:dyDescent="0.25">
      <c r="A147" s="8">
        <v>46188</v>
      </c>
      <c r="B147" s="9" t="s">
        <v>178</v>
      </c>
      <c r="C147" s="10">
        <v>-1590</v>
      </c>
      <c r="D147" s="10">
        <f t="shared" si="4"/>
        <v>5400</v>
      </c>
    </row>
    <row r="148" spans="1:7" x14ac:dyDescent="0.25">
      <c r="A148" s="8">
        <v>46191</v>
      </c>
      <c r="B148" s="9" t="s">
        <v>3</v>
      </c>
      <c r="C148" s="10">
        <v>2540</v>
      </c>
      <c r="D148" s="10">
        <f t="shared" si="4"/>
        <v>7940</v>
      </c>
    </row>
    <row r="149" spans="1:7" x14ac:dyDescent="0.25">
      <c r="A149" s="8">
        <v>46191</v>
      </c>
      <c r="B149" s="9" t="s">
        <v>178</v>
      </c>
      <c r="C149" s="10">
        <v>-5400</v>
      </c>
      <c r="D149" s="10">
        <f t="shared" si="4"/>
        <v>2540</v>
      </c>
    </row>
    <row r="150" spans="1:7" x14ac:dyDescent="0.25">
      <c r="A150" s="8">
        <v>46195</v>
      </c>
      <c r="B150" s="9" t="s">
        <v>178</v>
      </c>
      <c r="C150" s="10">
        <v>-2540</v>
      </c>
      <c r="D150" s="10">
        <f t="shared" si="4"/>
        <v>0</v>
      </c>
    </row>
    <row r="151" spans="1:7" x14ac:dyDescent="0.25">
      <c r="A151" s="8">
        <v>46198</v>
      </c>
      <c r="B151" s="9" t="s">
        <v>3</v>
      </c>
      <c r="C151" s="10">
        <f>2400+170+200+560+700+150+200+480+800+200+250+100</f>
        <v>6210</v>
      </c>
      <c r="D151" s="10">
        <f t="shared" si="4"/>
        <v>6210</v>
      </c>
    </row>
    <row r="152" spans="1:7" x14ac:dyDescent="0.25">
      <c r="A152" s="8">
        <v>46202</v>
      </c>
      <c r="B152" s="9" t="s">
        <v>3</v>
      </c>
      <c r="C152" s="10">
        <f>400+600+350+200+120+100</f>
        <v>1770</v>
      </c>
      <c r="D152" s="10">
        <f t="shared" si="4"/>
        <v>7980</v>
      </c>
    </row>
    <row r="153" spans="1:7" x14ac:dyDescent="0.25">
      <c r="A153" s="8">
        <v>46205</v>
      </c>
      <c r="B153" s="9" t="s">
        <v>178</v>
      </c>
      <c r="C153" s="10">
        <v>-6210</v>
      </c>
      <c r="D153" s="10">
        <f t="shared" si="4"/>
        <v>1770</v>
      </c>
    </row>
    <row r="154" spans="1:7" x14ac:dyDescent="0.25">
      <c r="A154" s="8">
        <v>46209</v>
      </c>
      <c r="B154" s="9" t="s">
        <v>178</v>
      </c>
      <c r="C154" s="10">
        <v>-1770</v>
      </c>
      <c r="D154" s="10">
        <f t="shared" si="4"/>
        <v>0</v>
      </c>
    </row>
    <row r="155" spans="1:7" x14ac:dyDescent="0.25">
      <c r="A155" s="8">
        <v>46209</v>
      </c>
      <c r="B155" s="9" t="s">
        <v>3</v>
      </c>
      <c r="C155" s="10">
        <f>200+240+350+400+200+180+180+160+1020+250+1800+100-1790</f>
        <v>3290</v>
      </c>
      <c r="D155" s="10">
        <f t="shared" si="4"/>
        <v>3290</v>
      </c>
      <c r="G155" s="6"/>
    </row>
    <row r="156" spans="1:7" x14ac:dyDescent="0.25">
      <c r="A156" s="8">
        <v>46212</v>
      </c>
      <c r="B156" s="9" t="s">
        <v>3</v>
      </c>
      <c r="C156" s="10">
        <f>1230</f>
        <v>1230</v>
      </c>
      <c r="D156" s="10">
        <f t="shared" si="4"/>
        <v>4520</v>
      </c>
    </row>
    <row r="157" spans="1:7" x14ac:dyDescent="0.25">
      <c r="A157" s="8">
        <v>46216</v>
      </c>
      <c r="B157" s="9" t="s">
        <v>3</v>
      </c>
      <c r="C157" s="10">
        <v>7630</v>
      </c>
      <c r="D157" s="10">
        <f t="shared" si="4"/>
        <v>12150</v>
      </c>
    </row>
    <row r="158" spans="1:7" x14ac:dyDescent="0.25">
      <c r="A158" s="8">
        <v>46216</v>
      </c>
      <c r="B158" s="9" t="s">
        <v>178</v>
      </c>
      <c r="C158" s="10">
        <v>-4520</v>
      </c>
      <c r="D158" s="10">
        <f t="shared" si="4"/>
        <v>7630</v>
      </c>
    </row>
    <row r="159" spans="1:7" x14ac:dyDescent="0.25">
      <c r="A159" s="8">
        <v>46217</v>
      </c>
      <c r="B159" s="9" t="s">
        <v>129</v>
      </c>
      <c r="C159" s="10">
        <v>1150</v>
      </c>
      <c r="D159" s="10">
        <f t="shared" si="4"/>
        <v>8780</v>
      </c>
    </row>
    <row r="160" spans="1:7" x14ac:dyDescent="0.25">
      <c r="A160" s="8">
        <v>46219</v>
      </c>
      <c r="B160" s="9" t="s">
        <v>3</v>
      </c>
      <c r="C160" s="10">
        <v>6470</v>
      </c>
      <c r="D160" s="10">
        <f t="shared" si="4"/>
        <v>15250</v>
      </c>
    </row>
    <row r="161" spans="1:4" x14ac:dyDescent="0.25">
      <c r="A161" s="8">
        <v>46223</v>
      </c>
      <c r="B161" s="9" t="s">
        <v>518</v>
      </c>
      <c r="C161" s="10">
        <v>-15250</v>
      </c>
      <c r="D161" s="10">
        <f t="shared" si="4"/>
        <v>0</v>
      </c>
    </row>
    <row r="162" spans="1:4" x14ac:dyDescent="0.25">
      <c r="A162" s="8">
        <v>46230</v>
      </c>
      <c r="B162" s="9" t="s">
        <v>3</v>
      </c>
      <c r="C162" s="10">
        <v>2860</v>
      </c>
      <c r="D162" s="10">
        <f t="shared" si="4"/>
        <v>2860</v>
      </c>
    </row>
    <row r="163" spans="1:4" x14ac:dyDescent="0.25">
      <c r="A163" s="8">
        <v>46233</v>
      </c>
      <c r="B163" s="9" t="s">
        <v>3</v>
      </c>
      <c r="C163" s="10">
        <f>2400+250+260+200+160+150+500+340+200+510+600+120+350+100</f>
        <v>6140</v>
      </c>
      <c r="D163" s="10">
        <f t="shared" si="4"/>
        <v>9000</v>
      </c>
    </row>
    <row r="164" spans="1:4" x14ac:dyDescent="0.25">
      <c r="A164" s="8">
        <v>46233</v>
      </c>
      <c r="B164" s="9" t="s">
        <v>178</v>
      </c>
      <c r="C164" s="10">
        <v>-2860</v>
      </c>
      <c r="D164" s="10">
        <f t="shared" si="4"/>
        <v>6140</v>
      </c>
    </row>
    <row r="165" spans="1:4" x14ac:dyDescent="0.25">
      <c r="A165" s="8">
        <v>46237</v>
      </c>
      <c r="B165" s="9" t="s">
        <v>3</v>
      </c>
      <c r="C165" s="10">
        <v>860</v>
      </c>
      <c r="D165" s="10">
        <f t="shared" si="4"/>
        <v>7000</v>
      </c>
    </row>
    <row r="166" spans="1:4" x14ac:dyDescent="0.25">
      <c r="A166" s="8">
        <v>46240</v>
      </c>
      <c r="B166" s="9" t="s">
        <v>3</v>
      </c>
      <c r="C166" s="10">
        <v>3540</v>
      </c>
      <c r="D166" s="10">
        <f t="shared" si="4"/>
        <v>10540</v>
      </c>
    </row>
    <row r="167" spans="1:4" x14ac:dyDescent="0.25">
      <c r="A167" s="8">
        <v>46240</v>
      </c>
      <c r="B167" s="9" t="s">
        <v>178</v>
      </c>
      <c r="C167" s="10">
        <v>-7000</v>
      </c>
      <c r="D167" s="10">
        <f t="shared" si="4"/>
        <v>3540</v>
      </c>
    </row>
    <row r="168" spans="1:4" x14ac:dyDescent="0.25">
      <c r="A168" s="8">
        <v>46244</v>
      </c>
      <c r="B168" s="9" t="s">
        <v>3</v>
      </c>
      <c r="C168" s="10">
        <f>3300+340</f>
        <v>3640</v>
      </c>
      <c r="D168" s="10">
        <f t="shared" ref="D168:D204" si="5">D167+C168</f>
        <v>7180</v>
      </c>
    </row>
    <row r="169" spans="1:4" x14ac:dyDescent="0.25">
      <c r="A169" s="8">
        <v>46244</v>
      </c>
      <c r="B169" s="9" t="s">
        <v>178</v>
      </c>
      <c r="C169" s="10">
        <v>-5000</v>
      </c>
      <c r="D169" s="10">
        <f t="shared" si="5"/>
        <v>2180</v>
      </c>
    </row>
    <row r="170" spans="1:4" x14ac:dyDescent="0.25">
      <c r="A170" s="8">
        <v>46247</v>
      </c>
      <c r="B170" s="9" t="s">
        <v>3</v>
      </c>
      <c r="C170" s="10">
        <v>3840</v>
      </c>
      <c r="D170" s="10">
        <f t="shared" si="5"/>
        <v>6020</v>
      </c>
    </row>
    <row r="171" spans="1:4" x14ac:dyDescent="0.25">
      <c r="A171" s="8">
        <v>46247</v>
      </c>
      <c r="B171" s="9" t="s">
        <v>178</v>
      </c>
      <c r="C171" s="10">
        <v>-6020</v>
      </c>
      <c r="D171" s="10">
        <f t="shared" si="5"/>
        <v>0</v>
      </c>
    </row>
    <row r="172" spans="1:4" x14ac:dyDescent="0.25">
      <c r="A172" s="8">
        <v>46254</v>
      </c>
      <c r="B172" s="9" t="s">
        <v>3</v>
      </c>
      <c r="C172" s="10">
        <v>3590</v>
      </c>
      <c r="D172" s="10">
        <f t="shared" si="5"/>
        <v>3590</v>
      </c>
    </row>
    <row r="173" spans="1:4" x14ac:dyDescent="0.25">
      <c r="A173" s="8">
        <v>46254</v>
      </c>
      <c r="B173" s="9" t="s">
        <v>3</v>
      </c>
      <c r="C173" s="10">
        <v>-3590</v>
      </c>
      <c r="D173" s="10">
        <f t="shared" si="5"/>
        <v>0</v>
      </c>
    </row>
    <row r="174" spans="1:4" x14ac:dyDescent="0.25">
      <c r="A174" s="8">
        <v>46258</v>
      </c>
      <c r="B174" s="9" t="s">
        <v>3</v>
      </c>
      <c r="C174" s="10">
        <v>2380</v>
      </c>
      <c r="D174" s="10">
        <f t="shared" si="5"/>
        <v>2380</v>
      </c>
    </row>
    <row r="175" spans="1:4" x14ac:dyDescent="0.25">
      <c r="A175" s="8">
        <v>46258</v>
      </c>
      <c r="B175" s="9" t="s">
        <v>96</v>
      </c>
      <c r="C175" s="10">
        <v>-2380</v>
      </c>
      <c r="D175" s="10">
        <f t="shared" si="5"/>
        <v>0</v>
      </c>
    </row>
    <row r="176" spans="1:4" x14ac:dyDescent="0.25">
      <c r="A176" s="8">
        <v>46261</v>
      </c>
      <c r="B176" s="9" t="s">
        <v>3</v>
      </c>
      <c r="C176" s="10">
        <v>1040</v>
      </c>
      <c r="D176" s="10">
        <f t="shared" si="5"/>
        <v>1040</v>
      </c>
    </row>
    <row r="177" spans="1:4" x14ac:dyDescent="0.25">
      <c r="A177" s="8">
        <v>46265</v>
      </c>
      <c r="B177" s="9" t="s">
        <v>3</v>
      </c>
      <c r="C177" s="10">
        <v>6640</v>
      </c>
      <c r="D177" s="10">
        <f t="shared" si="5"/>
        <v>7680</v>
      </c>
    </row>
    <row r="178" spans="1:4" x14ac:dyDescent="0.25">
      <c r="A178" s="8">
        <v>46265</v>
      </c>
      <c r="B178" s="9" t="s">
        <v>178</v>
      </c>
      <c r="C178" s="10">
        <v>-5700</v>
      </c>
      <c r="D178" s="10">
        <f t="shared" si="5"/>
        <v>1980</v>
      </c>
    </row>
    <row r="179" spans="1:4" x14ac:dyDescent="0.25">
      <c r="A179" s="8">
        <v>46268</v>
      </c>
      <c r="B179" s="9" t="s">
        <v>3</v>
      </c>
      <c r="C179" s="10">
        <v>3100</v>
      </c>
      <c r="D179" s="10">
        <f t="shared" si="5"/>
        <v>5080</v>
      </c>
    </row>
    <row r="180" spans="1:4" x14ac:dyDescent="0.25">
      <c r="A180" s="8">
        <v>46268</v>
      </c>
      <c r="B180" s="9" t="s">
        <v>178</v>
      </c>
      <c r="C180" s="10">
        <v>-5080</v>
      </c>
      <c r="D180" s="10">
        <f t="shared" si="5"/>
        <v>0</v>
      </c>
    </row>
    <row r="181" spans="1:4" x14ac:dyDescent="0.25">
      <c r="A181" s="8">
        <v>46272</v>
      </c>
      <c r="B181" s="9" t="s">
        <v>3</v>
      </c>
      <c r="C181" s="10">
        <v>3510</v>
      </c>
      <c r="D181" s="10">
        <f t="shared" si="5"/>
        <v>3510</v>
      </c>
    </row>
    <row r="182" spans="1:4" x14ac:dyDescent="0.25">
      <c r="A182" s="8">
        <v>46272</v>
      </c>
      <c r="B182" s="9" t="s">
        <v>178</v>
      </c>
      <c r="C182" s="10">
        <v>-3510</v>
      </c>
      <c r="D182" s="10">
        <f t="shared" si="5"/>
        <v>0</v>
      </c>
    </row>
    <row r="183" spans="1:4" x14ac:dyDescent="0.25">
      <c r="A183" s="8">
        <v>46275</v>
      </c>
      <c r="B183" s="9" t="s">
        <v>3</v>
      </c>
      <c r="C183" s="10">
        <v>1100</v>
      </c>
      <c r="D183" s="10">
        <f t="shared" si="5"/>
        <v>1100</v>
      </c>
    </row>
    <row r="184" spans="1:4" x14ac:dyDescent="0.25">
      <c r="A184" s="8">
        <v>46275</v>
      </c>
      <c r="B184" s="9" t="s">
        <v>178</v>
      </c>
      <c r="C184" s="10">
        <v>-1100</v>
      </c>
      <c r="D184" s="10">
        <f t="shared" si="5"/>
        <v>0</v>
      </c>
    </row>
    <row r="185" spans="1:4" x14ac:dyDescent="0.25">
      <c r="A185" s="8">
        <v>46279</v>
      </c>
      <c r="B185" s="9" t="s">
        <v>3</v>
      </c>
      <c r="C185" s="10">
        <v>2785</v>
      </c>
      <c r="D185" s="10">
        <f t="shared" si="5"/>
        <v>2785</v>
      </c>
    </row>
    <row r="186" spans="1:4" x14ac:dyDescent="0.25">
      <c r="A186" s="8">
        <v>46279</v>
      </c>
      <c r="B186" s="9" t="s">
        <v>591</v>
      </c>
      <c r="C186" s="10">
        <v>-2785</v>
      </c>
      <c r="D186" s="10">
        <f t="shared" si="5"/>
        <v>0</v>
      </c>
    </row>
    <row r="187" spans="1:4" x14ac:dyDescent="0.25">
      <c r="A187" s="8">
        <v>46282</v>
      </c>
      <c r="B187" s="9" t="s">
        <v>3</v>
      </c>
      <c r="C187" s="10">
        <v>15050</v>
      </c>
      <c r="D187" s="10">
        <f t="shared" si="5"/>
        <v>15050</v>
      </c>
    </row>
    <row r="188" spans="1:4" x14ac:dyDescent="0.25">
      <c r="A188" s="8">
        <v>46286</v>
      </c>
      <c r="B188" s="9" t="s">
        <v>3</v>
      </c>
      <c r="C188" s="10">
        <v>5310</v>
      </c>
      <c r="D188" s="10">
        <f t="shared" si="5"/>
        <v>20360</v>
      </c>
    </row>
    <row r="189" spans="1:4" x14ac:dyDescent="0.25">
      <c r="A189" s="8">
        <v>46286</v>
      </c>
      <c r="B189" s="9" t="s">
        <v>178</v>
      </c>
      <c r="C189" s="10">
        <v>-20360</v>
      </c>
      <c r="D189" s="10">
        <f t="shared" si="5"/>
        <v>0</v>
      </c>
    </row>
    <row r="190" spans="1:4" x14ac:dyDescent="0.25">
      <c r="A190" s="8">
        <v>46289</v>
      </c>
      <c r="B190" s="9" t="s">
        <v>3</v>
      </c>
      <c r="C190" s="10">
        <v>5510</v>
      </c>
      <c r="D190" s="10">
        <f t="shared" si="5"/>
        <v>5510</v>
      </c>
    </row>
    <row r="191" spans="1:4" x14ac:dyDescent="0.25">
      <c r="A191" s="8">
        <v>46293</v>
      </c>
      <c r="B191" s="9" t="s">
        <v>3</v>
      </c>
      <c r="C191" s="10">
        <v>6090</v>
      </c>
      <c r="D191" s="10">
        <f t="shared" si="5"/>
        <v>11600</v>
      </c>
    </row>
    <row r="192" spans="1:4" x14ac:dyDescent="0.25">
      <c r="A192" s="8">
        <v>46293</v>
      </c>
      <c r="B192" s="9" t="s">
        <v>178</v>
      </c>
      <c r="C192" s="10">
        <v>-5510</v>
      </c>
      <c r="D192" s="10">
        <f t="shared" si="5"/>
        <v>6090</v>
      </c>
    </row>
    <row r="193" spans="1:4" x14ac:dyDescent="0.25">
      <c r="A193" s="8">
        <v>46293</v>
      </c>
      <c r="B193" s="9" t="s">
        <v>178</v>
      </c>
      <c r="C193" s="10">
        <v>-6090</v>
      </c>
      <c r="D193" s="10">
        <f t="shared" si="5"/>
        <v>0</v>
      </c>
    </row>
    <row r="194" spans="1:4" x14ac:dyDescent="0.25">
      <c r="A194" s="8">
        <v>46296</v>
      </c>
      <c r="B194" s="9" t="s">
        <v>3</v>
      </c>
      <c r="C194" s="10">
        <v>1050</v>
      </c>
      <c r="D194" s="10">
        <f t="shared" si="5"/>
        <v>1050</v>
      </c>
    </row>
    <row r="195" spans="1:4" x14ac:dyDescent="0.25">
      <c r="A195" s="8">
        <v>46296</v>
      </c>
      <c r="B195" s="9" t="s">
        <v>178</v>
      </c>
      <c r="C195" s="10">
        <v>-1050</v>
      </c>
      <c r="D195" s="10">
        <f t="shared" si="5"/>
        <v>0</v>
      </c>
    </row>
    <row r="196" spans="1:4" x14ac:dyDescent="0.25">
      <c r="A196" s="8"/>
      <c r="B196" s="9"/>
      <c r="C196" s="10"/>
      <c r="D196" s="10">
        <f t="shared" si="5"/>
        <v>0</v>
      </c>
    </row>
    <row r="197" spans="1:4" x14ac:dyDescent="0.25">
      <c r="A197" s="8"/>
      <c r="B197" s="9"/>
      <c r="C197" s="10"/>
      <c r="D197" s="10">
        <f t="shared" si="5"/>
        <v>0</v>
      </c>
    </row>
    <row r="198" spans="1:4" x14ac:dyDescent="0.25">
      <c r="A198" s="8"/>
      <c r="B198" s="9"/>
      <c r="C198" s="10"/>
      <c r="D198" s="10">
        <f t="shared" si="5"/>
        <v>0</v>
      </c>
    </row>
    <row r="199" spans="1:4" x14ac:dyDescent="0.25">
      <c r="A199" s="8"/>
      <c r="B199" s="9"/>
      <c r="C199" s="10"/>
      <c r="D199" s="10">
        <f t="shared" si="5"/>
        <v>0</v>
      </c>
    </row>
    <row r="200" spans="1:4" x14ac:dyDescent="0.25">
      <c r="A200" s="8"/>
      <c r="B200" s="9"/>
      <c r="C200" s="10"/>
      <c r="D200" s="10">
        <f t="shared" si="5"/>
        <v>0</v>
      </c>
    </row>
    <row r="201" spans="1:4" x14ac:dyDescent="0.25">
      <c r="A201" s="8"/>
      <c r="B201" s="9"/>
      <c r="C201" s="10"/>
      <c r="D201" s="10">
        <f t="shared" si="5"/>
        <v>0</v>
      </c>
    </row>
    <row r="202" spans="1:4" x14ac:dyDescent="0.25">
      <c r="A202" s="8"/>
      <c r="B202" s="9"/>
      <c r="C202" s="10"/>
      <c r="D202" s="10">
        <f t="shared" si="5"/>
        <v>0</v>
      </c>
    </row>
    <row r="203" spans="1:4" x14ac:dyDescent="0.25">
      <c r="A203" s="9"/>
      <c r="B203" s="9"/>
      <c r="C203" s="10"/>
      <c r="D203" s="10">
        <f t="shared" si="5"/>
        <v>0</v>
      </c>
    </row>
    <row r="204" spans="1:4" x14ac:dyDescent="0.25">
      <c r="A204" s="9"/>
      <c r="B204" s="9"/>
      <c r="C204" s="10"/>
      <c r="D204" s="10">
        <f t="shared" si="5"/>
        <v>0</v>
      </c>
    </row>
    <row r="205" spans="1:4" x14ac:dyDescent="0.25">
      <c r="A205" s="9"/>
      <c r="B205" s="9"/>
      <c r="C205" s="10"/>
      <c r="D205" s="10"/>
    </row>
    <row r="206" spans="1:4" x14ac:dyDescent="0.25">
      <c r="A206" s="9"/>
      <c r="B206" s="9"/>
      <c r="C206" s="10"/>
      <c r="D206" s="10"/>
    </row>
  </sheetData>
  <mergeCells count="2">
    <mergeCell ref="A4:D4"/>
    <mergeCell ref="B6:D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31FB-5D53-4720-9F73-95ADAD678D46}">
  <dimension ref="A4:G183"/>
  <sheetViews>
    <sheetView topLeftCell="A4" workbookViewId="0">
      <selection activeCell="D38" sqref="D38"/>
    </sheetView>
  </sheetViews>
  <sheetFormatPr baseColWidth="10" defaultRowHeight="15" x14ac:dyDescent="0.25"/>
  <cols>
    <col min="1" max="1" width="28.28515625" customWidth="1"/>
    <col min="2" max="2" width="27.140625" customWidth="1"/>
    <col min="3" max="3" width="23.42578125" style="6" customWidth="1"/>
    <col min="4" max="4" width="21.85546875" style="6" customWidth="1"/>
  </cols>
  <sheetData>
    <row r="4" spans="1:7" ht="18" x14ac:dyDescent="0.25">
      <c r="A4" s="98" t="s">
        <v>0</v>
      </c>
      <c r="B4" s="98"/>
      <c r="C4" s="98"/>
      <c r="D4" s="98"/>
      <c r="E4" s="1"/>
      <c r="F4" s="1"/>
      <c r="G4" s="1"/>
    </row>
    <row r="6" spans="1:7" x14ac:dyDescent="0.25">
      <c r="A6" s="2" t="s">
        <v>1</v>
      </c>
      <c r="B6" s="96" t="s">
        <v>81</v>
      </c>
      <c r="C6" s="97"/>
      <c r="D6" s="97"/>
    </row>
    <row r="7" spans="1:7" x14ac:dyDescent="0.25">
      <c r="A7" s="3" t="s">
        <v>11</v>
      </c>
      <c r="B7" s="4" t="s">
        <v>27</v>
      </c>
      <c r="C7" s="4"/>
      <c r="D7" s="4"/>
    </row>
    <row r="8" spans="1:7" x14ac:dyDescent="0.25">
      <c r="B8" s="5"/>
    </row>
    <row r="9" spans="1:7" x14ac:dyDescent="0.25">
      <c r="A9" s="2" t="s">
        <v>2</v>
      </c>
      <c r="B9" s="2" t="s">
        <v>3</v>
      </c>
      <c r="C9" s="7" t="s">
        <v>4</v>
      </c>
      <c r="D9" s="7" t="s">
        <v>5</v>
      </c>
    </row>
    <row r="10" spans="1:7" x14ac:dyDescent="0.25">
      <c r="A10" s="8">
        <v>45869</v>
      </c>
      <c r="B10" s="9" t="s">
        <v>3</v>
      </c>
      <c r="C10" s="10">
        <v>4820</v>
      </c>
      <c r="D10" s="10">
        <f>C10</f>
        <v>4820</v>
      </c>
    </row>
    <row r="11" spans="1:7" x14ac:dyDescent="0.25">
      <c r="A11" s="8">
        <v>45871</v>
      </c>
      <c r="B11" s="9" t="s">
        <v>7</v>
      </c>
      <c r="C11" s="10">
        <v>-4810</v>
      </c>
      <c r="D11" s="10">
        <f>D10+C11</f>
        <v>10</v>
      </c>
    </row>
    <row r="12" spans="1:7" x14ac:dyDescent="0.25">
      <c r="A12" s="8">
        <v>45876</v>
      </c>
      <c r="B12" s="9" t="s">
        <v>81</v>
      </c>
      <c r="C12" s="10">
        <v>5770</v>
      </c>
      <c r="D12" s="10">
        <f t="shared" ref="D12:D28" si="0">D11+C12</f>
        <v>5780</v>
      </c>
    </row>
    <row r="13" spans="1:7" x14ac:dyDescent="0.25">
      <c r="A13" s="8">
        <v>45886</v>
      </c>
      <c r="B13" s="9" t="s">
        <v>44</v>
      </c>
      <c r="C13" s="10">
        <v>-5770</v>
      </c>
      <c r="D13" s="10">
        <f t="shared" si="0"/>
        <v>10</v>
      </c>
    </row>
    <row r="14" spans="1:7" x14ac:dyDescent="0.25">
      <c r="A14" s="8">
        <v>45887</v>
      </c>
      <c r="B14" s="9" t="s">
        <v>3</v>
      </c>
      <c r="C14" s="10">
        <v>1560</v>
      </c>
      <c r="D14" s="10">
        <f t="shared" si="0"/>
        <v>1570</v>
      </c>
    </row>
    <row r="15" spans="1:7" x14ac:dyDescent="0.25">
      <c r="A15" s="8">
        <v>45889</v>
      </c>
      <c r="B15" s="9" t="s">
        <v>44</v>
      </c>
      <c r="C15" s="10">
        <v>-1570</v>
      </c>
      <c r="D15" s="10">
        <f t="shared" si="0"/>
        <v>0</v>
      </c>
    </row>
    <row r="16" spans="1:7" x14ac:dyDescent="0.25">
      <c r="A16" s="8">
        <v>45908</v>
      </c>
      <c r="B16" s="9" t="s">
        <v>3</v>
      </c>
      <c r="C16" s="10">
        <v>2080</v>
      </c>
      <c r="D16" s="10">
        <f>C16</f>
        <v>2080</v>
      </c>
    </row>
    <row r="17" spans="1:4" x14ac:dyDescent="0.25">
      <c r="A17" s="8">
        <v>45908</v>
      </c>
      <c r="B17" s="9" t="s">
        <v>74</v>
      </c>
      <c r="C17" s="10">
        <v>-2080</v>
      </c>
      <c r="D17" s="10">
        <f t="shared" ref="D17" si="1">C17</f>
        <v>-2080</v>
      </c>
    </row>
    <row r="18" spans="1:4" x14ac:dyDescent="0.25">
      <c r="A18" s="8">
        <v>45915</v>
      </c>
      <c r="B18" s="9" t="s">
        <v>3</v>
      </c>
      <c r="C18" s="10">
        <v>2470</v>
      </c>
      <c r="D18" s="10">
        <f>C18</f>
        <v>2470</v>
      </c>
    </row>
    <row r="19" spans="1:4" x14ac:dyDescent="0.25">
      <c r="A19" s="8">
        <v>45916</v>
      </c>
      <c r="B19" s="9" t="s">
        <v>44</v>
      </c>
      <c r="C19" s="10">
        <v>-2470</v>
      </c>
      <c r="D19" s="10">
        <f>D18+C19</f>
        <v>0</v>
      </c>
    </row>
    <row r="20" spans="1:4" x14ac:dyDescent="0.25">
      <c r="A20" s="8">
        <v>45922</v>
      </c>
      <c r="B20" s="9" t="s">
        <v>3</v>
      </c>
      <c r="C20" s="10">
        <v>960</v>
      </c>
      <c r="D20" s="10">
        <f t="shared" si="0"/>
        <v>960</v>
      </c>
    </row>
    <row r="21" spans="1:4" x14ac:dyDescent="0.25">
      <c r="A21" s="8">
        <v>45922</v>
      </c>
      <c r="B21" s="9" t="s">
        <v>92</v>
      </c>
      <c r="C21" s="10">
        <v>-960</v>
      </c>
      <c r="D21" s="10">
        <f t="shared" si="0"/>
        <v>0</v>
      </c>
    </row>
    <row r="22" spans="1:4" x14ac:dyDescent="0.25">
      <c r="A22" s="8">
        <v>45936</v>
      </c>
      <c r="B22" s="9" t="s">
        <v>3</v>
      </c>
      <c r="C22" s="10">
        <v>1400</v>
      </c>
      <c r="D22" s="10">
        <f>D21+C22</f>
        <v>1400</v>
      </c>
    </row>
    <row r="23" spans="1:4" x14ac:dyDescent="0.25">
      <c r="A23" s="8">
        <v>45936</v>
      </c>
      <c r="B23" s="9" t="s">
        <v>178</v>
      </c>
      <c r="C23" s="10">
        <v>-1400</v>
      </c>
      <c r="D23" s="10">
        <f t="shared" si="0"/>
        <v>0</v>
      </c>
    </row>
    <row r="24" spans="1:4" x14ac:dyDescent="0.25">
      <c r="A24" s="8"/>
      <c r="B24" s="9"/>
      <c r="C24" s="10"/>
      <c r="D24" s="10">
        <f t="shared" si="0"/>
        <v>0</v>
      </c>
    </row>
    <row r="25" spans="1:4" x14ac:dyDescent="0.25">
      <c r="A25" s="8"/>
      <c r="B25" s="9"/>
      <c r="C25" s="10"/>
      <c r="D25" s="10">
        <f t="shared" si="0"/>
        <v>0</v>
      </c>
    </row>
    <row r="26" spans="1:4" x14ac:dyDescent="0.25">
      <c r="A26" s="8"/>
      <c r="B26" s="9"/>
      <c r="C26" s="10"/>
      <c r="D26" s="10">
        <f t="shared" si="0"/>
        <v>0</v>
      </c>
    </row>
    <row r="27" spans="1:4" x14ac:dyDescent="0.25">
      <c r="A27" s="8"/>
      <c r="B27" s="9"/>
      <c r="C27" s="10"/>
      <c r="D27" s="10">
        <f t="shared" si="0"/>
        <v>0</v>
      </c>
    </row>
    <row r="28" spans="1:4" x14ac:dyDescent="0.25">
      <c r="A28" s="8"/>
      <c r="B28" s="9"/>
      <c r="C28" s="10"/>
      <c r="D28" s="10">
        <f t="shared" si="0"/>
        <v>0</v>
      </c>
    </row>
    <row r="29" spans="1:4" x14ac:dyDescent="0.25">
      <c r="A29" s="8"/>
      <c r="B29" s="9"/>
      <c r="C29" s="10"/>
      <c r="D29" s="10"/>
    </row>
    <row r="30" spans="1:4" x14ac:dyDescent="0.25">
      <c r="A30" s="8"/>
      <c r="B30" s="9"/>
      <c r="C30" s="10"/>
      <c r="D30" s="10"/>
    </row>
    <row r="31" spans="1:4" x14ac:dyDescent="0.25">
      <c r="A31" s="8"/>
      <c r="B31" s="9"/>
      <c r="C31" s="10"/>
      <c r="D31" s="10"/>
    </row>
    <row r="32" spans="1:4" x14ac:dyDescent="0.25">
      <c r="A32" s="8"/>
      <c r="B32" s="9"/>
      <c r="C32" s="10"/>
      <c r="D32" s="10"/>
    </row>
    <row r="33" spans="1:4" x14ac:dyDescent="0.25">
      <c r="A33" s="8"/>
      <c r="B33" s="9"/>
      <c r="C33" s="10"/>
      <c r="D33" s="10"/>
    </row>
    <row r="34" spans="1:4" x14ac:dyDescent="0.25">
      <c r="A34" s="8"/>
      <c r="B34" s="9"/>
      <c r="C34" s="10"/>
      <c r="D34" s="10"/>
    </row>
    <row r="35" spans="1:4" x14ac:dyDescent="0.25">
      <c r="A35" s="8"/>
      <c r="B35" s="9"/>
      <c r="C35" s="10"/>
      <c r="D35" s="10"/>
    </row>
    <row r="36" spans="1:4" x14ac:dyDescent="0.25">
      <c r="A36" s="8"/>
      <c r="B36" s="9"/>
      <c r="C36" s="10"/>
      <c r="D36" s="10"/>
    </row>
    <row r="37" spans="1:4" x14ac:dyDescent="0.25">
      <c r="A37" s="8"/>
      <c r="B37" s="9"/>
      <c r="C37" s="10"/>
      <c r="D37" s="10"/>
    </row>
    <row r="38" spans="1:4" x14ac:dyDescent="0.25">
      <c r="A38" s="8"/>
      <c r="B38" s="9"/>
      <c r="C38" s="10"/>
      <c r="D38" s="10"/>
    </row>
    <row r="39" spans="1:4" x14ac:dyDescent="0.25">
      <c r="A39" s="8"/>
      <c r="B39" s="9"/>
      <c r="C39" s="10"/>
      <c r="D39" s="10"/>
    </row>
    <row r="40" spans="1:4" x14ac:dyDescent="0.25">
      <c r="A40" s="8"/>
      <c r="B40" s="9"/>
      <c r="C40" s="10"/>
      <c r="D40" s="10"/>
    </row>
    <row r="41" spans="1:4" x14ac:dyDescent="0.25">
      <c r="A41" s="8"/>
      <c r="B41" s="9"/>
      <c r="C41" s="10"/>
      <c r="D41" s="10"/>
    </row>
    <row r="42" spans="1:4" x14ac:dyDescent="0.25">
      <c r="A42" s="8"/>
      <c r="B42" s="9"/>
      <c r="C42" s="10"/>
      <c r="D42" s="10"/>
    </row>
    <row r="43" spans="1:4" x14ac:dyDescent="0.25">
      <c r="A43" s="8"/>
      <c r="B43" s="9"/>
      <c r="C43" s="10"/>
      <c r="D43" s="10"/>
    </row>
    <row r="44" spans="1:4" x14ac:dyDescent="0.25">
      <c r="A44" s="8"/>
      <c r="B44" s="9"/>
      <c r="C44" s="10"/>
      <c r="D44" s="10"/>
    </row>
    <row r="45" spans="1:4" x14ac:dyDescent="0.25">
      <c r="A45" s="8"/>
      <c r="B45" s="9"/>
      <c r="C45" s="10"/>
      <c r="D45" s="10"/>
    </row>
    <row r="46" spans="1:4" x14ac:dyDescent="0.25">
      <c r="A46" s="8"/>
      <c r="B46" s="9"/>
      <c r="C46" s="10"/>
      <c r="D46" s="10"/>
    </row>
    <row r="47" spans="1:4" x14ac:dyDescent="0.25">
      <c r="A47" s="8"/>
      <c r="B47" s="9"/>
      <c r="C47" s="10"/>
      <c r="D47" s="10"/>
    </row>
    <row r="48" spans="1:4" x14ac:dyDescent="0.25">
      <c r="A48" s="8"/>
      <c r="B48" s="9"/>
      <c r="C48" s="10"/>
      <c r="D48" s="10"/>
    </row>
    <row r="49" spans="1:4" x14ac:dyDescent="0.25">
      <c r="A49" s="8"/>
      <c r="B49" s="9"/>
      <c r="C49" s="10"/>
      <c r="D49" s="10"/>
    </row>
    <row r="50" spans="1:4" x14ac:dyDescent="0.25">
      <c r="A50" s="8"/>
      <c r="B50" s="9"/>
      <c r="C50" s="10"/>
      <c r="D50" s="10"/>
    </row>
    <row r="51" spans="1:4" x14ac:dyDescent="0.25">
      <c r="A51" s="8"/>
      <c r="B51" s="9"/>
      <c r="C51" s="10"/>
      <c r="D51" s="10"/>
    </row>
    <row r="52" spans="1:4" x14ac:dyDescent="0.25">
      <c r="A52" s="8"/>
      <c r="B52" s="9"/>
      <c r="C52" s="10"/>
      <c r="D52" s="10"/>
    </row>
    <row r="53" spans="1:4" x14ac:dyDescent="0.25">
      <c r="A53" s="8"/>
      <c r="B53" s="9"/>
      <c r="C53" s="10"/>
      <c r="D53" s="10"/>
    </row>
    <row r="54" spans="1:4" x14ac:dyDescent="0.25">
      <c r="A54" s="8"/>
      <c r="B54" s="9"/>
      <c r="C54" s="10"/>
      <c r="D54" s="10"/>
    </row>
    <row r="55" spans="1:4" x14ac:dyDescent="0.25">
      <c r="A55" s="8"/>
      <c r="B55" s="9"/>
      <c r="C55" s="10"/>
      <c r="D55" s="10"/>
    </row>
    <row r="56" spans="1:4" x14ac:dyDescent="0.25">
      <c r="A56" s="8"/>
      <c r="B56" s="9"/>
      <c r="C56" s="10"/>
      <c r="D56" s="10"/>
    </row>
    <row r="57" spans="1:4" x14ac:dyDescent="0.25">
      <c r="A57" s="8"/>
      <c r="B57" s="9"/>
      <c r="C57" s="10"/>
      <c r="D57" s="10"/>
    </row>
    <row r="58" spans="1:4" x14ac:dyDescent="0.25">
      <c r="A58" s="8"/>
      <c r="B58" s="9"/>
      <c r="C58" s="10"/>
      <c r="D58" s="10"/>
    </row>
    <row r="59" spans="1:4" x14ac:dyDescent="0.25">
      <c r="A59" s="8"/>
      <c r="B59" s="9"/>
      <c r="C59" s="10"/>
      <c r="D59" s="10"/>
    </row>
    <row r="60" spans="1:4" x14ac:dyDescent="0.25">
      <c r="A60" s="8"/>
      <c r="B60" s="9"/>
      <c r="C60" s="10"/>
      <c r="D60" s="10"/>
    </row>
    <row r="61" spans="1:4" x14ac:dyDescent="0.25">
      <c r="A61" s="8"/>
      <c r="B61" s="9"/>
      <c r="C61" s="10"/>
      <c r="D61" s="10"/>
    </row>
    <row r="62" spans="1:4" x14ac:dyDescent="0.25">
      <c r="A62" s="8"/>
      <c r="B62" s="9"/>
      <c r="C62" s="10"/>
      <c r="D62" s="10"/>
    </row>
    <row r="63" spans="1:4" x14ac:dyDescent="0.25">
      <c r="A63" s="8"/>
      <c r="B63" s="9"/>
      <c r="C63" s="10"/>
      <c r="D63" s="10"/>
    </row>
    <row r="64" spans="1:4" x14ac:dyDescent="0.25">
      <c r="A64" s="8"/>
      <c r="B64" s="9"/>
      <c r="C64" s="10"/>
      <c r="D64" s="10"/>
    </row>
    <row r="65" spans="1:4" x14ac:dyDescent="0.25">
      <c r="A65" s="8"/>
      <c r="B65" s="9"/>
      <c r="C65" s="10"/>
      <c r="D65" s="10"/>
    </row>
    <row r="66" spans="1:4" x14ac:dyDescent="0.25">
      <c r="A66" s="8"/>
      <c r="B66" s="9"/>
      <c r="C66" s="10"/>
      <c r="D66" s="10"/>
    </row>
    <row r="67" spans="1:4" x14ac:dyDescent="0.25">
      <c r="A67" s="8"/>
      <c r="B67" s="9"/>
      <c r="C67" s="10"/>
      <c r="D67" s="10"/>
    </row>
    <row r="68" spans="1:4" x14ac:dyDescent="0.25">
      <c r="A68" s="8"/>
      <c r="B68" s="9"/>
      <c r="C68" s="10"/>
      <c r="D68" s="10"/>
    </row>
    <row r="69" spans="1:4" x14ac:dyDescent="0.25">
      <c r="A69" s="8"/>
      <c r="B69" s="9"/>
      <c r="C69" s="10"/>
      <c r="D69" s="10"/>
    </row>
    <row r="70" spans="1:4" x14ac:dyDescent="0.25">
      <c r="A70" s="9"/>
      <c r="B70" s="9"/>
      <c r="C70" s="10"/>
      <c r="D70" s="10"/>
    </row>
    <row r="71" spans="1:4" x14ac:dyDescent="0.25">
      <c r="A71" s="9"/>
      <c r="B71" s="9"/>
      <c r="C71" s="10"/>
      <c r="D71" s="10"/>
    </row>
    <row r="72" spans="1:4" x14ac:dyDescent="0.25">
      <c r="A72" s="9"/>
      <c r="B72" s="9"/>
      <c r="C72" s="10"/>
      <c r="D72" s="10"/>
    </row>
    <row r="73" spans="1:4" x14ac:dyDescent="0.25">
      <c r="A73" s="9"/>
      <c r="B73" s="9"/>
      <c r="C73" s="10"/>
      <c r="D73" s="10"/>
    </row>
    <row r="74" spans="1:4" x14ac:dyDescent="0.25">
      <c r="A74" s="9"/>
      <c r="B74" s="9"/>
      <c r="C74" s="10"/>
      <c r="D74" s="10"/>
    </row>
    <row r="75" spans="1:4" x14ac:dyDescent="0.25">
      <c r="A75" s="9"/>
      <c r="B75" s="9"/>
      <c r="C75" s="10"/>
      <c r="D75" s="10"/>
    </row>
    <row r="76" spans="1:4" x14ac:dyDescent="0.25">
      <c r="A76" s="9"/>
      <c r="B76" s="9"/>
      <c r="C76" s="10"/>
      <c r="D76" s="10"/>
    </row>
    <row r="77" spans="1:4" x14ac:dyDescent="0.25">
      <c r="A77" s="9"/>
      <c r="B77" s="9"/>
      <c r="C77" s="10"/>
      <c r="D77" s="10"/>
    </row>
    <row r="78" spans="1:4" x14ac:dyDescent="0.25">
      <c r="A78" s="9"/>
      <c r="B78" s="9"/>
      <c r="C78" s="10"/>
      <c r="D78" s="10"/>
    </row>
    <row r="79" spans="1:4" x14ac:dyDescent="0.25">
      <c r="A79" s="9"/>
      <c r="B79" s="9"/>
      <c r="C79" s="10"/>
      <c r="D79" s="10"/>
    </row>
    <row r="80" spans="1:4" x14ac:dyDescent="0.25">
      <c r="A80" s="9"/>
      <c r="B80" s="9"/>
      <c r="C80" s="10"/>
      <c r="D80" s="10"/>
    </row>
    <row r="81" spans="1:4" x14ac:dyDescent="0.25">
      <c r="A81" s="9"/>
      <c r="B81" s="9"/>
      <c r="C81" s="10"/>
      <c r="D81" s="10"/>
    </row>
    <row r="82" spans="1:4" x14ac:dyDescent="0.25">
      <c r="A82" s="9"/>
      <c r="B82" s="9"/>
      <c r="C82" s="10"/>
      <c r="D82" s="10"/>
    </row>
    <row r="83" spans="1:4" x14ac:dyDescent="0.25">
      <c r="A83" s="9"/>
      <c r="B83" s="9"/>
      <c r="C83" s="10"/>
      <c r="D83" s="10"/>
    </row>
    <row r="84" spans="1:4" x14ac:dyDescent="0.25">
      <c r="A84" s="9"/>
      <c r="B84" s="9"/>
      <c r="C84" s="10"/>
      <c r="D84" s="10"/>
    </row>
    <row r="85" spans="1:4" x14ac:dyDescent="0.25">
      <c r="A85" s="9"/>
      <c r="B85" s="9"/>
      <c r="C85" s="10"/>
      <c r="D85" s="10"/>
    </row>
    <row r="86" spans="1:4" x14ac:dyDescent="0.25">
      <c r="A86" s="9"/>
      <c r="B86" s="9"/>
      <c r="C86" s="10"/>
      <c r="D86" s="10"/>
    </row>
    <row r="87" spans="1:4" x14ac:dyDescent="0.25">
      <c r="A87" s="9"/>
      <c r="B87" s="9"/>
      <c r="C87" s="10"/>
      <c r="D87" s="10"/>
    </row>
    <row r="88" spans="1:4" x14ac:dyDescent="0.25">
      <c r="A88" s="9"/>
      <c r="B88" s="9"/>
      <c r="C88" s="10"/>
      <c r="D88" s="10"/>
    </row>
    <row r="89" spans="1:4" x14ac:dyDescent="0.25">
      <c r="A89" s="9"/>
      <c r="B89" s="9"/>
      <c r="C89" s="10"/>
      <c r="D89" s="10"/>
    </row>
    <row r="90" spans="1:4" x14ac:dyDescent="0.25">
      <c r="A90" s="9"/>
      <c r="B90" s="9"/>
      <c r="C90" s="10"/>
      <c r="D90" s="10"/>
    </row>
    <row r="91" spans="1:4" x14ac:dyDescent="0.25">
      <c r="A91" s="9"/>
      <c r="B91" s="9"/>
      <c r="C91" s="10"/>
      <c r="D91" s="10"/>
    </row>
    <row r="92" spans="1:4" x14ac:dyDescent="0.25">
      <c r="A92" s="9"/>
      <c r="B92" s="9"/>
      <c r="C92" s="10"/>
      <c r="D92" s="10"/>
    </row>
    <row r="93" spans="1:4" x14ac:dyDescent="0.25">
      <c r="A93" s="9"/>
      <c r="B93" s="9"/>
      <c r="C93" s="10"/>
      <c r="D93" s="10"/>
    </row>
    <row r="94" spans="1:4" x14ac:dyDescent="0.25">
      <c r="A94" s="9"/>
      <c r="B94" s="9"/>
      <c r="C94" s="10"/>
      <c r="D94" s="10"/>
    </row>
    <row r="95" spans="1:4" x14ac:dyDescent="0.25">
      <c r="A95" s="9"/>
      <c r="B95" s="9"/>
      <c r="C95" s="10"/>
      <c r="D95" s="10"/>
    </row>
    <row r="96" spans="1:4" x14ac:dyDescent="0.25">
      <c r="A96" s="9"/>
      <c r="B96" s="9"/>
      <c r="C96" s="10"/>
      <c r="D96" s="10"/>
    </row>
    <row r="97" spans="1:4" x14ac:dyDescent="0.25">
      <c r="A97" s="9"/>
      <c r="B97" s="9"/>
      <c r="C97" s="10"/>
      <c r="D97" s="10"/>
    </row>
    <row r="98" spans="1:4" x14ac:dyDescent="0.25">
      <c r="A98" s="9"/>
      <c r="B98" s="9"/>
      <c r="C98" s="10"/>
      <c r="D98" s="10"/>
    </row>
    <row r="99" spans="1:4" x14ac:dyDescent="0.25">
      <c r="A99" s="9"/>
      <c r="B99" s="9"/>
      <c r="C99" s="10"/>
      <c r="D99" s="10"/>
    </row>
    <row r="100" spans="1:4" x14ac:dyDescent="0.25">
      <c r="A100" s="9"/>
      <c r="B100" s="9"/>
      <c r="C100" s="10"/>
      <c r="D100" s="10"/>
    </row>
    <row r="101" spans="1:4" x14ac:dyDescent="0.25">
      <c r="A101" s="9"/>
      <c r="B101" s="9"/>
      <c r="C101" s="10"/>
      <c r="D101" s="10"/>
    </row>
    <row r="102" spans="1:4" x14ac:dyDescent="0.25">
      <c r="A102" s="9"/>
      <c r="B102" s="9"/>
      <c r="C102" s="10"/>
      <c r="D102" s="10"/>
    </row>
    <row r="103" spans="1:4" x14ac:dyDescent="0.25">
      <c r="A103" s="9"/>
      <c r="B103" s="9"/>
      <c r="C103" s="10"/>
      <c r="D103" s="10"/>
    </row>
    <row r="104" spans="1:4" x14ac:dyDescent="0.25">
      <c r="A104" s="9"/>
      <c r="B104" s="9"/>
      <c r="C104" s="10"/>
      <c r="D104" s="10"/>
    </row>
    <row r="105" spans="1:4" x14ac:dyDescent="0.25">
      <c r="A105" s="9"/>
      <c r="B105" s="9"/>
      <c r="C105" s="10"/>
      <c r="D105" s="10"/>
    </row>
    <row r="106" spans="1:4" x14ac:dyDescent="0.25">
      <c r="A106" s="9"/>
      <c r="B106" s="9"/>
      <c r="C106" s="10"/>
      <c r="D106" s="10"/>
    </row>
    <row r="107" spans="1:4" x14ac:dyDescent="0.25">
      <c r="A107" s="9"/>
      <c r="B107" s="9"/>
      <c r="C107" s="10"/>
      <c r="D107" s="10"/>
    </row>
    <row r="108" spans="1:4" x14ac:dyDescent="0.25">
      <c r="A108" s="9"/>
      <c r="B108" s="9"/>
      <c r="C108" s="10"/>
      <c r="D108" s="10"/>
    </row>
    <row r="109" spans="1:4" x14ac:dyDescent="0.25">
      <c r="A109" s="9"/>
      <c r="B109" s="9"/>
      <c r="C109" s="10"/>
      <c r="D109" s="10"/>
    </row>
    <row r="110" spans="1:4" x14ac:dyDescent="0.25">
      <c r="A110" s="9"/>
      <c r="B110" s="9"/>
      <c r="C110" s="10"/>
      <c r="D110" s="10"/>
    </row>
    <row r="111" spans="1:4" x14ac:dyDescent="0.25">
      <c r="A111" s="9"/>
      <c r="B111" s="9"/>
      <c r="C111" s="10"/>
      <c r="D111" s="10"/>
    </row>
    <row r="112" spans="1:4" x14ac:dyDescent="0.25">
      <c r="A112" s="9"/>
      <c r="B112" s="9"/>
      <c r="C112" s="10"/>
      <c r="D112" s="10"/>
    </row>
    <row r="113" spans="1:4" x14ac:dyDescent="0.25">
      <c r="A113" s="9"/>
      <c r="B113" s="9"/>
      <c r="C113" s="10"/>
      <c r="D113" s="10"/>
    </row>
    <row r="114" spans="1:4" x14ac:dyDescent="0.25">
      <c r="A114" s="9"/>
      <c r="B114" s="9"/>
      <c r="C114" s="10"/>
      <c r="D114" s="10"/>
    </row>
    <row r="115" spans="1:4" x14ac:dyDescent="0.25">
      <c r="A115" s="9"/>
      <c r="B115" s="9"/>
      <c r="C115" s="10"/>
      <c r="D115" s="10"/>
    </row>
    <row r="116" spans="1:4" x14ac:dyDescent="0.25">
      <c r="A116" s="9"/>
      <c r="B116" s="9"/>
      <c r="C116" s="10"/>
      <c r="D116" s="10"/>
    </row>
    <row r="117" spans="1:4" x14ac:dyDescent="0.25">
      <c r="A117" s="9"/>
      <c r="B117" s="9"/>
      <c r="C117" s="10"/>
      <c r="D117" s="10"/>
    </row>
    <row r="118" spans="1:4" x14ac:dyDescent="0.25">
      <c r="A118" s="9"/>
      <c r="B118" s="9"/>
      <c r="C118" s="10"/>
      <c r="D118" s="10"/>
    </row>
    <row r="119" spans="1:4" x14ac:dyDescent="0.25">
      <c r="A119" s="9"/>
      <c r="B119" s="9"/>
      <c r="C119" s="10"/>
      <c r="D119" s="10"/>
    </row>
    <row r="120" spans="1:4" x14ac:dyDescent="0.25">
      <c r="A120" s="9"/>
      <c r="B120" s="9"/>
      <c r="C120" s="10"/>
      <c r="D120" s="10"/>
    </row>
    <row r="121" spans="1:4" x14ac:dyDescent="0.25">
      <c r="A121" s="9"/>
      <c r="B121" s="9"/>
      <c r="C121" s="10"/>
      <c r="D121" s="10"/>
    </row>
    <row r="122" spans="1:4" x14ac:dyDescent="0.25">
      <c r="A122" s="9"/>
      <c r="B122" s="9"/>
      <c r="C122" s="10"/>
      <c r="D122" s="10"/>
    </row>
    <row r="123" spans="1:4" x14ac:dyDescent="0.25">
      <c r="A123" s="9"/>
      <c r="B123" s="9"/>
      <c r="C123" s="10"/>
      <c r="D123" s="10"/>
    </row>
    <row r="124" spans="1:4" x14ac:dyDescent="0.25">
      <c r="A124" s="9"/>
      <c r="B124" s="9"/>
      <c r="C124" s="10"/>
      <c r="D124" s="10"/>
    </row>
    <row r="125" spans="1:4" x14ac:dyDescent="0.25">
      <c r="A125" s="9"/>
      <c r="B125" s="9"/>
      <c r="C125" s="10"/>
      <c r="D125" s="10"/>
    </row>
    <row r="126" spans="1:4" x14ac:dyDescent="0.25">
      <c r="A126" s="9"/>
      <c r="B126" s="9"/>
      <c r="C126" s="10"/>
      <c r="D126" s="10"/>
    </row>
    <row r="127" spans="1:4" x14ac:dyDescent="0.25">
      <c r="A127" s="9"/>
      <c r="B127" s="9"/>
      <c r="C127" s="10"/>
      <c r="D127" s="10"/>
    </row>
    <row r="128" spans="1:4" x14ac:dyDescent="0.25">
      <c r="A128" s="9"/>
      <c r="B128" s="9"/>
      <c r="C128" s="10"/>
      <c r="D128" s="10"/>
    </row>
    <row r="129" spans="1:4" x14ac:dyDescent="0.25">
      <c r="A129" s="9"/>
      <c r="B129" s="9"/>
      <c r="C129" s="10"/>
      <c r="D129" s="10"/>
    </row>
    <row r="130" spans="1:4" x14ac:dyDescent="0.25">
      <c r="A130" s="9"/>
      <c r="B130" s="9"/>
      <c r="C130" s="10"/>
      <c r="D130" s="10"/>
    </row>
    <row r="131" spans="1:4" x14ac:dyDescent="0.25">
      <c r="A131" s="9"/>
      <c r="B131" s="9"/>
      <c r="C131" s="10"/>
      <c r="D131" s="10"/>
    </row>
    <row r="132" spans="1:4" x14ac:dyDescent="0.25">
      <c r="A132" s="9"/>
      <c r="B132" s="9"/>
      <c r="C132" s="10"/>
      <c r="D132" s="10"/>
    </row>
    <row r="133" spans="1:4" x14ac:dyDescent="0.25">
      <c r="A133" s="9"/>
      <c r="B133" s="9"/>
      <c r="C133" s="10"/>
      <c r="D133" s="10"/>
    </row>
    <row r="134" spans="1:4" x14ac:dyDescent="0.25">
      <c r="A134" s="9"/>
      <c r="B134" s="9"/>
      <c r="C134" s="10"/>
      <c r="D134" s="10"/>
    </row>
    <row r="135" spans="1:4" x14ac:dyDescent="0.25">
      <c r="A135" s="9"/>
      <c r="B135" s="9"/>
      <c r="C135" s="10"/>
      <c r="D135" s="10"/>
    </row>
    <row r="136" spans="1:4" x14ac:dyDescent="0.25">
      <c r="A136" s="9"/>
      <c r="B136" s="9"/>
      <c r="C136" s="10"/>
      <c r="D136" s="10"/>
    </row>
    <row r="137" spans="1:4" x14ac:dyDescent="0.25">
      <c r="A137" s="9"/>
      <c r="B137" s="9"/>
      <c r="C137" s="10"/>
      <c r="D137" s="10"/>
    </row>
    <row r="138" spans="1:4" x14ac:dyDescent="0.25">
      <c r="A138" s="9"/>
      <c r="B138" s="9"/>
      <c r="C138" s="10"/>
      <c r="D138" s="10"/>
    </row>
    <row r="139" spans="1:4" x14ac:dyDescent="0.25">
      <c r="A139" s="9"/>
      <c r="B139" s="9"/>
      <c r="C139" s="10"/>
      <c r="D139" s="10"/>
    </row>
    <row r="140" spans="1:4" x14ac:dyDescent="0.25">
      <c r="A140" s="9"/>
      <c r="B140" s="9"/>
      <c r="C140" s="10"/>
      <c r="D140" s="10"/>
    </row>
    <row r="141" spans="1:4" x14ac:dyDescent="0.25">
      <c r="A141" s="9"/>
      <c r="B141" s="9"/>
      <c r="C141" s="10"/>
      <c r="D141" s="10"/>
    </row>
    <row r="142" spans="1:4" x14ac:dyDescent="0.25">
      <c r="A142" s="9"/>
      <c r="B142" s="9"/>
      <c r="C142" s="10"/>
      <c r="D142" s="10"/>
    </row>
    <row r="143" spans="1:4" x14ac:dyDescent="0.25">
      <c r="A143" s="9"/>
      <c r="B143" s="9"/>
      <c r="C143" s="10"/>
      <c r="D143" s="10"/>
    </row>
    <row r="144" spans="1:4" x14ac:dyDescent="0.25">
      <c r="A144" s="9"/>
      <c r="B144" s="9"/>
      <c r="C144" s="10"/>
      <c r="D144" s="10"/>
    </row>
    <row r="145" spans="1:4" x14ac:dyDescent="0.25">
      <c r="A145" s="9"/>
      <c r="B145" s="9"/>
      <c r="C145" s="10"/>
      <c r="D145" s="10"/>
    </row>
    <row r="146" spans="1:4" x14ac:dyDescent="0.25">
      <c r="A146" s="9"/>
      <c r="B146" s="9"/>
      <c r="C146" s="10"/>
      <c r="D146" s="10"/>
    </row>
    <row r="147" spans="1:4" x14ac:dyDescent="0.25">
      <c r="A147" s="9"/>
      <c r="B147" s="9"/>
      <c r="C147" s="10"/>
      <c r="D147" s="10"/>
    </row>
    <row r="148" spans="1:4" x14ac:dyDescent="0.25">
      <c r="A148" s="9"/>
      <c r="B148" s="9"/>
      <c r="C148" s="10"/>
      <c r="D148" s="10"/>
    </row>
    <row r="149" spans="1:4" x14ac:dyDescent="0.25">
      <c r="A149" s="9"/>
      <c r="B149" s="9"/>
      <c r="C149" s="10"/>
      <c r="D149" s="10"/>
    </row>
    <row r="150" spans="1:4" x14ac:dyDescent="0.25">
      <c r="A150" s="9"/>
      <c r="B150" s="9"/>
      <c r="C150" s="10"/>
      <c r="D150" s="10"/>
    </row>
    <row r="151" spans="1:4" x14ac:dyDescent="0.25">
      <c r="A151" s="9"/>
      <c r="B151" s="9"/>
      <c r="C151" s="10"/>
      <c r="D151" s="10"/>
    </row>
    <row r="152" spans="1:4" x14ac:dyDescent="0.25">
      <c r="A152" s="9"/>
      <c r="B152" s="9"/>
      <c r="C152" s="10"/>
      <c r="D152" s="10"/>
    </row>
    <row r="153" spans="1:4" x14ac:dyDescent="0.25">
      <c r="A153" s="9"/>
      <c r="B153" s="9"/>
      <c r="C153" s="10"/>
      <c r="D153" s="10"/>
    </row>
    <row r="154" spans="1:4" x14ac:dyDescent="0.25">
      <c r="A154" s="9"/>
      <c r="B154" s="9"/>
      <c r="C154" s="10"/>
      <c r="D154" s="10"/>
    </row>
    <row r="155" spans="1:4" x14ac:dyDescent="0.25">
      <c r="A155" s="9"/>
      <c r="B155" s="9"/>
      <c r="C155" s="10"/>
      <c r="D155" s="10"/>
    </row>
    <row r="156" spans="1:4" x14ac:dyDescent="0.25">
      <c r="A156" s="9"/>
      <c r="B156" s="9"/>
      <c r="C156" s="10"/>
      <c r="D156" s="10"/>
    </row>
    <row r="157" spans="1:4" x14ac:dyDescent="0.25">
      <c r="A157" s="9"/>
      <c r="B157" s="9"/>
      <c r="C157" s="10"/>
      <c r="D157" s="10"/>
    </row>
    <row r="158" spans="1:4" x14ac:dyDescent="0.25">
      <c r="A158" s="9"/>
      <c r="B158" s="9"/>
      <c r="C158" s="10"/>
      <c r="D158" s="10"/>
    </row>
    <row r="159" spans="1:4" x14ac:dyDescent="0.25">
      <c r="A159" s="9"/>
      <c r="B159" s="9"/>
      <c r="C159" s="10"/>
      <c r="D159" s="10"/>
    </row>
    <row r="160" spans="1:4" x14ac:dyDescent="0.25">
      <c r="A160" s="9"/>
      <c r="B160" s="9"/>
      <c r="C160" s="10"/>
      <c r="D160" s="10"/>
    </row>
    <row r="161" spans="1:4" x14ac:dyDescent="0.25">
      <c r="A161" s="9"/>
      <c r="B161" s="9"/>
      <c r="C161" s="10"/>
      <c r="D161" s="10"/>
    </row>
    <row r="162" spans="1:4" x14ac:dyDescent="0.25">
      <c r="A162" s="9"/>
      <c r="B162" s="9"/>
      <c r="C162" s="10"/>
      <c r="D162" s="10"/>
    </row>
    <row r="163" spans="1:4" x14ac:dyDescent="0.25">
      <c r="A163" s="9"/>
      <c r="B163" s="9"/>
      <c r="C163" s="10"/>
      <c r="D163" s="10"/>
    </row>
    <row r="164" spans="1:4" x14ac:dyDescent="0.25">
      <c r="A164" s="9"/>
      <c r="B164" s="9"/>
      <c r="C164" s="10"/>
      <c r="D164" s="10"/>
    </row>
    <row r="165" spans="1:4" x14ac:dyDescent="0.25">
      <c r="A165" s="9"/>
      <c r="B165" s="9"/>
      <c r="C165" s="10"/>
      <c r="D165" s="10"/>
    </row>
    <row r="166" spans="1:4" x14ac:dyDescent="0.25">
      <c r="A166" s="9"/>
      <c r="B166" s="9"/>
      <c r="C166" s="10"/>
      <c r="D166" s="10"/>
    </row>
    <row r="167" spans="1:4" x14ac:dyDescent="0.25">
      <c r="A167" s="9"/>
      <c r="B167" s="9"/>
      <c r="C167" s="10"/>
      <c r="D167" s="10"/>
    </row>
    <row r="168" spans="1:4" x14ac:dyDescent="0.25">
      <c r="A168" s="9"/>
      <c r="B168" s="9"/>
      <c r="C168" s="10"/>
      <c r="D168" s="10"/>
    </row>
    <row r="169" spans="1:4" x14ac:dyDescent="0.25">
      <c r="A169" s="9"/>
      <c r="B169" s="9"/>
      <c r="C169" s="10"/>
      <c r="D169" s="10"/>
    </row>
    <row r="170" spans="1:4" x14ac:dyDescent="0.25">
      <c r="A170" s="9"/>
      <c r="B170" s="9"/>
      <c r="C170" s="10"/>
      <c r="D170" s="10"/>
    </row>
    <row r="171" spans="1:4" x14ac:dyDescent="0.25">
      <c r="A171" s="9"/>
      <c r="B171" s="9"/>
      <c r="C171" s="10"/>
      <c r="D171" s="10"/>
    </row>
    <row r="172" spans="1:4" x14ac:dyDescent="0.25">
      <c r="A172" s="9"/>
      <c r="B172" s="9"/>
      <c r="C172" s="10"/>
      <c r="D172" s="10"/>
    </row>
    <row r="173" spans="1:4" x14ac:dyDescent="0.25">
      <c r="A173" s="9"/>
      <c r="B173" s="9"/>
      <c r="C173" s="10"/>
      <c r="D173" s="10"/>
    </row>
    <row r="174" spans="1:4" x14ac:dyDescent="0.25">
      <c r="A174" s="9"/>
      <c r="B174" s="9"/>
      <c r="C174" s="10"/>
      <c r="D174" s="10"/>
    </row>
    <row r="175" spans="1:4" x14ac:dyDescent="0.25">
      <c r="A175" s="9"/>
      <c r="B175" s="9"/>
      <c r="C175" s="10"/>
      <c r="D175" s="10"/>
    </row>
    <row r="176" spans="1:4" x14ac:dyDescent="0.25">
      <c r="A176" s="9"/>
      <c r="B176" s="9"/>
      <c r="C176" s="10"/>
      <c r="D176" s="10"/>
    </row>
    <row r="177" spans="1:4" x14ac:dyDescent="0.25">
      <c r="A177" s="9"/>
      <c r="B177" s="9"/>
      <c r="C177" s="10"/>
      <c r="D177" s="10"/>
    </row>
    <row r="178" spans="1:4" x14ac:dyDescent="0.25">
      <c r="A178" s="9"/>
      <c r="B178" s="9"/>
      <c r="C178" s="10"/>
      <c r="D178" s="10"/>
    </row>
    <row r="179" spans="1:4" x14ac:dyDescent="0.25">
      <c r="A179" s="9"/>
      <c r="B179" s="9"/>
      <c r="C179" s="10"/>
      <c r="D179" s="10"/>
    </row>
    <row r="180" spans="1:4" x14ac:dyDescent="0.25">
      <c r="A180" s="9"/>
      <c r="B180" s="9"/>
      <c r="C180" s="10"/>
      <c r="D180" s="10"/>
    </row>
    <row r="181" spans="1:4" x14ac:dyDescent="0.25">
      <c r="A181" s="9"/>
      <c r="B181" s="9"/>
      <c r="C181" s="10"/>
      <c r="D181" s="10"/>
    </row>
    <row r="182" spans="1:4" x14ac:dyDescent="0.25">
      <c r="A182" s="9"/>
      <c r="B182" s="9"/>
      <c r="C182" s="10"/>
      <c r="D182" s="10"/>
    </row>
    <row r="183" spans="1:4" x14ac:dyDescent="0.25">
      <c r="A183" s="9"/>
      <c r="B183" s="9"/>
      <c r="C183" s="10"/>
      <c r="D183" s="10"/>
    </row>
  </sheetData>
  <mergeCells count="2">
    <mergeCell ref="A4:D4"/>
    <mergeCell ref="B6:D6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964BA-9420-45E9-B8CB-08B33262CEC6}">
  <dimension ref="A1:G187"/>
  <sheetViews>
    <sheetView topLeftCell="A29" workbookViewId="0">
      <selection activeCell="C53" sqref="C53"/>
    </sheetView>
  </sheetViews>
  <sheetFormatPr baseColWidth="10" defaultRowHeight="15" x14ac:dyDescent="0.25"/>
  <cols>
    <col min="1" max="1" width="28.28515625" customWidth="1"/>
    <col min="2" max="2" width="27.140625" customWidth="1"/>
    <col min="3" max="3" width="23.42578125" style="6" customWidth="1"/>
    <col min="4" max="4" width="21.85546875" style="6" customWidth="1"/>
  </cols>
  <sheetData>
    <row r="1" spans="1:7" x14ac:dyDescent="0.25">
      <c r="A1" s="70"/>
      <c r="B1" s="71"/>
      <c r="C1" s="72"/>
      <c r="D1" s="73"/>
    </row>
    <row r="2" spans="1:7" x14ac:dyDescent="0.25">
      <c r="A2" s="74"/>
      <c r="D2" s="75"/>
    </row>
    <row r="3" spans="1:7" x14ac:dyDescent="0.25">
      <c r="A3" s="74"/>
      <c r="D3" s="75"/>
    </row>
    <row r="4" spans="1:7" ht="18" x14ac:dyDescent="0.25">
      <c r="A4" s="109" t="s">
        <v>0</v>
      </c>
      <c r="B4" s="98"/>
      <c r="C4" s="98"/>
      <c r="D4" s="110"/>
      <c r="E4" s="1"/>
      <c r="F4" s="1"/>
      <c r="G4" s="1"/>
    </row>
    <row r="5" spans="1:7" x14ac:dyDescent="0.25">
      <c r="A5" s="74"/>
      <c r="D5" s="75"/>
    </row>
    <row r="6" spans="1:7" x14ac:dyDescent="0.25">
      <c r="A6" s="76" t="s">
        <v>1</v>
      </c>
      <c r="B6" s="96" t="s">
        <v>111</v>
      </c>
      <c r="C6" s="97"/>
      <c r="D6" s="111"/>
    </row>
    <row r="7" spans="1:7" x14ac:dyDescent="0.25">
      <c r="A7" s="77" t="s">
        <v>11</v>
      </c>
      <c r="B7" s="4" t="s">
        <v>110</v>
      </c>
      <c r="C7" s="4"/>
      <c r="D7" s="78"/>
    </row>
    <row r="8" spans="1:7" x14ac:dyDescent="0.25">
      <c r="A8" s="74"/>
      <c r="B8" s="5"/>
      <c r="D8" s="75"/>
    </row>
    <row r="9" spans="1:7" x14ac:dyDescent="0.25">
      <c r="A9" s="76" t="s">
        <v>2</v>
      </c>
      <c r="B9" s="2" t="s">
        <v>3</v>
      </c>
      <c r="C9" s="7" t="s">
        <v>4</v>
      </c>
      <c r="D9" s="79" t="s">
        <v>5</v>
      </c>
    </row>
    <row r="10" spans="1:7" x14ac:dyDescent="0.25">
      <c r="A10" s="80">
        <v>45869</v>
      </c>
      <c r="B10" s="9" t="s">
        <v>3</v>
      </c>
      <c r="C10" s="10">
        <v>1160</v>
      </c>
      <c r="D10" s="81">
        <f>C10</f>
        <v>1160</v>
      </c>
    </row>
    <row r="11" spans="1:7" x14ac:dyDescent="0.25">
      <c r="A11" s="80">
        <v>45869</v>
      </c>
      <c r="B11" s="9" t="s">
        <v>55</v>
      </c>
      <c r="C11" s="10">
        <v>-1160</v>
      </c>
      <c r="D11" s="81">
        <f>D10+C11</f>
        <v>0</v>
      </c>
    </row>
    <row r="12" spans="1:7" x14ac:dyDescent="0.25">
      <c r="A12" s="80">
        <v>45874</v>
      </c>
      <c r="B12" s="9" t="s">
        <v>3</v>
      </c>
      <c r="C12" s="10">
        <v>360</v>
      </c>
      <c r="D12" s="81">
        <f>D11+C12</f>
        <v>360</v>
      </c>
    </row>
    <row r="13" spans="1:7" x14ac:dyDescent="0.25">
      <c r="A13" s="80">
        <v>45897</v>
      </c>
      <c r="B13" s="9" t="s">
        <v>55</v>
      </c>
      <c r="C13" s="10">
        <v>-360</v>
      </c>
      <c r="D13" s="81">
        <f t="shared" ref="D13:D76" si="0">D12+C13</f>
        <v>0</v>
      </c>
    </row>
    <row r="14" spans="1:7" x14ac:dyDescent="0.25">
      <c r="A14" s="80">
        <v>45925</v>
      </c>
      <c r="B14" s="9" t="s">
        <v>3</v>
      </c>
      <c r="C14" s="10">
        <v>590</v>
      </c>
      <c r="D14" s="81">
        <f t="shared" si="0"/>
        <v>590</v>
      </c>
    </row>
    <row r="15" spans="1:7" x14ac:dyDescent="0.25">
      <c r="A15" s="80">
        <v>45925</v>
      </c>
      <c r="B15" s="9" t="s">
        <v>55</v>
      </c>
      <c r="C15" s="10">
        <v>-590</v>
      </c>
      <c r="D15" s="81">
        <f t="shared" si="0"/>
        <v>0</v>
      </c>
    </row>
    <row r="16" spans="1:7" x14ac:dyDescent="0.25">
      <c r="A16" s="80">
        <v>45902</v>
      </c>
      <c r="B16" s="9" t="s">
        <v>3</v>
      </c>
      <c r="C16" s="10">
        <v>590</v>
      </c>
      <c r="D16" s="81">
        <f>D15+C16</f>
        <v>590</v>
      </c>
    </row>
    <row r="17" spans="1:4" x14ac:dyDescent="0.25">
      <c r="A17" s="80">
        <v>45902</v>
      </c>
      <c r="B17" s="9" t="s">
        <v>55</v>
      </c>
      <c r="C17" s="10">
        <v>-590</v>
      </c>
      <c r="D17" s="81">
        <f>D16+C17</f>
        <v>0</v>
      </c>
    </row>
    <row r="18" spans="1:4" x14ac:dyDescent="0.25">
      <c r="A18" s="80">
        <v>45946</v>
      </c>
      <c r="B18" s="9" t="s">
        <v>3</v>
      </c>
      <c r="C18" s="10">
        <v>990</v>
      </c>
      <c r="D18" s="81">
        <f t="shared" si="0"/>
        <v>990</v>
      </c>
    </row>
    <row r="19" spans="1:4" x14ac:dyDescent="0.25">
      <c r="A19" s="80">
        <v>45946</v>
      </c>
      <c r="B19" s="9" t="s">
        <v>201</v>
      </c>
      <c r="C19" s="10">
        <v>-990</v>
      </c>
      <c r="D19" s="81">
        <f t="shared" si="0"/>
        <v>0</v>
      </c>
    </row>
    <row r="20" spans="1:4" x14ac:dyDescent="0.25">
      <c r="A20" s="80">
        <v>45953</v>
      </c>
      <c r="B20" s="9" t="s">
        <v>3</v>
      </c>
      <c r="C20" s="10">
        <v>590</v>
      </c>
      <c r="D20" s="81">
        <f t="shared" si="0"/>
        <v>590</v>
      </c>
    </row>
    <row r="21" spans="1:4" x14ac:dyDescent="0.25">
      <c r="A21" s="80">
        <v>45953</v>
      </c>
      <c r="B21" s="9" t="s">
        <v>201</v>
      </c>
      <c r="C21" s="10">
        <v>-590</v>
      </c>
      <c r="D21" s="81">
        <f t="shared" si="0"/>
        <v>0</v>
      </c>
    </row>
    <row r="22" spans="1:4" x14ac:dyDescent="0.25">
      <c r="A22" s="80">
        <v>45958</v>
      </c>
      <c r="B22" s="9" t="s">
        <v>3</v>
      </c>
      <c r="C22" s="10">
        <v>1710</v>
      </c>
      <c r="D22" s="81">
        <f t="shared" si="0"/>
        <v>1710</v>
      </c>
    </row>
    <row r="23" spans="1:4" x14ac:dyDescent="0.25">
      <c r="A23" s="80">
        <v>45958</v>
      </c>
      <c r="B23" s="9" t="s">
        <v>201</v>
      </c>
      <c r="C23" s="10">
        <v>-1710</v>
      </c>
      <c r="D23" s="81">
        <f t="shared" si="0"/>
        <v>0</v>
      </c>
    </row>
    <row r="24" spans="1:4" x14ac:dyDescent="0.25">
      <c r="A24" s="80">
        <v>46030</v>
      </c>
      <c r="B24" s="9" t="s">
        <v>3</v>
      </c>
      <c r="C24" s="10">
        <v>3860</v>
      </c>
      <c r="D24" s="81">
        <f t="shared" si="0"/>
        <v>3860</v>
      </c>
    </row>
    <row r="25" spans="1:4" x14ac:dyDescent="0.25">
      <c r="A25" s="80">
        <v>46030</v>
      </c>
      <c r="B25" s="9" t="s">
        <v>201</v>
      </c>
      <c r="C25" s="10">
        <v>-3860</v>
      </c>
      <c r="D25" s="81">
        <f>D24+C25</f>
        <v>0</v>
      </c>
    </row>
    <row r="26" spans="1:4" x14ac:dyDescent="0.25">
      <c r="A26" s="80">
        <v>46037</v>
      </c>
      <c r="B26" s="9" t="s">
        <v>3</v>
      </c>
      <c r="C26" s="10">
        <v>1380</v>
      </c>
      <c r="D26" s="81">
        <f t="shared" si="0"/>
        <v>1380</v>
      </c>
    </row>
    <row r="27" spans="1:4" x14ac:dyDescent="0.25">
      <c r="A27" s="80">
        <v>46037</v>
      </c>
      <c r="B27" s="9" t="s">
        <v>201</v>
      </c>
      <c r="C27" s="10">
        <v>-1920</v>
      </c>
      <c r="D27" s="81">
        <f t="shared" si="0"/>
        <v>-540</v>
      </c>
    </row>
    <row r="28" spans="1:4" x14ac:dyDescent="0.25">
      <c r="A28" s="80">
        <v>46100</v>
      </c>
      <c r="B28" s="9" t="s">
        <v>3</v>
      </c>
      <c r="C28" s="10">
        <v>1920</v>
      </c>
      <c r="D28" s="81">
        <f t="shared" si="0"/>
        <v>1380</v>
      </c>
    </row>
    <row r="29" spans="1:4" x14ac:dyDescent="0.25">
      <c r="A29" s="82" t="s">
        <v>366</v>
      </c>
      <c r="B29" s="9" t="s">
        <v>201</v>
      </c>
      <c r="C29" s="10">
        <v>-1920</v>
      </c>
      <c r="D29" s="81">
        <f t="shared" si="0"/>
        <v>-540</v>
      </c>
    </row>
    <row r="30" spans="1:4" x14ac:dyDescent="0.25">
      <c r="A30" s="80">
        <v>46111</v>
      </c>
      <c r="B30" s="9" t="s">
        <v>3</v>
      </c>
      <c r="C30" s="10">
        <v>1470</v>
      </c>
      <c r="D30" s="81">
        <f t="shared" si="0"/>
        <v>930</v>
      </c>
    </row>
    <row r="31" spans="1:4" x14ac:dyDescent="0.25">
      <c r="A31" s="80">
        <v>46111</v>
      </c>
      <c r="B31" s="9" t="s">
        <v>201</v>
      </c>
      <c r="C31" s="10">
        <v>-1470</v>
      </c>
      <c r="D31" s="81">
        <f t="shared" si="0"/>
        <v>-540</v>
      </c>
    </row>
    <row r="32" spans="1:4" x14ac:dyDescent="0.25">
      <c r="A32" s="80">
        <v>46113</v>
      </c>
      <c r="B32" s="9" t="s">
        <v>386</v>
      </c>
      <c r="C32" s="10">
        <v>1170</v>
      </c>
      <c r="D32" s="81">
        <f t="shared" si="0"/>
        <v>630</v>
      </c>
    </row>
    <row r="33" spans="1:4" x14ac:dyDescent="0.25">
      <c r="A33" s="80">
        <v>46116</v>
      </c>
      <c r="B33" s="9" t="s">
        <v>201</v>
      </c>
      <c r="C33" s="10">
        <v>-1000</v>
      </c>
      <c r="D33" s="81">
        <f t="shared" si="0"/>
        <v>-370</v>
      </c>
    </row>
    <row r="34" spans="1:4" x14ac:dyDescent="0.25">
      <c r="A34" s="80">
        <v>46156</v>
      </c>
      <c r="B34" s="9" t="s">
        <v>3</v>
      </c>
      <c r="C34" s="10">
        <v>830</v>
      </c>
      <c r="D34" s="81">
        <f t="shared" si="0"/>
        <v>460</v>
      </c>
    </row>
    <row r="35" spans="1:4" x14ac:dyDescent="0.25">
      <c r="A35" s="80">
        <v>46156</v>
      </c>
      <c r="B35" s="9" t="s">
        <v>201</v>
      </c>
      <c r="C35" s="10">
        <v>-830</v>
      </c>
      <c r="D35" s="81">
        <f t="shared" si="0"/>
        <v>-370</v>
      </c>
    </row>
    <row r="36" spans="1:4" x14ac:dyDescent="0.25">
      <c r="A36" s="80">
        <v>46170</v>
      </c>
      <c r="B36" s="9" t="s">
        <v>3</v>
      </c>
      <c r="C36" s="10">
        <v>510</v>
      </c>
      <c r="D36" s="81">
        <f t="shared" si="0"/>
        <v>140</v>
      </c>
    </row>
    <row r="37" spans="1:4" x14ac:dyDescent="0.25">
      <c r="A37" s="80">
        <v>46170</v>
      </c>
      <c r="B37" s="9" t="s">
        <v>201</v>
      </c>
      <c r="C37" s="10">
        <v>-510</v>
      </c>
      <c r="D37" s="81">
        <f t="shared" si="0"/>
        <v>-370</v>
      </c>
    </row>
    <row r="38" spans="1:4" x14ac:dyDescent="0.25">
      <c r="A38" s="80">
        <v>46175</v>
      </c>
      <c r="B38" s="9" t="s">
        <v>129</v>
      </c>
      <c r="C38" s="10">
        <v>2850</v>
      </c>
      <c r="D38" s="81">
        <f t="shared" si="0"/>
        <v>2480</v>
      </c>
    </row>
    <row r="39" spans="1:4" x14ac:dyDescent="0.25">
      <c r="A39" s="80">
        <v>46177</v>
      </c>
      <c r="B39" s="9" t="s">
        <v>3</v>
      </c>
      <c r="C39" s="10">
        <v>580</v>
      </c>
      <c r="D39" s="81">
        <f t="shared" si="0"/>
        <v>3060</v>
      </c>
    </row>
    <row r="40" spans="1:4" x14ac:dyDescent="0.25">
      <c r="A40" s="80">
        <v>46177</v>
      </c>
      <c r="B40" s="9" t="s">
        <v>178</v>
      </c>
      <c r="C40" s="10">
        <v>-3060</v>
      </c>
      <c r="D40" s="81">
        <f t="shared" si="0"/>
        <v>0</v>
      </c>
    </row>
    <row r="41" spans="1:4" x14ac:dyDescent="0.25">
      <c r="A41" s="80">
        <v>46184</v>
      </c>
      <c r="B41" s="9" t="s">
        <v>3</v>
      </c>
      <c r="C41" s="10">
        <v>840</v>
      </c>
      <c r="D41" s="81">
        <f t="shared" si="0"/>
        <v>840</v>
      </c>
    </row>
    <row r="42" spans="1:4" x14ac:dyDescent="0.25">
      <c r="A42" s="80">
        <v>46188</v>
      </c>
      <c r="B42" s="9" t="s">
        <v>3</v>
      </c>
      <c r="C42" s="10">
        <v>380</v>
      </c>
      <c r="D42" s="81">
        <f t="shared" si="0"/>
        <v>1220</v>
      </c>
    </row>
    <row r="43" spans="1:4" x14ac:dyDescent="0.25">
      <c r="A43" s="80">
        <v>46188</v>
      </c>
      <c r="B43" s="9" t="s">
        <v>178</v>
      </c>
      <c r="C43" s="10">
        <v>-380</v>
      </c>
      <c r="D43" s="81">
        <f t="shared" si="0"/>
        <v>840</v>
      </c>
    </row>
    <row r="44" spans="1:4" x14ac:dyDescent="0.25">
      <c r="A44" s="80">
        <v>46191</v>
      </c>
      <c r="B44" s="9" t="s">
        <v>178</v>
      </c>
      <c r="C44" s="10">
        <v>-840</v>
      </c>
      <c r="D44" s="81">
        <f t="shared" si="0"/>
        <v>0</v>
      </c>
    </row>
    <row r="45" spans="1:4" x14ac:dyDescent="0.25">
      <c r="A45" s="80">
        <v>46198</v>
      </c>
      <c r="B45" s="9" t="s">
        <v>3</v>
      </c>
      <c r="C45" s="10">
        <f>600+240+300+480</f>
        <v>1620</v>
      </c>
      <c r="D45" s="81">
        <f t="shared" si="0"/>
        <v>1620</v>
      </c>
    </row>
    <row r="46" spans="1:4" x14ac:dyDescent="0.25">
      <c r="A46" s="80">
        <v>46198</v>
      </c>
      <c r="B46" s="9" t="s">
        <v>178</v>
      </c>
      <c r="C46" s="10">
        <v>-1620</v>
      </c>
      <c r="D46" s="81">
        <f t="shared" si="0"/>
        <v>0</v>
      </c>
    </row>
    <row r="47" spans="1:4" x14ac:dyDescent="0.25">
      <c r="A47" s="80">
        <v>46219</v>
      </c>
      <c r="B47" s="9" t="s">
        <v>3</v>
      </c>
      <c r="C47" s="10">
        <v>550</v>
      </c>
      <c r="D47" s="81">
        <f t="shared" si="0"/>
        <v>550</v>
      </c>
    </row>
    <row r="48" spans="1:4" x14ac:dyDescent="0.25">
      <c r="A48" s="80">
        <v>46219</v>
      </c>
      <c r="B48" s="9" t="s">
        <v>178</v>
      </c>
      <c r="C48" s="10">
        <v>-550</v>
      </c>
      <c r="D48" s="81">
        <f t="shared" si="0"/>
        <v>0</v>
      </c>
    </row>
    <row r="49" spans="1:4" x14ac:dyDescent="0.25">
      <c r="A49" s="80">
        <v>46268</v>
      </c>
      <c r="B49" s="9" t="s">
        <v>3</v>
      </c>
      <c r="C49" s="10">
        <v>1560</v>
      </c>
      <c r="D49" s="81">
        <f t="shared" si="0"/>
        <v>1560</v>
      </c>
    </row>
    <row r="50" spans="1:4" x14ac:dyDescent="0.25">
      <c r="A50" s="80">
        <v>46268</v>
      </c>
      <c r="B50" s="9" t="s">
        <v>178</v>
      </c>
      <c r="C50" s="10">
        <v>-1560</v>
      </c>
      <c r="D50" s="81">
        <f t="shared" si="0"/>
        <v>0</v>
      </c>
    </row>
    <row r="51" spans="1:4" x14ac:dyDescent="0.25">
      <c r="A51" s="80">
        <v>46275</v>
      </c>
      <c r="B51" s="9" t="s">
        <v>3</v>
      </c>
      <c r="C51" s="10">
        <v>910</v>
      </c>
      <c r="D51" s="81">
        <f t="shared" si="0"/>
        <v>910</v>
      </c>
    </row>
    <row r="52" spans="1:4" x14ac:dyDescent="0.25">
      <c r="A52" s="80">
        <v>46275</v>
      </c>
      <c r="B52" s="9" t="s">
        <v>178</v>
      </c>
      <c r="C52" s="10">
        <v>-910</v>
      </c>
      <c r="D52" s="81">
        <f t="shared" si="0"/>
        <v>0</v>
      </c>
    </row>
    <row r="53" spans="1:4" x14ac:dyDescent="0.25">
      <c r="A53" s="80"/>
      <c r="B53" s="9"/>
      <c r="C53" s="10"/>
      <c r="D53" s="81">
        <f t="shared" si="0"/>
        <v>0</v>
      </c>
    </row>
    <row r="54" spans="1:4" x14ac:dyDescent="0.25">
      <c r="A54" s="80"/>
      <c r="B54" s="9"/>
      <c r="C54" s="10"/>
      <c r="D54" s="81">
        <f t="shared" si="0"/>
        <v>0</v>
      </c>
    </row>
    <row r="55" spans="1:4" x14ac:dyDescent="0.25">
      <c r="A55" s="80"/>
      <c r="B55" s="9"/>
      <c r="C55" s="10"/>
      <c r="D55" s="81">
        <f t="shared" si="0"/>
        <v>0</v>
      </c>
    </row>
    <row r="56" spans="1:4" x14ac:dyDescent="0.25">
      <c r="A56" s="80"/>
      <c r="B56" s="9"/>
      <c r="C56" s="10"/>
      <c r="D56" s="81">
        <f t="shared" si="0"/>
        <v>0</v>
      </c>
    </row>
    <row r="57" spans="1:4" x14ac:dyDescent="0.25">
      <c r="A57" s="80"/>
      <c r="B57" s="9"/>
      <c r="C57" s="10"/>
      <c r="D57" s="81">
        <f t="shared" si="0"/>
        <v>0</v>
      </c>
    </row>
    <row r="58" spans="1:4" x14ac:dyDescent="0.25">
      <c r="A58" s="80"/>
      <c r="B58" s="9"/>
      <c r="C58" s="10"/>
      <c r="D58" s="81">
        <f t="shared" si="0"/>
        <v>0</v>
      </c>
    </row>
    <row r="59" spans="1:4" x14ac:dyDescent="0.25">
      <c r="A59" s="80"/>
      <c r="B59" s="9"/>
      <c r="C59" s="10"/>
      <c r="D59" s="81">
        <f t="shared" si="0"/>
        <v>0</v>
      </c>
    </row>
    <row r="60" spans="1:4" x14ac:dyDescent="0.25">
      <c r="A60" s="80"/>
      <c r="B60" s="9"/>
      <c r="C60" s="10"/>
      <c r="D60" s="81">
        <f t="shared" si="0"/>
        <v>0</v>
      </c>
    </row>
    <row r="61" spans="1:4" x14ac:dyDescent="0.25">
      <c r="A61" s="80"/>
      <c r="B61" s="9"/>
      <c r="C61" s="10"/>
      <c r="D61" s="81">
        <f t="shared" si="0"/>
        <v>0</v>
      </c>
    </row>
    <row r="62" spans="1:4" x14ac:dyDescent="0.25">
      <c r="A62" s="80"/>
      <c r="B62" s="9"/>
      <c r="C62" s="10"/>
      <c r="D62" s="81">
        <f t="shared" si="0"/>
        <v>0</v>
      </c>
    </row>
    <row r="63" spans="1:4" x14ac:dyDescent="0.25">
      <c r="A63" s="80"/>
      <c r="B63" s="9"/>
      <c r="C63" s="10"/>
      <c r="D63" s="81">
        <f t="shared" si="0"/>
        <v>0</v>
      </c>
    </row>
    <row r="64" spans="1:4" x14ac:dyDescent="0.25">
      <c r="A64" s="80"/>
      <c r="B64" s="9"/>
      <c r="C64" s="10"/>
      <c r="D64" s="81">
        <f t="shared" si="0"/>
        <v>0</v>
      </c>
    </row>
    <row r="65" spans="1:4" x14ac:dyDescent="0.25">
      <c r="A65" s="80"/>
      <c r="B65" s="9"/>
      <c r="C65" s="10"/>
      <c r="D65" s="81">
        <f t="shared" si="0"/>
        <v>0</v>
      </c>
    </row>
    <row r="66" spans="1:4" x14ac:dyDescent="0.25">
      <c r="A66" s="80"/>
      <c r="B66" s="9"/>
      <c r="C66" s="10"/>
      <c r="D66" s="81">
        <f t="shared" si="0"/>
        <v>0</v>
      </c>
    </row>
    <row r="67" spans="1:4" x14ac:dyDescent="0.25">
      <c r="A67" s="80"/>
      <c r="B67" s="9"/>
      <c r="C67" s="10"/>
      <c r="D67" s="81">
        <f t="shared" si="0"/>
        <v>0</v>
      </c>
    </row>
    <row r="68" spans="1:4" x14ac:dyDescent="0.25">
      <c r="A68" s="80"/>
      <c r="B68" s="9"/>
      <c r="C68" s="10"/>
      <c r="D68" s="81">
        <f t="shared" si="0"/>
        <v>0</v>
      </c>
    </row>
    <row r="69" spans="1:4" x14ac:dyDescent="0.25">
      <c r="A69" s="80"/>
      <c r="B69" s="9"/>
      <c r="C69" s="10"/>
      <c r="D69" s="81">
        <f t="shared" si="0"/>
        <v>0</v>
      </c>
    </row>
    <row r="70" spans="1:4" x14ac:dyDescent="0.25">
      <c r="A70" s="80"/>
      <c r="B70" s="9"/>
      <c r="C70" s="10"/>
      <c r="D70" s="81">
        <f t="shared" si="0"/>
        <v>0</v>
      </c>
    </row>
    <row r="71" spans="1:4" x14ac:dyDescent="0.25">
      <c r="A71" s="80"/>
      <c r="B71" s="9"/>
      <c r="C71" s="10"/>
      <c r="D71" s="81">
        <f t="shared" si="0"/>
        <v>0</v>
      </c>
    </row>
    <row r="72" spans="1:4" x14ac:dyDescent="0.25">
      <c r="A72" s="80"/>
      <c r="B72" s="9"/>
      <c r="C72" s="10"/>
      <c r="D72" s="81">
        <f t="shared" si="0"/>
        <v>0</v>
      </c>
    </row>
    <row r="73" spans="1:4" x14ac:dyDescent="0.25">
      <c r="A73" s="80"/>
      <c r="B73" s="9"/>
      <c r="C73" s="10"/>
      <c r="D73" s="81">
        <f t="shared" si="0"/>
        <v>0</v>
      </c>
    </row>
    <row r="74" spans="1:4" x14ac:dyDescent="0.25">
      <c r="A74" s="83"/>
      <c r="B74" s="9"/>
      <c r="C74" s="10"/>
      <c r="D74" s="81">
        <f t="shared" si="0"/>
        <v>0</v>
      </c>
    </row>
    <row r="75" spans="1:4" x14ac:dyDescent="0.25">
      <c r="A75" s="83"/>
      <c r="B75" s="9"/>
      <c r="C75" s="10"/>
      <c r="D75" s="81">
        <f t="shared" si="0"/>
        <v>0</v>
      </c>
    </row>
    <row r="76" spans="1:4" x14ac:dyDescent="0.25">
      <c r="A76" s="83"/>
      <c r="B76" s="9"/>
      <c r="C76" s="10"/>
      <c r="D76" s="81">
        <f t="shared" si="0"/>
        <v>0</v>
      </c>
    </row>
    <row r="77" spans="1:4" x14ac:dyDescent="0.25">
      <c r="A77" s="83"/>
      <c r="B77" s="9"/>
      <c r="C77" s="10"/>
      <c r="D77" s="81">
        <f t="shared" ref="D77:D86" si="1">D76+C77</f>
        <v>0</v>
      </c>
    </row>
    <row r="78" spans="1:4" x14ac:dyDescent="0.25">
      <c r="A78" s="83"/>
      <c r="B78" s="9"/>
      <c r="C78" s="10"/>
      <c r="D78" s="81">
        <f t="shared" si="1"/>
        <v>0</v>
      </c>
    </row>
    <row r="79" spans="1:4" x14ac:dyDescent="0.25">
      <c r="A79" s="83"/>
      <c r="B79" s="9"/>
      <c r="C79" s="10"/>
      <c r="D79" s="81">
        <f t="shared" si="1"/>
        <v>0</v>
      </c>
    </row>
    <row r="80" spans="1:4" x14ac:dyDescent="0.25">
      <c r="A80" s="83"/>
      <c r="B80" s="9"/>
      <c r="C80" s="10"/>
      <c r="D80" s="81">
        <f t="shared" si="1"/>
        <v>0</v>
      </c>
    </row>
    <row r="81" spans="1:4" x14ac:dyDescent="0.25">
      <c r="A81" s="83"/>
      <c r="B81" s="9"/>
      <c r="C81" s="10"/>
      <c r="D81" s="81">
        <f t="shared" si="1"/>
        <v>0</v>
      </c>
    </row>
    <row r="82" spans="1:4" x14ac:dyDescent="0.25">
      <c r="A82" s="83"/>
      <c r="B82" s="9"/>
      <c r="C82" s="10"/>
      <c r="D82" s="81">
        <f t="shared" si="1"/>
        <v>0</v>
      </c>
    </row>
    <row r="83" spans="1:4" x14ac:dyDescent="0.25">
      <c r="A83" s="83"/>
      <c r="B83" s="9"/>
      <c r="C83" s="10"/>
      <c r="D83" s="81">
        <f t="shared" si="1"/>
        <v>0</v>
      </c>
    </row>
    <row r="84" spans="1:4" x14ac:dyDescent="0.25">
      <c r="A84" s="83"/>
      <c r="B84" s="9"/>
      <c r="C84" s="10"/>
      <c r="D84" s="81">
        <f t="shared" si="1"/>
        <v>0</v>
      </c>
    </row>
    <row r="85" spans="1:4" x14ac:dyDescent="0.25">
      <c r="A85" s="83"/>
      <c r="B85" s="9"/>
      <c r="C85" s="10"/>
      <c r="D85" s="81">
        <f t="shared" si="1"/>
        <v>0</v>
      </c>
    </row>
    <row r="86" spans="1:4" x14ac:dyDescent="0.25">
      <c r="A86" s="83"/>
      <c r="B86" s="9"/>
      <c r="C86" s="10"/>
      <c r="D86" s="81">
        <f t="shared" si="1"/>
        <v>0</v>
      </c>
    </row>
    <row r="87" spans="1:4" x14ac:dyDescent="0.25">
      <c r="A87" s="83"/>
      <c r="B87" s="9"/>
      <c r="C87" s="10"/>
      <c r="D87" s="81"/>
    </row>
    <row r="88" spans="1:4" x14ac:dyDescent="0.25">
      <c r="A88" s="83"/>
      <c r="B88" s="9"/>
      <c r="C88" s="10"/>
      <c r="D88" s="81"/>
    </row>
    <row r="89" spans="1:4" x14ac:dyDescent="0.25">
      <c r="A89" s="83"/>
      <c r="B89" s="9"/>
      <c r="C89" s="10"/>
      <c r="D89" s="81"/>
    </row>
    <row r="90" spans="1:4" x14ac:dyDescent="0.25">
      <c r="A90" s="83"/>
      <c r="B90" s="9"/>
      <c r="C90" s="10"/>
      <c r="D90" s="81"/>
    </row>
    <row r="91" spans="1:4" x14ac:dyDescent="0.25">
      <c r="A91" s="83"/>
      <c r="B91" s="9"/>
      <c r="C91" s="10"/>
      <c r="D91" s="81"/>
    </row>
    <row r="92" spans="1:4" x14ac:dyDescent="0.25">
      <c r="A92" s="83"/>
      <c r="B92" s="9"/>
      <c r="C92" s="10"/>
      <c r="D92" s="81"/>
    </row>
    <row r="93" spans="1:4" x14ac:dyDescent="0.25">
      <c r="A93" s="83"/>
      <c r="B93" s="9"/>
      <c r="C93" s="10"/>
      <c r="D93" s="81"/>
    </row>
    <row r="94" spans="1:4" x14ac:dyDescent="0.25">
      <c r="A94" s="83"/>
      <c r="B94" s="9"/>
      <c r="C94" s="10"/>
      <c r="D94" s="81"/>
    </row>
    <row r="95" spans="1:4" x14ac:dyDescent="0.25">
      <c r="A95" s="83"/>
      <c r="B95" s="9"/>
      <c r="C95" s="10"/>
      <c r="D95" s="81"/>
    </row>
    <row r="96" spans="1:4" x14ac:dyDescent="0.25">
      <c r="A96" s="83"/>
      <c r="B96" s="9"/>
      <c r="C96" s="10"/>
      <c r="D96" s="81"/>
    </row>
    <row r="97" spans="1:4" x14ac:dyDescent="0.25">
      <c r="A97" s="83"/>
      <c r="B97" s="9"/>
      <c r="C97" s="10"/>
      <c r="D97" s="81"/>
    </row>
    <row r="98" spans="1:4" x14ac:dyDescent="0.25">
      <c r="A98" s="83"/>
      <c r="B98" s="9"/>
      <c r="C98" s="10"/>
      <c r="D98" s="81"/>
    </row>
    <row r="99" spans="1:4" x14ac:dyDescent="0.25">
      <c r="A99" s="83"/>
      <c r="B99" s="9"/>
      <c r="C99" s="10"/>
      <c r="D99" s="81"/>
    </row>
    <row r="100" spans="1:4" x14ac:dyDescent="0.25">
      <c r="A100" s="83"/>
      <c r="B100" s="9"/>
      <c r="C100" s="10"/>
      <c r="D100" s="81"/>
    </row>
    <row r="101" spans="1:4" x14ac:dyDescent="0.25">
      <c r="A101" s="83"/>
      <c r="B101" s="9"/>
      <c r="C101" s="10"/>
      <c r="D101" s="81"/>
    </row>
    <row r="102" spans="1:4" x14ac:dyDescent="0.25">
      <c r="A102" s="83"/>
      <c r="B102" s="9"/>
      <c r="C102" s="10"/>
      <c r="D102" s="81"/>
    </row>
    <row r="103" spans="1:4" x14ac:dyDescent="0.25">
      <c r="A103" s="83"/>
      <c r="B103" s="9"/>
      <c r="C103" s="10"/>
      <c r="D103" s="81"/>
    </row>
    <row r="104" spans="1:4" x14ac:dyDescent="0.25">
      <c r="A104" s="83"/>
      <c r="B104" s="9"/>
      <c r="C104" s="10"/>
      <c r="D104" s="81"/>
    </row>
    <row r="105" spans="1:4" x14ac:dyDescent="0.25">
      <c r="A105" s="83"/>
      <c r="B105" s="9"/>
      <c r="C105" s="10"/>
      <c r="D105" s="81"/>
    </row>
    <row r="106" spans="1:4" x14ac:dyDescent="0.25">
      <c r="A106" s="83"/>
      <c r="B106" s="9"/>
      <c r="C106" s="10"/>
      <c r="D106" s="81"/>
    </row>
    <row r="107" spans="1:4" x14ac:dyDescent="0.25">
      <c r="A107" s="83"/>
      <c r="B107" s="9"/>
      <c r="C107" s="10"/>
      <c r="D107" s="81"/>
    </row>
    <row r="108" spans="1:4" x14ac:dyDescent="0.25">
      <c r="A108" s="83"/>
      <c r="B108" s="9"/>
      <c r="C108" s="10"/>
      <c r="D108" s="81"/>
    </row>
    <row r="109" spans="1:4" x14ac:dyDescent="0.25">
      <c r="A109" s="83"/>
      <c r="B109" s="9"/>
      <c r="C109" s="10"/>
      <c r="D109" s="81"/>
    </row>
    <row r="110" spans="1:4" x14ac:dyDescent="0.25">
      <c r="A110" s="83"/>
      <c r="B110" s="9"/>
      <c r="C110" s="10"/>
      <c r="D110" s="81"/>
    </row>
    <row r="111" spans="1:4" x14ac:dyDescent="0.25">
      <c r="A111" s="83"/>
      <c r="B111" s="9"/>
      <c r="C111" s="10"/>
      <c r="D111" s="81"/>
    </row>
    <row r="112" spans="1:4" x14ac:dyDescent="0.25">
      <c r="A112" s="83"/>
      <c r="B112" s="9"/>
      <c r="C112" s="10"/>
      <c r="D112" s="81"/>
    </row>
    <row r="113" spans="1:4" x14ac:dyDescent="0.25">
      <c r="A113" s="83"/>
      <c r="B113" s="9"/>
      <c r="C113" s="10"/>
      <c r="D113" s="81"/>
    </row>
    <row r="114" spans="1:4" x14ac:dyDescent="0.25">
      <c r="A114" s="83"/>
      <c r="B114" s="9"/>
      <c r="C114" s="10"/>
      <c r="D114" s="81"/>
    </row>
    <row r="115" spans="1:4" x14ac:dyDescent="0.25">
      <c r="A115" s="83"/>
      <c r="B115" s="9"/>
      <c r="C115" s="10"/>
      <c r="D115" s="81"/>
    </row>
    <row r="116" spans="1:4" x14ac:dyDescent="0.25">
      <c r="A116" s="83"/>
      <c r="B116" s="9"/>
      <c r="C116" s="10"/>
      <c r="D116" s="81"/>
    </row>
    <row r="117" spans="1:4" x14ac:dyDescent="0.25">
      <c r="A117" s="83"/>
      <c r="B117" s="9"/>
      <c r="C117" s="10"/>
      <c r="D117" s="81"/>
    </row>
    <row r="118" spans="1:4" x14ac:dyDescent="0.25">
      <c r="A118" s="83"/>
      <c r="B118" s="9"/>
      <c r="C118" s="10"/>
      <c r="D118" s="81"/>
    </row>
    <row r="119" spans="1:4" x14ac:dyDescent="0.25">
      <c r="A119" s="83"/>
      <c r="B119" s="9"/>
      <c r="C119" s="10"/>
      <c r="D119" s="81"/>
    </row>
    <row r="120" spans="1:4" x14ac:dyDescent="0.25">
      <c r="A120" s="83"/>
      <c r="B120" s="9"/>
      <c r="C120" s="10"/>
      <c r="D120" s="81"/>
    </row>
    <row r="121" spans="1:4" x14ac:dyDescent="0.25">
      <c r="A121" s="83"/>
      <c r="B121" s="9"/>
      <c r="C121" s="10"/>
      <c r="D121" s="81"/>
    </row>
    <row r="122" spans="1:4" x14ac:dyDescent="0.25">
      <c r="A122" s="83"/>
      <c r="B122" s="9"/>
      <c r="C122" s="10"/>
      <c r="D122" s="81"/>
    </row>
    <row r="123" spans="1:4" x14ac:dyDescent="0.25">
      <c r="A123" s="83"/>
      <c r="B123" s="9"/>
      <c r="C123" s="10"/>
      <c r="D123" s="81"/>
    </row>
    <row r="124" spans="1:4" x14ac:dyDescent="0.25">
      <c r="A124" s="83"/>
      <c r="B124" s="9"/>
      <c r="C124" s="10"/>
      <c r="D124" s="81"/>
    </row>
    <row r="125" spans="1:4" x14ac:dyDescent="0.25">
      <c r="A125" s="83"/>
      <c r="B125" s="9"/>
      <c r="C125" s="10"/>
      <c r="D125" s="81"/>
    </row>
    <row r="126" spans="1:4" x14ac:dyDescent="0.25">
      <c r="A126" s="83"/>
      <c r="B126" s="9"/>
      <c r="C126" s="10"/>
      <c r="D126" s="81"/>
    </row>
    <row r="127" spans="1:4" x14ac:dyDescent="0.25">
      <c r="A127" s="83"/>
      <c r="B127" s="9"/>
      <c r="C127" s="10"/>
      <c r="D127" s="81"/>
    </row>
    <row r="128" spans="1:4" x14ac:dyDescent="0.25">
      <c r="A128" s="83"/>
      <c r="B128" s="9"/>
      <c r="C128" s="10"/>
      <c r="D128" s="81"/>
    </row>
    <row r="129" spans="1:4" x14ac:dyDescent="0.25">
      <c r="A129" s="83"/>
      <c r="B129" s="9"/>
      <c r="C129" s="10"/>
      <c r="D129" s="81"/>
    </row>
    <row r="130" spans="1:4" x14ac:dyDescent="0.25">
      <c r="A130" s="83"/>
      <c r="B130" s="9"/>
      <c r="C130" s="10"/>
      <c r="D130" s="81"/>
    </row>
    <row r="131" spans="1:4" x14ac:dyDescent="0.25">
      <c r="A131" s="83"/>
      <c r="B131" s="9"/>
      <c r="C131" s="10"/>
      <c r="D131" s="81"/>
    </row>
    <row r="132" spans="1:4" x14ac:dyDescent="0.25">
      <c r="A132" s="83"/>
      <c r="B132" s="9"/>
      <c r="C132" s="10"/>
      <c r="D132" s="81"/>
    </row>
    <row r="133" spans="1:4" x14ac:dyDescent="0.25">
      <c r="A133" s="83"/>
      <c r="B133" s="9"/>
      <c r="C133" s="10"/>
      <c r="D133" s="81"/>
    </row>
    <row r="134" spans="1:4" x14ac:dyDescent="0.25">
      <c r="A134" s="83"/>
      <c r="B134" s="9"/>
      <c r="C134" s="10"/>
      <c r="D134" s="81"/>
    </row>
    <row r="135" spans="1:4" x14ac:dyDescent="0.25">
      <c r="A135" s="83"/>
      <c r="B135" s="9"/>
      <c r="C135" s="10"/>
      <c r="D135" s="81"/>
    </row>
    <row r="136" spans="1:4" x14ac:dyDescent="0.25">
      <c r="A136" s="83"/>
      <c r="B136" s="9"/>
      <c r="C136" s="10"/>
      <c r="D136" s="81"/>
    </row>
    <row r="137" spans="1:4" x14ac:dyDescent="0.25">
      <c r="A137" s="83"/>
      <c r="B137" s="9"/>
      <c r="C137" s="10"/>
      <c r="D137" s="81"/>
    </row>
    <row r="138" spans="1:4" x14ac:dyDescent="0.25">
      <c r="A138" s="83"/>
      <c r="B138" s="9"/>
      <c r="C138" s="10"/>
      <c r="D138" s="81"/>
    </row>
    <row r="139" spans="1:4" x14ac:dyDescent="0.25">
      <c r="A139" s="83"/>
      <c r="B139" s="9"/>
      <c r="C139" s="10"/>
      <c r="D139" s="81"/>
    </row>
    <row r="140" spans="1:4" x14ac:dyDescent="0.25">
      <c r="A140" s="83"/>
      <c r="B140" s="9"/>
      <c r="C140" s="10"/>
      <c r="D140" s="81"/>
    </row>
    <row r="141" spans="1:4" x14ac:dyDescent="0.25">
      <c r="A141" s="83"/>
      <c r="B141" s="9"/>
      <c r="C141" s="10"/>
      <c r="D141" s="81"/>
    </row>
    <row r="142" spans="1:4" ht="15.75" thickBot="1" x14ac:dyDescent="0.3">
      <c r="A142" s="84"/>
      <c r="B142" s="85"/>
      <c r="C142" s="86"/>
      <c r="D142" s="87"/>
    </row>
    <row r="143" spans="1:4" x14ac:dyDescent="0.25">
      <c r="A143" s="68"/>
      <c r="B143" s="68"/>
      <c r="C143" s="69"/>
      <c r="D143" s="69"/>
    </row>
    <row r="144" spans="1:4" x14ac:dyDescent="0.25">
      <c r="A144" s="9"/>
      <c r="B144" s="9"/>
      <c r="C144" s="10"/>
      <c r="D144" s="10"/>
    </row>
    <row r="145" spans="1:4" x14ac:dyDescent="0.25">
      <c r="A145" s="9"/>
      <c r="B145" s="9"/>
      <c r="C145" s="10"/>
      <c r="D145" s="10"/>
    </row>
    <row r="146" spans="1:4" x14ac:dyDescent="0.25">
      <c r="A146" s="9"/>
      <c r="B146" s="9"/>
      <c r="C146" s="10"/>
      <c r="D146" s="10"/>
    </row>
    <row r="147" spans="1:4" x14ac:dyDescent="0.25">
      <c r="A147" s="9"/>
      <c r="B147" s="9"/>
      <c r="C147" s="10"/>
      <c r="D147" s="10"/>
    </row>
    <row r="148" spans="1:4" x14ac:dyDescent="0.25">
      <c r="A148" s="9"/>
      <c r="B148" s="9"/>
      <c r="C148" s="10"/>
      <c r="D148" s="10"/>
    </row>
    <row r="149" spans="1:4" x14ac:dyDescent="0.25">
      <c r="A149" s="9"/>
      <c r="B149" s="9"/>
      <c r="C149" s="10"/>
      <c r="D149" s="10"/>
    </row>
    <row r="150" spans="1:4" x14ac:dyDescent="0.25">
      <c r="A150" s="9"/>
      <c r="B150" s="9"/>
      <c r="C150" s="10"/>
      <c r="D150" s="10"/>
    </row>
    <row r="151" spans="1:4" x14ac:dyDescent="0.25">
      <c r="A151" s="9"/>
      <c r="B151" s="9"/>
      <c r="C151" s="10"/>
      <c r="D151" s="10"/>
    </row>
    <row r="152" spans="1:4" x14ac:dyDescent="0.25">
      <c r="A152" s="9"/>
      <c r="B152" s="9"/>
      <c r="C152" s="10"/>
      <c r="D152" s="10"/>
    </row>
    <row r="153" spans="1:4" x14ac:dyDescent="0.25">
      <c r="A153" s="9"/>
      <c r="B153" s="9"/>
      <c r="C153" s="10"/>
      <c r="D153" s="10"/>
    </row>
    <row r="154" spans="1:4" x14ac:dyDescent="0.25">
      <c r="A154" s="9"/>
      <c r="B154" s="9"/>
      <c r="C154" s="10"/>
      <c r="D154" s="10"/>
    </row>
    <row r="155" spans="1:4" x14ac:dyDescent="0.25">
      <c r="A155" s="9"/>
      <c r="B155" s="9"/>
      <c r="C155" s="10"/>
      <c r="D155" s="10"/>
    </row>
    <row r="156" spans="1:4" x14ac:dyDescent="0.25">
      <c r="A156" s="9"/>
      <c r="B156" s="9"/>
      <c r="C156" s="10"/>
      <c r="D156" s="10"/>
    </row>
    <row r="157" spans="1:4" x14ac:dyDescent="0.25">
      <c r="A157" s="9"/>
      <c r="B157" s="9"/>
      <c r="C157" s="10"/>
      <c r="D157" s="10"/>
    </row>
    <row r="158" spans="1:4" x14ac:dyDescent="0.25">
      <c r="A158" s="9"/>
      <c r="B158" s="9"/>
      <c r="C158" s="10"/>
      <c r="D158" s="10"/>
    </row>
    <row r="159" spans="1:4" x14ac:dyDescent="0.25">
      <c r="A159" s="9"/>
      <c r="B159" s="9"/>
      <c r="C159" s="10"/>
      <c r="D159" s="10"/>
    </row>
    <row r="160" spans="1:4" x14ac:dyDescent="0.25">
      <c r="A160" s="9"/>
      <c r="B160" s="9"/>
      <c r="C160" s="10"/>
      <c r="D160" s="10"/>
    </row>
    <row r="161" spans="1:4" x14ac:dyDescent="0.25">
      <c r="A161" s="9"/>
      <c r="B161" s="9"/>
      <c r="C161" s="10"/>
      <c r="D161" s="10"/>
    </row>
    <row r="162" spans="1:4" x14ac:dyDescent="0.25">
      <c r="A162" s="9"/>
      <c r="B162" s="9"/>
      <c r="C162" s="10"/>
      <c r="D162" s="10"/>
    </row>
    <row r="163" spans="1:4" x14ac:dyDescent="0.25">
      <c r="A163" s="9"/>
      <c r="B163" s="9"/>
      <c r="C163" s="10"/>
      <c r="D163" s="10"/>
    </row>
    <row r="164" spans="1:4" x14ac:dyDescent="0.25">
      <c r="A164" s="9"/>
      <c r="B164" s="9"/>
      <c r="C164" s="10"/>
      <c r="D164" s="10"/>
    </row>
    <row r="165" spans="1:4" x14ac:dyDescent="0.25">
      <c r="A165" s="9"/>
      <c r="B165" s="9"/>
      <c r="C165" s="10"/>
      <c r="D165" s="10"/>
    </row>
    <row r="166" spans="1:4" x14ac:dyDescent="0.25">
      <c r="A166" s="9"/>
      <c r="B166" s="9"/>
      <c r="C166" s="10"/>
      <c r="D166" s="10"/>
    </row>
    <row r="167" spans="1:4" x14ac:dyDescent="0.25">
      <c r="A167" s="9"/>
      <c r="B167" s="9"/>
      <c r="C167" s="10"/>
      <c r="D167" s="10"/>
    </row>
    <row r="168" spans="1:4" x14ac:dyDescent="0.25">
      <c r="A168" s="9"/>
      <c r="B168" s="9"/>
      <c r="C168" s="10"/>
      <c r="D168" s="10"/>
    </row>
    <row r="169" spans="1:4" x14ac:dyDescent="0.25">
      <c r="A169" s="9"/>
      <c r="B169" s="9"/>
      <c r="C169" s="10"/>
      <c r="D169" s="10"/>
    </row>
    <row r="170" spans="1:4" x14ac:dyDescent="0.25">
      <c r="A170" s="9"/>
      <c r="B170" s="9"/>
      <c r="C170" s="10"/>
      <c r="D170" s="10"/>
    </row>
    <row r="171" spans="1:4" x14ac:dyDescent="0.25">
      <c r="A171" s="9"/>
      <c r="B171" s="9"/>
      <c r="C171" s="10"/>
      <c r="D171" s="10"/>
    </row>
    <row r="172" spans="1:4" x14ac:dyDescent="0.25">
      <c r="A172" s="9"/>
      <c r="B172" s="9"/>
      <c r="C172" s="10"/>
      <c r="D172" s="10"/>
    </row>
    <row r="173" spans="1:4" x14ac:dyDescent="0.25">
      <c r="A173" s="9"/>
      <c r="B173" s="9"/>
      <c r="C173" s="10"/>
      <c r="D173" s="10"/>
    </row>
    <row r="174" spans="1:4" x14ac:dyDescent="0.25">
      <c r="A174" s="9"/>
      <c r="B174" s="9"/>
      <c r="C174" s="10"/>
      <c r="D174" s="10"/>
    </row>
    <row r="175" spans="1:4" x14ac:dyDescent="0.25">
      <c r="A175" s="9"/>
      <c r="B175" s="9"/>
      <c r="C175" s="10"/>
      <c r="D175" s="10"/>
    </row>
    <row r="176" spans="1:4" x14ac:dyDescent="0.25">
      <c r="A176" s="9"/>
      <c r="B176" s="9"/>
      <c r="C176" s="10"/>
      <c r="D176" s="10"/>
    </row>
    <row r="177" spans="1:4" x14ac:dyDescent="0.25">
      <c r="A177" s="9"/>
      <c r="B177" s="9"/>
      <c r="C177" s="10"/>
      <c r="D177" s="10"/>
    </row>
    <row r="178" spans="1:4" x14ac:dyDescent="0.25">
      <c r="A178" s="9"/>
      <c r="B178" s="9"/>
      <c r="C178" s="10"/>
      <c r="D178" s="10"/>
    </row>
    <row r="179" spans="1:4" x14ac:dyDescent="0.25">
      <c r="A179" s="9"/>
      <c r="B179" s="9"/>
      <c r="C179" s="10"/>
      <c r="D179" s="10"/>
    </row>
    <row r="180" spans="1:4" x14ac:dyDescent="0.25">
      <c r="A180" s="9"/>
      <c r="B180" s="9"/>
      <c r="C180" s="10"/>
      <c r="D180" s="10"/>
    </row>
    <row r="181" spans="1:4" x14ac:dyDescent="0.25">
      <c r="A181" s="9"/>
      <c r="B181" s="9"/>
      <c r="C181" s="10"/>
      <c r="D181" s="10"/>
    </row>
    <row r="182" spans="1:4" x14ac:dyDescent="0.25">
      <c r="A182" s="9"/>
      <c r="B182" s="9"/>
      <c r="C182" s="10"/>
      <c r="D182" s="10"/>
    </row>
    <row r="183" spans="1:4" x14ac:dyDescent="0.25">
      <c r="A183" s="9"/>
      <c r="B183" s="9"/>
      <c r="C183" s="10"/>
      <c r="D183" s="10"/>
    </row>
    <row r="184" spans="1:4" x14ac:dyDescent="0.25">
      <c r="A184" s="9"/>
      <c r="B184" s="9"/>
      <c r="C184" s="10"/>
      <c r="D184" s="10"/>
    </row>
    <row r="185" spans="1:4" x14ac:dyDescent="0.25">
      <c r="A185" s="9"/>
      <c r="B185" s="9"/>
      <c r="C185" s="10"/>
      <c r="D185" s="10"/>
    </row>
    <row r="186" spans="1:4" x14ac:dyDescent="0.25">
      <c r="A186" s="9"/>
      <c r="B186" s="9"/>
      <c r="C186" s="10"/>
      <c r="D186" s="10"/>
    </row>
    <row r="187" spans="1:4" x14ac:dyDescent="0.25">
      <c r="A187" s="9"/>
      <c r="B187" s="9"/>
      <c r="C187" s="10"/>
      <c r="D187" s="10"/>
    </row>
  </sheetData>
  <mergeCells count="2">
    <mergeCell ref="A4:D4"/>
    <mergeCell ref="B6:D6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AC72E-E05C-42CB-A325-414625A6554F}">
  <dimension ref="A4:G187"/>
  <sheetViews>
    <sheetView topLeftCell="A9" workbookViewId="0">
      <selection activeCell="E28" sqref="E28"/>
    </sheetView>
  </sheetViews>
  <sheetFormatPr baseColWidth="10" defaultRowHeight="15" x14ac:dyDescent="0.25"/>
  <cols>
    <col min="1" max="1" width="28.28515625" customWidth="1"/>
    <col min="2" max="2" width="27.140625" customWidth="1"/>
    <col min="3" max="3" width="23.42578125" style="6" customWidth="1"/>
    <col min="4" max="4" width="21.85546875" style="6" customWidth="1"/>
  </cols>
  <sheetData>
    <row r="4" spans="1:7" ht="18" x14ac:dyDescent="0.25">
      <c r="A4" s="98" t="s">
        <v>0</v>
      </c>
      <c r="B4" s="98"/>
      <c r="C4" s="98"/>
      <c r="D4" s="98"/>
      <c r="E4" s="1"/>
      <c r="F4" s="1"/>
      <c r="G4" s="1"/>
    </row>
    <row r="6" spans="1:7" x14ac:dyDescent="0.25">
      <c r="A6" s="2" t="s">
        <v>1</v>
      </c>
      <c r="B6" s="96" t="s">
        <v>112</v>
      </c>
      <c r="C6" s="97"/>
      <c r="D6" s="97"/>
    </row>
    <row r="7" spans="1:7" x14ac:dyDescent="0.25">
      <c r="A7" s="3" t="s">
        <v>11</v>
      </c>
      <c r="B7" s="4" t="s">
        <v>113</v>
      </c>
      <c r="C7" s="4"/>
      <c r="D7" s="4"/>
    </row>
    <row r="8" spans="1:7" x14ac:dyDescent="0.25">
      <c r="B8" s="5"/>
    </row>
    <row r="9" spans="1:7" x14ac:dyDescent="0.25">
      <c r="A9" s="2" t="s">
        <v>2</v>
      </c>
      <c r="B9" s="2" t="s">
        <v>3</v>
      </c>
      <c r="C9" s="7" t="s">
        <v>4</v>
      </c>
      <c r="D9" s="7" t="s">
        <v>5</v>
      </c>
    </row>
    <row r="10" spans="1:7" x14ac:dyDescent="0.25">
      <c r="A10" s="8">
        <v>45911</v>
      </c>
      <c r="B10" s="9" t="s">
        <v>3</v>
      </c>
      <c r="C10" s="10">
        <v>2500</v>
      </c>
      <c r="D10" s="10">
        <f>C10</f>
        <v>2500</v>
      </c>
    </row>
    <row r="11" spans="1:7" x14ac:dyDescent="0.25">
      <c r="A11" s="8">
        <v>45940</v>
      </c>
      <c r="B11" s="9" t="s">
        <v>202</v>
      </c>
      <c r="C11" s="10">
        <v>-2500</v>
      </c>
      <c r="D11" s="10">
        <f>D10+C11</f>
        <v>0</v>
      </c>
    </row>
    <row r="12" spans="1:7" x14ac:dyDescent="0.25">
      <c r="A12" s="8">
        <v>45946</v>
      </c>
      <c r="B12" s="9" t="s">
        <v>3</v>
      </c>
      <c r="C12" s="10">
        <v>3030</v>
      </c>
      <c r="D12" s="10">
        <f t="shared" ref="D12:D21" si="0">D11+C12</f>
        <v>3030</v>
      </c>
    </row>
    <row r="13" spans="1:7" x14ac:dyDescent="0.25">
      <c r="A13" s="8">
        <v>45959</v>
      </c>
      <c r="B13" s="9" t="s">
        <v>179</v>
      </c>
      <c r="C13" s="10">
        <v>-3030</v>
      </c>
      <c r="D13" s="10">
        <f t="shared" si="0"/>
        <v>0</v>
      </c>
    </row>
    <row r="14" spans="1:7" x14ac:dyDescent="0.25">
      <c r="A14" s="8">
        <v>45985</v>
      </c>
      <c r="B14" s="9" t="s">
        <v>3</v>
      </c>
      <c r="C14" s="10">
        <v>3240</v>
      </c>
      <c r="D14" s="10">
        <f t="shared" si="0"/>
        <v>3240</v>
      </c>
    </row>
    <row r="15" spans="1:7" x14ac:dyDescent="0.25">
      <c r="A15" s="8">
        <v>45988</v>
      </c>
      <c r="B15" s="9" t="s">
        <v>7</v>
      </c>
      <c r="C15" s="10">
        <v>-3240</v>
      </c>
      <c r="D15" s="10">
        <f t="shared" si="0"/>
        <v>0</v>
      </c>
    </row>
    <row r="16" spans="1:7" x14ac:dyDescent="0.25">
      <c r="A16" s="8">
        <v>45988</v>
      </c>
      <c r="B16" s="9" t="s">
        <v>3</v>
      </c>
      <c r="C16" s="10">
        <v>3520</v>
      </c>
      <c r="D16" s="10">
        <f t="shared" si="0"/>
        <v>3520</v>
      </c>
    </row>
    <row r="17" spans="1:4" x14ac:dyDescent="0.25">
      <c r="A17" s="8">
        <v>46001</v>
      </c>
      <c r="B17" s="9" t="s">
        <v>130</v>
      </c>
      <c r="C17" s="10">
        <v>-3520</v>
      </c>
      <c r="D17" s="10">
        <f t="shared" si="0"/>
        <v>0</v>
      </c>
    </row>
    <row r="18" spans="1:4" x14ac:dyDescent="0.25">
      <c r="A18" s="8">
        <v>46002</v>
      </c>
      <c r="B18" s="9" t="s">
        <v>3</v>
      </c>
      <c r="C18" s="10">
        <v>2360</v>
      </c>
      <c r="D18" s="10">
        <f t="shared" si="0"/>
        <v>2360</v>
      </c>
    </row>
    <row r="19" spans="1:4" x14ac:dyDescent="0.25">
      <c r="A19" s="8">
        <v>46066</v>
      </c>
      <c r="B19" s="9" t="s">
        <v>3</v>
      </c>
      <c r="C19" s="10">
        <v>5300</v>
      </c>
      <c r="D19" s="10">
        <f t="shared" si="0"/>
        <v>7660</v>
      </c>
    </row>
    <row r="20" spans="1:4" x14ac:dyDescent="0.25">
      <c r="A20" s="8">
        <v>46070</v>
      </c>
      <c r="B20" s="9" t="s">
        <v>227</v>
      </c>
      <c r="C20" s="10">
        <v>-2360</v>
      </c>
      <c r="D20" s="10">
        <f t="shared" si="0"/>
        <v>5300</v>
      </c>
    </row>
    <row r="21" spans="1:4" x14ac:dyDescent="0.25">
      <c r="A21" s="8">
        <v>46070</v>
      </c>
      <c r="B21" s="9" t="s">
        <v>227</v>
      </c>
      <c r="C21" s="10">
        <v>-5300</v>
      </c>
      <c r="D21" s="10">
        <f t="shared" si="0"/>
        <v>0</v>
      </c>
    </row>
    <row r="22" spans="1:4" x14ac:dyDescent="0.25">
      <c r="A22" s="8">
        <v>46226</v>
      </c>
      <c r="B22" s="9" t="s">
        <v>3</v>
      </c>
      <c r="C22" s="10">
        <v>1650</v>
      </c>
      <c r="D22" s="10">
        <f t="shared" ref="D22:D32" si="1">D21+C22</f>
        <v>1650</v>
      </c>
    </row>
    <row r="23" spans="1:4" x14ac:dyDescent="0.25">
      <c r="A23" s="8">
        <v>46233</v>
      </c>
      <c r="B23" s="9" t="s">
        <v>3</v>
      </c>
      <c r="C23" s="10">
        <v>1220</v>
      </c>
      <c r="D23" s="10">
        <f t="shared" si="1"/>
        <v>2870</v>
      </c>
    </row>
    <row r="24" spans="1:4" x14ac:dyDescent="0.25">
      <c r="A24" s="8">
        <v>46237</v>
      </c>
      <c r="B24" s="9" t="s">
        <v>178</v>
      </c>
      <c r="C24" s="10">
        <v>-2870</v>
      </c>
      <c r="D24" s="10">
        <f t="shared" si="1"/>
        <v>0</v>
      </c>
    </row>
    <row r="25" spans="1:4" x14ac:dyDescent="0.25">
      <c r="A25" s="8">
        <v>46282</v>
      </c>
      <c r="B25" s="9" t="s">
        <v>3</v>
      </c>
      <c r="C25" s="10">
        <v>2750</v>
      </c>
      <c r="D25" s="10">
        <f t="shared" si="1"/>
        <v>2750</v>
      </c>
    </row>
    <row r="26" spans="1:4" x14ac:dyDescent="0.25">
      <c r="A26" s="8">
        <v>46296</v>
      </c>
      <c r="B26" s="9" t="s">
        <v>97</v>
      </c>
      <c r="C26" s="10">
        <v>2600</v>
      </c>
      <c r="D26" s="10">
        <f t="shared" si="1"/>
        <v>5350</v>
      </c>
    </row>
    <row r="27" spans="1:4" x14ac:dyDescent="0.25">
      <c r="A27" s="8">
        <v>46296</v>
      </c>
      <c r="B27" s="9" t="s">
        <v>178</v>
      </c>
      <c r="C27" s="10">
        <v>-2750</v>
      </c>
      <c r="D27" s="10">
        <f t="shared" si="1"/>
        <v>2600</v>
      </c>
    </row>
    <row r="28" spans="1:4" x14ac:dyDescent="0.25">
      <c r="A28" s="8">
        <v>46300</v>
      </c>
      <c r="B28" s="9" t="s">
        <v>589</v>
      </c>
      <c r="C28" s="10">
        <v>2840</v>
      </c>
      <c r="D28" s="10">
        <f t="shared" si="1"/>
        <v>5440</v>
      </c>
    </row>
    <row r="29" spans="1:4" x14ac:dyDescent="0.25">
      <c r="A29" s="8"/>
      <c r="B29" s="9"/>
      <c r="C29" s="10"/>
      <c r="D29" s="10">
        <f t="shared" si="1"/>
        <v>5440</v>
      </c>
    </row>
    <row r="30" spans="1:4" x14ac:dyDescent="0.25">
      <c r="A30" s="8"/>
      <c r="B30" s="9"/>
      <c r="C30" s="10"/>
      <c r="D30" s="10">
        <f t="shared" si="1"/>
        <v>5440</v>
      </c>
    </row>
    <row r="31" spans="1:4" x14ac:dyDescent="0.25">
      <c r="A31" s="8"/>
      <c r="B31" s="9"/>
      <c r="C31" s="10"/>
      <c r="D31" s="10">
        <f t="shared" si="1"/>
        <v>5440</v>
      </c>
    </row>
    <row r="32" spans="1:4" x14ac:dyDescent="0.25">
      <c r="A32" s="8"/>
      <c r="B32" s="9"/>
      <c r="C32" s="10"/>
      <c r="D32" s="10">
        <f t="shared" si="1"/>
        <v>5440</v>
      </c>
    </row>
    <row r="33" spans="1:4" x14ac:dyDescent="0.25">
      <c r="A33" s="8"/>
      <c r="B33" s="9"/>
      <c r="C33" s="10"/>
      <c r="D33" s="10"/>
    </row>
    <row r="34" spans="1:4" x14ac:dyDescent="0.25">
      <c r="A34" s="8"/>
      <c r="B34" s="9"/>
      <c r="C34" s="10"/>
      <c r="D34" s="10"/>
    </row>
    <row r="35" spans="1:4" x14ac:dyDescent="0.25">
      <c r="A35" s="8"/>
      <c r="B35" s="9"/>
      <c r="C35" s="10"/>
      <c r="D35" s="10"/>
    </row>
    <row r="36" spans="1:4" x14ac:dyDescent="0.25">
      <c r="A36" s="8"/>
      <c r="B36" s="9"/>
      <c r="C36" s="10"/>
      <c r="D36" s="10"/>
    </row>
    <row r="37" spans="1:4" x14ac:dyDescent="0.25">
      <c r="A37" s="8"/>
      <c r="B37" s="9"/>
      <c r="C37" s="10"/>
      <c r="D37" s="10"/>
    </row>
    <row r="38" spans="1:4" x14ac:dyDescent="0.25">
      <c r="A38" s="8"/>
      <c r="B38" s="9"/>
      <c r="C38" s="10"/>
      <c r="D38" s="10"/>
    </row>
    <row r="39" spans="1:4" x14ac:dyDescent="0.25">
      <c r="A39" s="8"/>
      <c r="B39" s="9"/>
      <c r="C39" s="10"/>
      <c r="D39" s="10"/>
    </row>
    <row r="40" spans="1:4" x14ac:dyDescent="0.25">
      <c r="A40" s="8"/>
      <c r="B40" s="9"/>
      <c r="C40" s="10"/>
      <c r="D40" s="10"/>
    </row>
    <row r="41" spans="1:4" x14ac:dyDescent="0.25">
      <c r="A41" s="8"/>
      <c r="B41" s="9"/>
      <c r="C41" s="10"/>
      <c r="D41" s="10"/>
    </row>
    <row r="42" spans="1:4" x14ac:dyDescent="0.25">
      <c r="A42" s="8"/>
      <c r="B42" s="9"/>
      <c r="C42" s="10"/>
      <c r="D42" s="10"/>
    </row>
    <row r="43" spans="1:4" x14ac:dyDescent="0.25">
      <c r="A43" s="8"/>
      <c r="B43" s="9"/>
      <c r="C43" s="10"/>
      <c r="D43" s="10"/>
    </row>
    <row r="44" spans="1:4" x14ac:dyDescent="0.25">
      <c r="A44" s="8"/>
      <c r="B44" s="9"/>
      <c r="C44" s="10"/>
      <c r="D44" s="10"/>
    </row>
    <row r="45" spans="1:4" x14ac:dyDescent="0.25">
      <c r="A45" s="8"/>
      <c r="B45" s="9"/>
      <c r="C45" s="10"/>
      <c r="D45" s="10"/>
    </row>
    <row r="46" spans="1:4" x14ac:dyDescent="0.25">
      <c r="A46" s="8"/>
      <c r="B46" s="9"/>
      <c r="C46" s="10"/>
      <c r="D46" s="10"/>
    </row>
    <row r="47" spans="1:4" x14ac:dyDescent="0.25">
      <c r="A47" s="8"/>
      <c r="B47" s="9"/>
      <c r="C47" s="10"/>
      <c r="D47" s="10"/>
    </row>
    <row r="48" spans="1:4" x14ac:dyDescent="0.25">
      <c r="A48" s="8"/>
      <c r="B48" s="9"/>
      <c r="C48" s="10"/>
      <c r="D48" s="10"/>
    </row>
    <row r="49" spans="1:4" x14ac:dyDescent="0.25">
      <c r="A49" s="8"/>
      <c r="B49" s="9"/>
      <c r="C49" s="10"/>
      <c r="D49" s="10"/>
    </row>
    <row r="50" spans="1:4" x14ac:dyDescent="0.25">
      <c r="A50" s="8"/>
      <c r="B50" s="9"/>
      <c r="C50" s="10"/>
      <c r="D50" s="10"/>
    </row>
    <row r="51" spans="1:4" x14ac:dyDescent="0.25">
      <c r="A51" s="8"/>
      <c r="B51" s="9"/>
      <c r="C51" s="10"/>
      <c r="D51" s="10"/>
    </row>
    <row r="52" spans="1:4" x14ac:dyDescent="0.25">
      <c r="A52" s="8"/>
      <c r="B52" s="9"/>
      <c r="C52" s="10"/>
      <c r="D52" s="10"/>
    </row>
    <row r="53" spans="1:4" x14ac:dyDescent="0.25">
      <c r="A53" s="8"/>
      <c r="B53" s="9"/>
      <c r="C53" s="10"/>
      <c r="D53" s="10"/>
    </row>
    <row r="54" spans="1:4" x14ac:dyDescent="0.25">
      <c r="A54" s="8"/>
      <c r="B54" s="9"/>
      <c r="C54" s="10"/>
      <c r="D54" s="10"/>
    </row>
    <row r="55" spans="1:4" x14ac:dyDescent="0.25">
      <c r="A55" s="8"/>
      <c r="B55" s="9"/>
      <c r="C55" s="10"/>
      <c r="D55" s="10"/>
    </row>
    <row r="56" spans="1:4" x14ac:dyDescent="0.25">
      <c r="A56" s="8"/>
      <c r="B56" s="9"/>
      <c r="C56" s="10"/>
      <c r="D56" s="10"/>
    </row>
    <row r="57" spans="1:4" x14ac:dyDescent="0.25">
      <c r="A57" s="8"/>
      <c r="B57" s="9"/>
      <c r="C57" s="10"/>
      <c r="D57" s="10"/>
    </row>
    <row r="58" spans="1:4" x14ac:dyDescent="0.25">
      <c r="A58" s="8"/>
      <c r="B58" s="9"/>
      <c r="C58" s="10"/>
      <c r="D58" s="10"/>
    </row>
    <row r="59" spans="1:4" x14ac:dyDescent="0.25">
      <c r="A59" s="8"/>
      <c r="B59" s="9"/>
      <c r="C59" s="10"/>
      <c r="D59" s="10"/>
    </row>
    <row r="60" spans="1:4" x14ac:dyDescent="0.25">
      <c r="A60" s="8"/>
      <c r="B60" s="9"/>
      <c r="C60" s="10"/>
      <c r="D60" s="10"/>
    </row>
    <row r="61" spans="1:4" x14ac:dyDescent="0.25">
      <c r="A61" s="8"/>
      <c r="B61" s="9"/>
      <c r="C61" s="10"/>
      <c r="D61" s="10"/>
    </row>
    <row r="62" spans="1:4" x14ac:dyDescent="0.25">
      <c r="A62" s="8"/>
      <c r="B62" s="9"/>
      <c r="C62" s="10"/>
      <c r="D62" s="10"/>
    </row>
    <row r="63" spans="1:4" x14ac:dyDescent="0.25">
      <c r="A63" s="8"/>
      <c r="B63" s="9"/>
      <c r="C63" s="10"/>
      <c r="D63" s="10"/>
    </row>
    <row r="64" spans="1:4" x14ac:dyDescent="0.25">
      <c r="A64" s="8"/>
      <c r="B64" s="9"/>
      <c r="C64" s="10"/>
      <c r="D64" s="10"/>
    </row>
    <row r="65" spans="1:4" x14ac:dyDescent="0.25">
      <c r="A65" s="8"/>
      <c r="B65" s="9"/>
      <c r="C65" s="10"/>
      <c r="D65" s="10"/>
    </row>
    <row r="66" spans="1:4" x14ac:dyDescent="0.25">
      <c r="A66" s="8"/>
      <c r="B66" s="9"/>
      <c r="C66" s="10"/>
      <c r="D66" s="10"/>
    </row>
    <row r="67" spans="1:4" x14ac:dyDescent="0.25">
      <c r="A67" s="8"/>
      <c r="B67" s="9"/>
      <c r="C67" s="10"/>
      <c r="D67" s="10"/>
    </row>
    <row r="68" spans="1:4" x14ac:dyDescent="0.25">
      <c r="A68" s="8"/>
      <c r="B68" s="9"/>
      <c r="C68" s="10"/>
      <c r="D68" s="10"/>
    </row>
    <row r="69" spans="1:4" x14ac:dyDescent="0.25">
      <c r="A69" s="8"/>
      <c r="B69" s="9"/>
      <c r="C69" s="10"/>
      <c r="D69" s="10"/>
    </row>
    <row r="70" spans="1:4" x14ac:dyDescent="0.25">
      <c r="A70" s="8"/>
      <c r="B70" s="9"/>
      <c r="C70" s="10"/>
      <c r="D70" s="10"/>
    </row>
    <row r="71" spans="1:4" x14ac:dyDescent="0.25">
      <c r="A71" s="8"/>
      <c r="B71" s="9"/>
      <c r="C71" s="10"/>
      <c r="D71" s="10"/>
    </row>
    <row r="72" spans="1:4" x14ac:dyDescent="0.25">
      <c r="A72" s="8"/>
      <c r="B72" s="9"/>
      <c r="C72" s="10"/>
      <c r="D72" s="10"/>
    </row>
    <row r="73" spans="1:4" x14ac:dyDescent="0.25">
      <c r="A73" s="8"/>
      <c r="B73" s="9"/>
      <c r="C73" s="10"/>
      <c r="D73" s="10"/>
    </row>
    <row r="74" spans="1:4" x14ac:dyDescent="0.25">
      <c r="A74" s="9"/>
      <c r="B74" s="9"/>
      <c r="C74" s="10"/>
      <c r="D74" s="10"/>
    </row>
    <row r="75" spans="1:4" x14ac:dyDescent="0.25">
      <c r="A75" s="9"/>
      <c r="B75" s="9"/>
      <c r="C75" s="10"/>
      <c r="D75" s="10"/>
    </row>
    <row r="76" spans="1:4" x14ac:dyDescent="0.25">
      <c r="A76" s="9"/>
      <c r="B76" s="9"/>
      <c r="C76" s="10"/>
      <c r="D76" s="10"/>
    </row>
    <row r="77" spans="1:4" x14ac:dyDescent="0.25">
      <c r="A77" s="9"/>
      <c r="B77" s="9"/>
      <c r="C77" s="10"/>
      <c r="D77" s="10"/>
    </row>
    <row r="78" spans="1:4" x14ac:dyDescent="0.25">
      <c r="A78" s="9"/>
      <c r="B78" s="9"/>
      <c r="C78" s="10"/>
      <c r="D78" s="10"/>
    </row>
    <row r="79" spans="1:4" x14ac:dyDescent="0.25">
      <c r="A79" s="9"/>
      <c r="B79" s="9"/>
      <c r="C79" s="10"/>
      <c r="D79" s="10"/>
    </row>
    <row r="80" spans="1:4" x14ac:dyDescent="0.25">
      <c r="A80" s="9"/>
      <c r="B80" s="9"/>
      <c r="C80" s="10"/>
      <c r="D80" s="10"/>
    </row>
    <row r="81" spans="1:4" x14ac:dyDescent="0.25">
      <c r="A81" s="9"/>
      <c r="B81" s="9"/>
      <c r="C81" s="10"/>
      <c r="D81" s="10"/>
    </row>
    <row r="82" spans="1:4" x14ac:dyDescent="0.25">
      <c r="A82" s="9"/>
      <c r="B82" s="9"/>
      <c r="C82" s="10"/>
      <c r="D82" s="10"/>
    </row>
    <row r="83" spans="1:4" x14ac:dyDescent="0.25">
      <c r="A83" s="9"/>
      <c r="B83" s="9"/>
      <c r="C83" s="10"/>
      <c r="D83" s="10"/>
    </row>
    <row r="84" spans="1:4" x14ac:dyDescent="0.25">
      <c r="A84" s="9"/>
      <c r="B84" s="9"/>
      <c r="C84" s="10"/>
      <c r="D84" s="10"/>
    </row>
    <row r="85" spans="1:4" x14ac:dyDescent="0.25">
      <c r="A85" s="9"/>
      <c r="B85" s="9"/>
      <c r="C85" s="10"/>
      <c r="D85" s="10"/>
    </row>
    <row r="86" spans="1:4" x14ac:dyDescent="0.25">
      <c r="A86" s="9"/>
      <c r="B86" s="9"/>
      <c r="C86" s="10"/>
      <c r="D86" s="10"/>
    </row>
    <row r="87" spans="1:4" x14ac:dyDescent="0.25">
      <c r="A87" s="9"/>
      <c r="B87" s="9"/>
      <c r="C87" s="10"/>
      <c r="D87" s="10"/>
    </row>
    <row r="88" spans="1:4" x14ac:dyDescent="0.25">
      <c r="A88" s="9"/>
      <c r="B88" s="9"/>
      <c r="C88" s="10"/>
      <c r="D88" s="10"/>
    </row>
    <row r="89" spans="1:4" x14ac:dyDescent="0.25">
      <c r="A89" s="9"/>
      <c r="B89" s="9"/>
      <c r="C89" s="10"/>
      <c r="D89" s="10"/>
    </row>
    <row r="90" spans="1:4" x14ac:dyDescent="0.25">
      <c r="A90" s="9"/>
      <c r="B90" s="9"/>
      <c r="C90" s="10"/>
      <c r="D90" s="10"/>
    </row>
    <row r="91" spans="1:4" x14ac:dyDescent="0.25">
      <c r="A91" s="9"/>
      <c r="B91" s="9"/>
      <c r="C91" s="10"/>
      <c r="D91" s="10"/>
    </row>
    <row r="92" spans="1:4" x14ac:dyDescent="0.25">
      <c r="A92" s="9"/>
      <c r="B92" s="9"/>
      <c r="C92" s="10"/>
      <c r="D92" s="10"/>
    </row>
    <row r="93" spans="1:4" x14ac:dyDescent="0.25">
      <c r="A93" s="9"/>
      <c r="B93" s="9"/>
      <c r="C93" s="10"/>
      <c r="D93" s="10"/>
    </row>
    <row r="94" spans="1:4" x14ac:dyDescent="0.25">
      <c r="A94" s="9"/>
      <c r="B94" s="9"/>
      <c r="C94" s="10"/>
      <c r="D94" s="10"/>
    </row>
    <row r="95" spans="1:4" x14ac:dyDescent="0.25">
      <c r="A95" s="9"/>
      <c r="B95" s="9"/>
      <c r="C95" s="10"/>
      <c r="D95" s="10"/>
    </row>
    <row r="96" spans="1:4" x14ac:dyDescent="0.25">
      <c r="A96" s="9"/>
      <c r="B96" s="9"/>
      <c r="C96" s="10"/>
      <c r="D96" s="10"/>
    </row>
    <row r="97" spans="1:4" x14ac:dyDescent="0.25">
      <c r="A97" s="9"/>
      <c r="B97" s="9"/>
      <c r="C97" s="10"/>
      <c r="D97" s="10"/>
    </row>
    <row r="98" spans="1:4" x14ac:dyDescent="0.25">
      <c r="A98" s="9"/>
      <c r="B98" s="9"/>
      <c r="C98" s="10"/>
      <c r="D98" s="10"/>
    </row>
    <row r="99" spans="1:4" x14ac:dyDescent="0.25">
      <c r="A99" s="9"/>
      <c r="B99" s="9"/>
      <c r="C99" s="10"/>
      <c r="D99" s="10"/>
    </row>
    <row r="100" spans="1:4" x14ac:dyDescent="0.25">
      <c r="A100" s="9"/>
      <c r="B100" s="9"/>
      <c r="C100" s="10"/>
      <c r="D100" s="10"/>
    </row>
    <row r="101" spans="1:4" x14ac:dyDescent="0.25">
      <c r="A101" s="9"/>
      <c r="B101" s="9"/>
      <c r="C101" s="10"/>
      <c r="D101" s="10"/>
    </row>
    <row r="102" spans="1:4" x14ac:dyDescent="0.25">
      <c r="A102" s="9"/>
      <c r="B102" s="9"/>
      <c r="C102" s="10"/>
      <c r="D102" s="10"/>
    </row>
    <row r="103" spans="1:4" x14ac:dyDescent="0.25">
      <c r="A103" s="9"/>
      <c r="B103" s="9"/>
      <c r="C103" s="10"/>
      <c r="D103" s="10"/>
    </row>
    <row r="104" spans="1:4" x14ac:dyDescent="0.25">
      <c r="A104" s="9"/>
      <c r="B104" s="9"/>
      <c r="C104" s="10"/>
      <c r="D104" s="10"/>
    </row>
    <row r="105" spans="1:4" x14ac:dyDescent="0.25">
      <c r="A105" s="9"/>
      <c r="B105" s="9"/>
      <c r="C105" s="10"/>
      <c r="D105" s="10"/>
    </row>
    <row r="106" spans="1:4" x14ac:dyDescent="0.25">
      <c r="A106" s="9"/>
      <c r="B106" s="9"/>
      <c r="C106" s="10"/>
      <c r="D106" s="10"/>
    </row>
    <row r="107" spans="1:4" x14ac:dyDescent="0.25">
      <c r="A107" s="9"/>
      <c r="B107" s="9"/>
      <c r="C107" s="10"/>
      <c r="D107" s="10"/>
    </row>
    <row r="108" spans="1:4" x14ac:dyDescent="0.25">
      <c r="A108" s="9"/>
      <c r="B108" s="9"/>
      <c r="C108" s="10"/>
      <c r="D108" s="10"/>
    </row>
    <row r="109" spans="1:4" x14ac:dyDescent="0.25">
      <c r="A109" s="9"/>
      <c r="B109" s="9"/>
      <c r="C109" s="10"/>
      <c r="D109" s="10"/>
    </row>
    <row r="110" spans="1:4" x14ac:dyDescent="0.25">
      <c r="A110" s="9"/>
      <c r="B110" s="9"/>
      <c r="C110" s="10"/>
      <c r="D110" s="10"/>
    </row>
    <row r="111" spans="1:4" x14ac:dyDescent="0.25">
      <c r="A111" s="9"/>
      <c r="B111" s="9"/>
      <c r="C111" s="10"/>
      <c r="D111" s="10"/>
    </row>
    <row r="112" spans="1:4" x14ac:dyDescent="0.25">
      <c r="A112" s="9"/>
      <c r="B112" s="9"/>
      <c r="C112" s="10"/>
      <c r="D112" s="10"/>
    </row>
    <row r="113" spans="1:4" x14ac:dyDescent="0.25">
      <c r="A113" s="9"/>
      <c r="B113" s="9"/>
      <c r="C113" s="10"/>
      <c r="D113" s="10"/>
    </row>
    <row r="114" spans="1:4" x14ac:dyDescent="0.25">
      <c r="A114" s="9"/>
      <c r="B114" s="9"/>
      <c r="C114" s="10"/>
      <c r="D114" s="10"/>
    </row>
    <row r="115" spans="1:4" x14ac:dyDescent="0.25">
      <c r="A115" s="9"/>
      <c r="B115" s="9"/>
      <c r="C115" s="10"/>
      <c r="D115" s="10"/>
    </row>
    <row r="116" spans="1:4" x14ac:dyDescent="0.25">
      <c r="A116" s="9"/>
      <c r="B116" s="9"/>
      <c r="C116" s="10"/>
      <c r="D116" s="10"/>
    </row>
    <row r="117" spans="1:4" x14ac:dyDescent="0.25">
      <c r="A117" s="9"/>
      <c r="B117" s="9"/>
      <c r="C117" s="10"/>
      <c r="D117" s="10"/>
    </row>
    <row r="118" spans="1:4" x14ac:dyDescent="0.25">
      <c r="A118" s="9"/>
      <c r="B118" s="9"/>
      <c r="C118" s="10"/>
      <c r="D118" s="10"/>
    </row>
    <row r="119" spans="1:4" x14ac:dyDescent="0.25">
      <c r="A119" s="9"/>
      <c r="B119" s="9"/>
      <c r="C119" s="10"/>
      <c r="D119" s="10"/>
    </row>
    <row r="120" spans="1:4" x14ac:dyDescent="0.25">
      <c r="A120" s="9"/>
      <c r="B120" s="9"/>
      <c r="C120" s="10"/>
      <c r="D120" s="10"/>
    </row>
    <row r="121" spans="1:4" x14ac:dyDescent="0.25">
      <c r="A121" s="9"/>
      <c r="B121" s="9"/>
      <c r="C121" s="10"/>
      <c r="D121" s="10"/>
    </row>
    <row r="122" spans="1:4" x14ac:dyDescent="0.25">
      <c r="A122" s="9"/>
      <c r="B122" s="9"/>
      <c r="C122" s="10"/>
      <c r="D122" s="10"/>
    </row>
    <row r="123" spans="1:4" x14ac:dyDescent="0.25">
      <c r="A123" s="9"/>
      <c r="B123" s="9"/>
      <c r="C123" s="10"/>
      <c r="D123" s="10"/>
    </row>
    <row r="124" spans="1:4" x14ac:dyDescent="0.25">
      <c r="A124" s="9"/>
      <c r="B124" s="9"/>
      <c r="C124" s="10"/>
      <c r="D124" s="10"/>
    </row>
    <row r="125" spans="1:4" x14ac:dyDescent="0.25">
      <c r="A125" s="9"/>
      <c r="B125" s="9"/>
      <c r="C125" s="10"/>
      <c r="D125" s="10"/>
    </row>
    <row r="126" spans="1:4" x14ac:dyDescent="0.25">
      <c r="A126" s="9"/>
      <c r="B126" s="9"/>
      <c r="C126" s="10"/>
      <c r="D126" s="10"/>
    </row>
    <row r="127" spans="1:4" x14ac:dyDescent="0.25">
      <c r="A127" s="9"/>
      <c r="B127" s="9"/>
      <c r="C127" s="10"/>
      <c r="D127" s="10"/>
    </row>
    <row r="128" spans="1:4" x14ac:dyDescent="0.25">
      <c r="A128" s="9"/>
      <c r="B128" s="9"/>
      <c r="C128" s="10"/>
      <c r="D128" s="10"/>
    </row>
    <row r="129" spans="1:4" x14ac:dyDescent="0.25">
      <c r="A129" s="9"/>
      <c r="B129" s="9"/>
      <c r="C129" s="10"/>
      <c r="D129" s="10"/>
    </row>
    <row r="130" spans="1:4" x14ac:dyDescent="0.25">
      <c r="A130" s="9"/>
      <c r="B130" s="9"/>
      <c r="C130" s="10"/>
      <c r="D130" s="10"/>
    </row>
    <row r="131" spans="1:4" x14ac:dyDescent="0.25">
      <c r="A131" s="9"/>
      <c r="B131" s="9"/>
      <c r="C131" s="10"/>
      <c r="D131" s="10"/>
    </row>
    <row r="132" spans="1:4" x14ac:dyDescent="0.25">
      <c r="A132" s="9"/>
      <c r="B132" s="9"/>
      <c r="C132" s="10"/>
      <c r="D132" s="10"/>
    </row>
    <row r="133" spans="1:4" x14ac:dyDescent="0.25">
      <c r="A133" s="9"/>
      <c r="B133" s="9"/>
      <c r="C133" s="10"/>
      <c r="D133" s="10"/>
    </row>
    <row r="134" spans="1:4" x14ac:dyDescent="0.25">
      <c r="A134" s="9"/>
      <c r="B134" s="9"/>
      <c r="C134" s="10"/>
      <c r="D134" s="10"/>
    </row>
    <row r="135" spans="1:4" x14ac:dyDescent="0.25">
      <c r="A135" s="9"/>
      <c r="B135" s="9"/>
      <c r="C135" s="10"/>
      <c r="D135" s="10"/>
    </row>
    <row r="136" spans="1:4" x14ac:dyDescent="0.25">
      <c r="A136" s="9"/>
      <c r="B136" s="9"/>
      <c r="C136" s="10"/>
      <c r="D136" s="10"/>
    </row>
    <row r="137" spans="1:4" x14ac:dyDescent="0.25">
      <c r="A137" s="9"/>
      <c r="B137" s="9"/>
      <c r="C137" s="10"/>
      <c r="D137" s="10"/>
    </row>
    <row r="138" spans="1:4" x14ac:dyDescent="0.25">
      <c r="A138" s="9"/>
      <c r="B138" s="9"/>
      <c r="C138" s="10"/>
      <c r="D138" s="10"/>
    </row>
    <row r="139" spans="1:4" x14ac:dyDescent="0.25">
      <c r="A139" s="9"/>
      <c r="B139" s="9"/>
      <c r="C139" s="10"/>
      <c r="D139" s="10"/>
    </row>
    <row r="140" spans="1:4" x14ac:dyDescent="0.25">
      <c r="A140" s="9"/>
      <c r="B140" s="9"/>
      <c r="C140" s="10"/>
      <c r="D140" s="10"/>
    </row>
    <row r="141" spans="1:4" x14ac:dyDescent="0.25">
      <c r="A141" s="9"/>
      <c r="B141" s="9"/>
      <c r="C141" s="10"/>
      <c r="D141" s="10"/>
    </row>
    <row r="142" spans="1:4" x14ac:dyDescent="0.25">
      <c r="A142" s="9"/>
      <c r="B142" s="9"/>
      <c r="C142" s="10"/>
      <c r="D142" s="10"/>
    </row>
    <row r="143" spans="1:4" x14ac:dyDescent="0.25">
      <c r="A143" s="9"/>
      <c r="B143" s="9"/>
      <c r="C143" s="10"/>
      <c r="D143" s="10"/>
    </row>
    <row r="144" spans="1:4" x14ac:dyDescent="0.25">
      <c r="A144" s="9"/>
      <c r="B144" s="9"/>
      <c r="C144" s="10"/>
      <c r="D144" s="10"/>
    </row>
    <row r="145" spans="1:4" x14ac:dyDescent="0.25">
      <c r="A145" s="9"/>
      <c r="B145" s="9"/>
      <c r="C145" s="10"/>
      <c r="D145" s="10"/>
    </row>
    <row r="146" spans="1:4" x14ac:dyDescent="0.25">
      <c r="A146" s="9"/>
      <c r="B146" s="9"/>
      <c r="C146" s="10"/>
      <c r="D146" s="10"/>
    </row>
    <row r="147" spans="1:4" x14ac:dyDescent="0.25">
      <c r="A147" s="9"/>
      <c r="B147" s="9"/>
      <c r="C147" s="10"/>
      <c r="D147" s="10"/>
    </row>
    <row r="148" spans="1:4" x14ac:dyDescent="0.25">
      <c r="A148" s="9"/>
      <c r="B148" s="9"/>
      <c r="C148" s="10"/>
      <c r="D148" s="10"/>
    </row>
    <row r="149" spans="1:4" x14ac:dyDescent="0.25">
      <c r="A149" s="9"/>
      <c r="B149" s="9"/>
      <c r="C149" s="10"/>
      <c r="D149" s="10"/>
    </row>
    <row r="150" spans="1:4" x14ac:dyDescent="0.25">
      <c r="A150" s="9"/>
      <c r="B150" s="9"/>
      <c r="C150" s="10"/>
      <c r="D150" s="10"/>
    </row>
    <row r="151" spans="1:4" x14ac:dyDescent="0.25">
      <c r="A151" s="9"/>
      <c r="B151" s="9"/>
      <c r="C151" s="10"/>
      <c r="D151" s="10"/>
    </row>
    <row r="152" spans="1:4" x14ac:dyDescent="0.25">
      <c r="A152" s="9"/>
      <c r="B152" s="9"/>
      <c r="C152" s="10"/>
      <c r="D152" s="10"/>
    </row>
    <row r="153" spans="1:4" x14ac:dyDescent="0.25">
      <c r="A153" s="9"/>
      <c r="B153" s="9"/>
      <c r="C153" s="10"/>
      <c r="D153" s="10"/>
    </row>
    <row r="154" spans="1:4" x14ac:dyDescent="0.25">
      <c r="A154" s="9"/>
      <c r="B154" s="9"/>
      <c r="C154" s="10"/>
      <c r="D154" s="10"/>
    </row>
    <row r="155" spans="1:4" x14ac:dyDescent="0.25">
      <c r="A155" s="9"/>
      <c r="B155" s="9"/>
      <c r="C155" s="10"/>
      <c r="D155" s="10"/>
    </row>
    <row r="156" spans="1:4" x14ac:dyDescent="0.25">
      <c r="A156" s="9"/>
      <c r="B156" s="9"/>
      <c r="C156" s="10"/>
      <c r="D156" s="10"/>
    </row>
    <row r="157" spans="1:4" x14ac:dyDescent="0.25">
      <c r="A157" s="9"/>
      <c r="B157" s="9"/>
      <c r="C157" s="10"/>
      <c r="D157" s="10"/>
    </row>
    <row r="158" spans="1:4" x14ac:dyDescent="0.25">
      <c r="A158" s="9"/>
      <c r="B158" s="9"/>
      <c r="C158" s="10"/>
      <c r="D158" s="10"/>
    </row>
    <row r="159" spans="1:4" x14ac:dyDescent="0.25">
      <c r="A159" s="9"/>
      <c r="B159" s="9"/>
      <c r="C159" s="10"/>
      <c r="D159" s="10"/>
    </row>
    <row r="160" spans="1:4" x14ac:dyDescent="0.25">
      <c r="A160" s="9"/>
      <c r="B160" s="9"/>
      <c r="C160" s="10"/>
      <c r="D160" s="10"/>
    </row>
    <row r="161" spans="1:4" x14ac:dyDescent="0.25">
      <c r="A161" s="9"/>
      <c r="B161" s="9"/>
      <c r="C161" s="10"/>
      <c r="D161" s="10"/>
    </row>
    <row r="162" spans="1:4" x14ac:dyDescent="0.25">
      <c r="A162" s="9"/>
      <c r="B162" s="9"/>
      <c r="C162" s="10"/>
      <c r="D162" s="10"/>
    </row>
    <row r="163" spans="1:4" x14ac:dyDescent="0.25">
      <c r="A163" s="9"/>
      <c r="B163" s="9"/>
      <c r="C163" s="10"/>
      <c r="D163" s="10"/>
    </row>
    <row r="164" spans="1:4" x14ac:dyDescent="0.25">
      <c r="A164" s="9"/>
      <c r="B164" s="9"/>
      <c r="C164" s="10"/>
      <c r="D164" s="10"/>
    </row>
    <row r="165" spans="1:4" x14ac:dyDescent="0.25">
      <c r="A165" s="9"/>
      <c r="B165" s="9"/>
      <c r="C165" s="10"/>
      <c r="D165" s="10"/>
    </row>
    <row r="166" spans="1:4" x14ac:dyDescent="0.25">
      <c r="A166" s="9"/>
      <c r="B166" s="9"/>
      <c r="C166" s="10"/>
      <c r="D166" s="10"/>
    </row>
    <row r="167" spans="1:4" x14ac:dyDescent="0.25">
      <c r="A167" s="9"/>
      <c r="B167" s="9"/>
      <c r="C167" s="10"/>
      <c r="D167" s="10"/>
    </row>
    <row r="168" spans="1:4" x14ac:dyDescent="0.25">
      <c r="A168" s="9"/>
      <c r="B168" s="9"/>
      <c r="C168" s="10"/>
      <c r="D168" s="10"/>
    </row>
    <row r="169" spans="1:4" x14ac:dyDescent="0.25">
      <c r="A169" s="9"/>
      <c r="B169" s="9"/>
      <c r="C169" s="10"/>
      <c r="D169" s="10"/>
    </row>
    <row r="170" spans="1:4" x14ac:dyDescent="0.25">
      <c r="A170" s="9"/>
      <c r="B170" s="9"/>
      <c r="C170" s="10"/>
      <c r="D170" s="10"/>
    </row>
    <row r="171" spans="1:4" x14ac:dyDescent="0.25">
      <c r="A171" s="9"/>
      <c r="B171" s="9"/>
      <c r="C171" s="10"/>
      <c r="D171" s="10"/>
    </row>
    <row r="172" spans="1:4" x14ac:dyDescent="0.25">
      <c r="A172" s="9"/>
      <c r="B172" s="9"/>
      <c r="C172" s="10"/>
      <c r="D172" s="10"/>
    </row>
    <row r="173" spans="1:4" x14ac:dyDescent="0.25">
      <c r="A173" s="9"/>
      <c r="B173" s="9"/>
      <c r="C173" s="10"/>
      <c r="D173" s="10"/>
    </row>
    <row r="174" spans="1:4" x14ac:dyDescent="0.25">
      <c r="A174" s="9"/>
      <c r="B174" s="9"/>
      <c r="C174" s="10"/>
      <c r="D174" s="10"/>
    </row>
    <row r="175" spans="1:4" x14ac:dyDescent="0.25">
      <c r="A175" s="9"/>
      <c r="B175" s="9"/>
      <c r="C175" s="10"/>
      <c r="D175" s="10"/>
    </row>
    <row r="176" spans="1:4" x14ac:dyDescent="0.25">
      <c r="A176" s="9"/>
      <c r="B176" s="9"/>
      <c r="C176" s="10"/>
      <c r="D176" s="10"/>
    </row>
    <row r="177" spans="1:4" x14ac:dyDescent="0.25">
      <c r="A177" s="9"/>
      <c r="B177" s="9"/>
      <c r="C177" s="10"/>
      <c r="D177" s="10"/>
    </row>
    <row r="178" spans="1:4" x14ac:dyDescent="0.25">
      <c r="A178" s="9"/>
      <c r="B178" s="9"/>
      <c r="C178" s="10"/>
      <c r="D178" s="10"/>
    </row>
    <row r="179" spans="1:4" x14ac:dyDescent="0.25">
      <c r="A179" s="9"/>
      <c r="B179" s="9"/>
      <c r="C179" s="10"/>
      <c r="D179" s="10"/>
    </row>
    <row r="180" spans="1:4" x14ac:dyDescent="0.25">
      <c r="A180" s="9"/>
      <c r="B180" s="9"/>
      <c r="C180" s="10"/>
      <c r="D180" s="10"/>
    </row>
    <row r="181" spans="1:4" x14ac:dyDescent="0.25">
      <c r="A181" s="9"/>
      <c r="B181" s="9"/>
      <c r="C181" s="10"/>
      <c r="D181" s="10"/>
    </row>
    <row r="182" spans="1:4" x14ac:dyDescent="0.25">
      <c r="A182" s="9"/>
      <c r="B182" s="9"/>
      <c r="C182" s="10"/>
      <c r="D182" s="10"/>
    </row>
    <row r="183" spans="1:4" x14ac:dyDescent="0.25">
      <c r="A183" s="9"/>
      <c r="B183" s="9"/>
      <c r="C183" s="10"/>
      <c r="D183" s="10"/>
    </row>
    <row r="184" spans="1:4" x14ac:dyDescent="0.25">
      <c r="A184" s="9"/>
      <c r="B184" s="9"/>
      <c r="C184" s="10"/>
      <c r="D184" s="10"/>
    </row>
    <row r="185" spans="1:4" x14ac:dyDescent="0.25">
      <c r="A185" s="9"/>
      <c r="B185" s="9"/>
      <c r="C185" s="10"/>
      <c r="D185" s="10"/>
    </row>
    <row r="186" spans="1:4" x14ac:dyDescent="0.25">
      <c r="A186" s="9"/>
      <c r="B186" s="9"/>
      <c r="C186" s="10"/>
      <c r="D186" s="10"/>
    </row>
    <row r="187" spans="1:4" x14ac:dyDescent="0.25">
      <c r="A187" s="9"/>
      <c r="B187" s="9"/>
      <c r="C187" s="10"/>
      <c r="D187" s="10"/>
    </row>
  </sheetData>
  <mergeCells count="2">
    <mergeCell ref="A4:D4"/>
    <mergeCell ref="B6:D6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F92A2-1DDC-47CA-91C7-48D48CB74249}">
  <dimension ref="A4:G187"/>
  <sheetViews>
    <sheetView topLeftCell="A4" workbookViewId="0">
      <selection activeCell="A22" sqref="A22"/>
    </sheetView>
  </sheetViews>
  <sheetFormatPr baseColWidth="10" defaultRowHeight="15" x14ac:dyDescent="0.25"/>
  <cols>
    <col min="1" max="1" width="28.28515625" customWidth="1"/>
    <col min="2" max="2" width="27.140625" customWidth="1"/>
    <col min="3" max="3" width="23.42578125" style="6" customWidth="1"/>
    <col min="4" max="4" width="21.85546875" style="6" customWidth="1"/>
  </cols>
  <sheetData>
    <row r="4" spans="1:7" ht="18" x14ac:dyDescent="0.25">
      <c r="A4" s="98" t="s">
        <v>0</v>
      </c>
      <c r="B4" s="98"/>
      <c r="C4" s="98"/>
      <c r="D4" s="98"/>
      <c r="E4" s="1"/>
      <c r="F4" s="1"/>
      <c r="G4" s="1"/>
    </row>
    <row r="6" spans="1:7" x14ac:dyDescent="0.25">
      <c r="A6" s="2" t="s">
        <v>1</v>
      </c>
      <c r="B6" s="96" t="s">
        <v>115</v>
      </c>
      <c r="C6" s="97"/>
      <c r="D6" s="97"/>
    </row>
    <row r="7" spans="1:7" x14ac:dyDescent="0.25">
      <c r="A7" s="3" t="s">
        <v>11</v>
      </c>
      <c r="B7" s="4" t="s">
        <v>113</v>
      </c>
      <c r="C7" s="4"/>
      <c r="D7" s="4"/>
    </row>
    <row r="8" spans="1:7" x14ac:dyDescent="0.25">
      <c r="B8" s="5"/>
    </row>
    <row r="9" spans="1:7" x14ac:dyDescent="0.25">
      <c r="A9" s="2" t="s">
        <v>2</v>
      </c>
      <c r="B9" s="2" t="s">
        <v>3</v>
      </c>
      <c r="C9" s="7" t="s">
        <v>4</v>
      </c>
      <c r="D9" s="7" t="s">
        <v>5</v>
      </c>
    </row>
    <row r="10" spans="1:7" x14ac:dyDescent="0.25">
      <c r="A10" s="8">
        <v>45911</v>
      </c>
      <c r="B10" s="9" t="s">
        <v>3</v>
      </c>
      <c r="C10" s="10">
        <v>970</v>
      </c>
      <c r="D10" s="10">
        <f>C10</f>
        <v>970</v>
      </c>
    </row>
    <row r="11" spans="1:7" x14ac:dyDescent="0.25">
      <c r="A11" s="13" t="s">
        <v>124</v>
      </c>
      <c r="B11" s="9"/>
      <c r="C11" s="10">
        <v>-970</v>
      </c>
      <c r="D11" s="10">
        <f>D10+C11</f>
        <v>0</v>
      </c>
    </row>
    <row r="12" spans="1:7" x14ac:dyDescent="0.25">
      <c r="A12" s="8">
        <v>45953</v>
      </c>
      <c r="B12" s="9" t="s">
        <v>3</v>
      </c>
      <c r="C12" s="10">
        <v>1020</v>
      </c>
      <c r="D12" s="10">
        <f t="shared" ref="D12:D31" si="0">D11+C12</f>
        <v>1020</v>
      </c>
    </row>
    <row r="13" spans="1:7" x14ac:dyDescent="0.25">
      <c r="A13" s="8">
        <v>45953</v>
      </c>
      <c r="B13" s="9" t="s">
        <v>179</v>
      </c>
      <c r="C13" s="10">
        <v>-1020</v>
      </c>
      <c r="D13" s="10">
        <f t="shared" si="0"/>
        <v>0</v>
      </c>
    </row>
    <row r="14" spans="1:7" x14ac:dyDescent="0.25">
      <c r="A14" s="8">
        <v>46009</v>
      </c>
      <c r="B14" s="9" t="s">
        <v>3</v>
      </c>
      <c r="C14" s="10">
        <v>1350</v>
      </c>
      <c r="D14" s="10">
        <f t="shared" si="0"/>
        <v>1350</v>
      </c>
    </row>
    <row r="15" spans="1:7" x14ac:dyDescent="0.25">
      <c r="A15" s="8">
        <v>46009</v>
      </c>
      <c r="B15" s="9" t="s">
        <v>266</v>
      </c>
      <c r="C15" s="10">
        <v>-1350</v>
      </c>
      <c r="D15" s="11">
        <f t="shared" si="0"/>
        <v>0</v>
      </c>
    </row>
    <row r="16" spans="1:7" x14ac:dyDescent="0.25">
      <c r="A16" s="8">
        <v>46072</v>
      </c>
      <c r="B16" s="9" t="s">
        <v>3</v>
      </c>
      <c r="C16" s="10">
        <v>890</v>
      </c>
      <c r="D16" s="10">
        <f t="shared" si="0"/>
        <v>890</v>
      </c>
    </row>
    <row r="17" spans="1:4" x14ac:dyDescent="0.25">
      <c r="A17" s="8">
        <v>46072</v>
      </c>
      <c r="B17" s="9" t="s">
        <v>127</v>
      </c>
      <c r="C17" s="10">
        <v>-890</v>
      </c>
      <c r="D17" s="10">
        <f t="shared" si="0"/>
        <v>0</v>
      </c>
    </row>
    <row r="18" spans="1:4" x14ac:dyDescent="0.25">
      <c r="A18" s="8">
        <v>46086</v>
      </c>
      <c r="B18" s="9" t="s">
        <v>3</v>
      </c>
      <c r="C18" s="10">
        <v>360</v>
      </c>
      <c r="D18" s="10">
        <f t="shared" si="0"/>
        <v>360</v>
      </c>
    </row>
    <row r="19" spans="1:4" x14ac:dyDescent="0.25">
      <c r="A19" s="8">
        <v>46086</v>
      </c>
      <c r="B19" s="9" t="s">
        <v>261</v>
      </c>
      <c r="C19" s="10">
        <v>-360</v>
      </c>
      <c r="D19" s="10">
        <f t="shared" si="0"/>
        <v>0</v>
      </c>
    </row>
    <row r="20" spans="1:4" x14ac:dyDescent="0.25">
      <c r="A20" s="8">
        <v>46107</v>
      </c>
      <c r="B20" s="9" t="s">
        <v>3</v>
      </c>
      <c r="C20" s="10">
        <v>800</v>
      </c>
      <c r="D20" s="10">
        <f t="shared" si="0"/>
        <v>800</v>
      </c>
    </row>
    <row r="21" spans="1:4" x14ac:dyDescent="0.25">
      <c r="A21" s="8">
        <v>46107</v>
      </c>
      <c r="B21" s="9" t="s">
        <v>382</v>
      </c>
      <c r="C21" s="10">
        <v>-800</v>
      </c>
      <c r="D21" s="10">
        <f t="shared" si="0"/>
        <v>0</v>
      </c>
    </row>
    <row r="22" spans="1:4" x14ac:dyDescent="0.25">
      <c r="A22" s="8"/>
      <c r="B22" s="9"/>
      <c r="C22" s="10"/>
      <c r="D22" s="10">
        <f t="shared" si="0"/>
        <v>0</v>
      </c>
    </row>
    <row r="23" spans="1:4" x14ac:dyDescent="0.25">
      <c r="A23" s="8"/>
      <c r="B23" s="9"/>
      <c r="C23" s="10"/>
      <c r="D23" s="10">
        <f t="shared" si="0"/>
        <v>0</v>
      </c>
    </row>
    <row r="24" spans="1:4" x14ac:dyDescent="0.25">
      <c r="A24" s="8"/>
      <c r="B24" s="9"/>
      <c r="C24" s="10"/>
      <c r="D24" s="10">
        <f t="shared" si="0"/>
        <v>0</v>
      </c>
    </row>
    <row r="25" spans="1:4" x14ac:dyDescent="0.25">
      <c r="A25" s="8"/>
      <c r="B25" s="9"/>
      <c r="C25" s="10"/>
      <c r="D25" s="10">
        <f>D24+C25</f>
        <v>0</v>
      </c>
    </row>
    <row r="26" spans="1:4" x14ac:dyDescent="0.25">
      <c r="A26" s="8"/>
      <c r="B26" s="9"/>
      <c r="C26" s="10"/>
      <c r="D26" s="10">
        <f t="shared" si="0"/>
        <v>0</v>
      </c>
    </row>
    <row r="27" spans="1:4" x14ac:dyDescent="0.25">
      <c r="A27" s="8"/>
      <c r="B27" s="9"/>
      <c r="C27" s="10"/>
      <c r="D27" s="10">
        <f t="shared" si="0"/>
        <v>0</v>
      </c>
    </row>
    <row r="28" spans="1:4" x14ac:dyDescent="0.25">
      <c r="A28" s="8"/>
      <c r="B28" s="9"/>
      <c r="C28" s="10"/>
      <c r="D28" s="10">
        <f t="shared" si="0"/>
        <v>0</v>
      </c>
    </row>
    <row r="29" spans="1:4" x14ac:dyDescent="0.25">
      <c r="A29" s="8"/>
      <c r="B29" s="9"/>
      <c r="C29" s="10"/>
      <c r="D29" s="10">
        <f t="shared" si="0"/>
        <v>0</v>
      </c>
    </row>
    <row r="30" spans="1:4" x14ac:dyDescent="0.25">
      <c r="A30" s="8"/>
      <c r="B30" s="9"/>
      <c r="C30" s="10"/>
      <c r="D30" s="10">
        <f t="shared" si="0"/>
        <v>0</v>
      </c>
    </row>
    <row r="31" spans="1:4" x14ac:dyDescent="0.25">
      <c r="A31" s="8"/>
      <c r="B31" s="9"/>
      <c r="C31" s="10"/>
      <c r="D31" s="10">
        <f t="shared" si="0"/>
        <v>0</v>
      </c>
    </row>
    <row r="32" spans="1:4" x14ac:dyDescent="0.25">
      <c r="A32" s="8"/>
      <c r="B32" s="9"/>
      <c r="C32" s="10"/>
      <c r="D32" s="10">
        <f>D31+C32</f>
        <v>0</v>
      </c>
    </row>
    <row r="33" spans="1:4" x14ac:dyDescent="0.25">
      <c r="A33" s="8"/>
      <c r="B33" s="9"/>
      <c r="C33" s="10"/>
      <c r="D33" s="10"/>
    </row>
    <row r="34" spans="1:4" x14ac:dyDescent="0.25">
      <c r="A34" s="8"/>
      <c r="B34" s="9"/>
      <c r="C34" s="10"/>
      <c r="D34" s="10"/>
    </row>
    <row r="35" spans="1:4" x14ac:dyDescent="0.25">
      <c r="A35" s="8"/>
      <c r="B35" s="9"/>
      <c r="C35" s="10"/>
      <c r="D35" s="10"/>
    </row>
    <row r="36" spans="1:4" x14ac:dyDescent="0.25">
      <c r="A36" s="8"/>
      <c r="B36" s="9"/>
      <c r="C36" s="10"/>
      <c r="D36" s="10"/>
    </row>
    <row r="37" spans="1:4" x14ac:dyDescent="0.25">
      <c r="A37" s="8"/>
      <c r="B37" s="9"/>
      <c r="C37" s="10"/>
      <c r="D37" s="10"/>
    </row>
    <row r="38" spans="1:4" x14ac:dyDescent="0.25">
      <c r="A38" s="8"/>
      <c r="B38" s="9"/>
      <c r="C38" s="10"/>
      <c r="D38" s="10"/>
    </row>
    <row r="39" spans="1:4" x14ac:dyDescent="0.25">
      <c r="A39" s="8"/>
      <c r="B39" s="9"/>
      <c r="C39" s="10"/>
      <c r="D39" s="10"/>
    </row>
    <row r="40" spans="1:4" x14ac:dyDescent="0.25">
      <c r="A40" s="8"/>
      <c r="B40" s="9"/>
      <c r="C40" s="10"/>
      <c r="D40" s="10"/>
    </row>
    <row r="41" spans="1:4" x14ac:dyDescent="0.25">
      <c r="A41" s="8"/>
      <c r="B41" s="9"/>
      <c r="C41" s="10"/>
      <c r="D41" s="10"/>
    </row>
    <row r="42" spans="1:4" x14ac:dyDescent="0.25">
      <c r="A42" s="8"/>
      <c r="B42" s="9"/>
      <c r="C42" s="10"/>
      <c r="D42" s="10"/>
    </row>
    <row r="43" spans="1:4" x14ac:dyDescent="0.25">
      <c r="A43" s="8"/>
      <c r="B43" s="9"/>
      <c r="C43" s="10"/>
      <c r="D43" s="10"/>
    </row>
    <row r="44" spans="1:4" x14ac:dyDescent="0.25">
      <c r="A44" s="8"/>
      <c r="B44" s="9"/>
      <c r="C44" s="10"/>
      <c r="D44" s="10"/>
    </row>
    <row r="45" spans="1:4" x14ac:dyDescent="0.25">
      <c r="A45" s="8"/>
      <c r="B45" s="9"/>
      <c r="C45" s="10"/>
      <c r="D45" s="10"/>
    </row>
    <row r="46" spans="1:4" x14ac:dyDescent="0.25">
      <c r="A46" s="8"/>
      <c r="B46" s="9"/>
      <c r="C46" s="10"/>
      <c r="D46" s="10"/>
    </row>
    <row r="47" spans="1:4" x14ac:dyDescent="0.25">
      <c r="A47" s="8"/>
      <c r="B47" s="9"/>
      <c r="C47" s="10"/>
      <c r="D47" s="10"/>
    </row>
    <row r="48" spans="1:4" x14ac:dyDescent="0.25">
      <c r="A48" s="8"/>
      <c r="B48" s="9"/>
      <c r="C48" s="10"/>
      <c r="D48" s="10"/>
    </row>
    <row r="49" spans="1:4" x14ac:dyDescent="0.25">
      <c r="A49" s="8"/>
      <c r="B49" s="9"/>
      <c r="C49" s="10"/>
      <c r="D49" s="10"/>
    </row>
    <row r="50" spans="1:4" x14ac:dyDescent="0.25">
      <c r="A50" s="8"/>
      <c r="B50" s="9"/>
      <c r="C50" s="10"/>
      <c r="D50" s="10"/>
    </row>
    <row r="51" spans="1:4" x14ac:dyDescent="0.25">
      <c r="A51" s="8"/>
      <c r="B51" s="9"/>
      <c r="C51" s="10"/>
      <c r="D51" s="10"/>
    </row>
    <row r="52" spans="1:4" x14ac:dyDescent="0.25">
      <c r="A52" s="8"/>
      <c r="B52" s="9"/>
      <c r="C52" s="10"/>
      <c r="D52" s="10"/>
    </row>
    <row r="53" spans="1:4" x14ac:dyDescent="0.25">
      <c r="A53" s="8"/>
      <c r="B53" s="9"/>
      <c r="C53" s="10"/>
      <c r="D53" s="10"/>
    </row>
    <row r="54" spans="1:4" x14ac:dyDescent="0.25">
      <c r="A54" s="8"/>
      <c r="B54" s="9"/>
      <c r="C54" s="10"/>
      <c r="D54" s="10"/>
    </row>
    <row r="55" spans="1:4" x14ac:dyDescent="0.25">
      <c r="A55" s="8"/>
      <c r="B55" s="9"/>
      <c r="C55" s="10"/>
      <c r="D55" s="10"/>
    </row>
    <row r="56" spans="1:4" x14ac:dyDescent="0.25">
      <c r="A56" s="8"/>
      <c r="B56" s="9"/>
      <c r="C56" s="10"/>
      <c r="D56" s="10"/>
    </row>
    <row r="57" spans="1:4" x14ac:dyDescent="0.25">
      <c r="A57" s="8"/>
      <c r="B57" s="9"/>
      <c r="C57" s="10"/>
      <c r="D57" s="10"/>
    </row>
    <row r="58" spans="1:4" x14ac:dyDescent="0.25">
      <c r="A58" s="8"/>
      <c r="B58" s="9"/>
      <c r="C58" s="10"/>
      <c r="D58" s="10"/>
    </row>
    <row r="59" spans="1:4" x14ac:dyDescent="0.25">
      <c r="A59" s="8"/>
      <c r="B59" s="9"/>
      <c r="C59" s="10"/>
      <c r="D59" s="10"/>
    </row>
    <row r="60" spans="1:4" x14ac:dyDescent="0.25">
      <c r="A60" s="8"/>
      <c r="B60" s="9"/>
      <c r="C60" s="10"/>
      <c r="D60" s="10"/>
    </row>
    <row r="61" spans="1:4" x14ac:dyDescent="0.25">
      <c r="A61" s="8"/>
      <c r="B61" s="9"/>
      <c r="C61" s="10"/>
      <c r="D61" s="10"/>
    </row>
    <row r="62" spans="1:4" x14ac:dyDescent="0.25">
      <c r="A62" s="8"/>
      <c r="B62" s="9"/>
      <c r="C62" s="10"/>
      <c r="D62" s="10"/>
    </row>
    <row r="63" spans="1:4" x14ac:dyDescent="0.25">
      <c r="A63" s="8"/>
      <c r="B63" s="9"/>
      <c r="C63" s="10"/>
      <c r="D63" s="10"/>
    </row>
    <row r="64" spans="1:4" x14ac:dyDescent="0.25">
      <c r="A64" s="8"/>
      <c r="B64" s="9"/>
      <c r="C64" s="10"/>
      <c r="D64" s="10"/>
    </row>
    <row r="65" spans="1:4" x14ac:dyDescent="0.25">
      <c r="A65" s="8"/>
      <c r="B65" s="9"/>
      <c r="C65" s="10"/>
      <c r="D65" s="10"/>
    </row>
    <row r="66" spans="1:4" x14ac:dyDescent="0.25">
      <c r="A66" s="8"/>
      <c r="B66" s="9"/>
      <c r="C66" s="10"/>
      <c r="D66" s="10"/>
    </row>
    <row r="67" spans="1:4" x14ac:dyDescent="0.25">
      <c r="A67" s="8"/>
      <c r="B67" s="9"/>
      <c r="C67" s="10"/>
      <c r="D67" s="10"/>
    </row>
    <row r="68" spans="1:4" x14ac:dyDescent="0.25">
      <c r="A68" s="8"/>
      <c r="B68" s="9"/>
      <c r="C68" s="10"/>
      <c r="D68" s="10"/>
    </row>
    <row r="69" spans="1:4" x14ac:dyDescent="0.25">
      <c r="A69" s="8"/>
      <c r="B69" s="9"/>
      <c r="C69" s="10"/>
      <c r="D69" s="10"/>
    </row>
    <row r="70" spans="1:4" x14ac:dyDescent="0.25">
      <c r="A70" s="8"/>
      <c r="B70" s="9"/>
      <c r="C70" s="10"/>
      <c r="D70" s="10"/>
    </row>
    <row r="71" spans="1:4" x14ac:dyDescent="0.25">
      <c r="A71" s="8"/>
      <c r="B71" s="9"/>
      <c r="C71" s="10"/>
      <c r="D71" s="10"/>
    </row>
    <row r="72" spans="1:4" x14ac:dyDescent="0.25">
      <c r="A72" s="8"/>
      <c r="B72" s="9"/>
      <c r="C72" s="10"/>
      <c r="D72" s="10"/>
    </row>
    <row r="73" spans="1:4" x14ac:dyDescent="0.25">
      <c r="A73" s="8"/>
      <c r="B73" s="9"/>
      <c r="C73" s="10"/>
      <c r="D73" s="10"/>
    </row>
    <row r="74" spans="1:4" x14ac:dyDescent="0.25">
      <c r="A74" s="9"/>
      <c r="B74" s="9"/>
      <c r="C74" s="10"/>
      <c r="D74" s="10"/>
    </row>
    <row r="75" spans="1:4" x14ac:dyDescent="0.25">
      <c r="A75" s="9"/>
      <c r="B75" s="9"/>
      <c r="C75" s="10"/>
      <c r="D75" s="10"/>
    </row>
    <row r="76" spans="1:4" x14ac:dyDescent="0.25">
      <c r="A76" s="9"/>
      <c r="B76" s="9"/>
      <c r="C76" s="10"/>
      <c r="D76" s="10"/>
    </row>
    <row r="77" spans="1:4" x14ac:dyDescent="0.25">
      <c r="A77" s="9"/>
      <c r="B77" s="9"/>
      <c r="C77" s="10"/>
      <c r="D77" s="10"/>
    </row>
    <row r="78" spans="1:4" x14ac:dyDescent="0.25">
      <c r="A78" s="9"/>
      <c r="B78" s="9"/>
      <c r="C78" s="10"/>
      <c r="D78" s="10"/>
    </row>
    <row r="79" spans="1:4" x14ac:dyDescent="0.25">
      <c r="A79" s="9"/>
      <c r="B79" s="9"/>
      <c r="C79" s="10"/>
      <c r="D79" s="10"/>
    </row>
    <row r="80" spans="1:4" x14ac:dyDescent="0.25">
      <c r="A80" s="9"/>
      <c r="B80" s="9"/>
      <c r="C80" s="10"/>
      <c r="D80" s="10"/>
    </row>
    <row r="81" spans="1:4" x14ac:dyDescent="0.25">
      <c r="A81" s="9"/>
      <c r="B81" s="9"/>
      <c r="C81" s="10"/>
      <c r="D81" s="10"/>
    </row>
    <row r="82" spans="1:4" x14ac:dyDescent="0.25">
      <c r="A82" s="9"/>
      <c r="B82" s="9"/>
      <c r="C82" s="10"/>
      <c r="D82" s="10"/>
    </row>
    <row r="83" spans="1:4" x14ac:dyDescent="0.25">
      <c r="A83" s="9"/>
      <c r="B83" s="9"/>
      <c r="C83" s="10"/>
      <c r="D83" s="10"/>
    </row>
    <row r="84" spans="1:4" x14ac:dyDescent="0.25">
      <c r="A84" s="9"/>
      <c r="B84" s="9"/>
      <c r="C84" s="10"/>
      <c r="D84" s="10"/>
    </row>
    <row r="85" spans="1:4" x14ac:dyDescent="0.25">
      <c r="A85" s="9"/>
      <c r="B85" s="9"/>
      <c r="C85" s="10"/>
      <c r="D85" s="10"/>
    </row>
    <row r="86" spans="1:4" x14ac:dyDescent="0.25">
      <c r="A86" s="9"/>
      <c r="B86" s="9"/>
      <c r="C86" s="10"/>
      <c r="D86" s="10"/>
    </row>
    <row r="87" spans="1:4" x14ac:dyDescent="0.25">
      <c r="A87" s="9"/>
      <c r="B87" s="9"/>
      <c r="C87" s="10"/>
      <c r="D87" s="10"/>
    </row>
    <row r="88" spans="1:4" x14ac:dyDescent="0.25">
      <c r="A88" s="9"/>
      <c r="B88" s="9"/>
      <c r="C88" s="10"/>
      <c r="D88" s="10"/>
    </row>
    <row r="89" spans="1:4" x14ac:dyDescent="0.25">
      <c r="A89" s="9"/>
      <c r="B89" s="9"/>
      <c r="C89" s="10"/>
      <c r="D89" s="10"/>
    </row>
    <row r="90" spans="1:4" x14ac:dyDescent="0.25">
      <c r="A90" s="9"/>
      <c r="B90" s="9"/>
      <c r="C90" s="10"/>
      <c r="D90" s="10"/>
    </row>
    <row r="91" spans="1:4" x14ac:dyDescent="0.25">
      <c r="A91" s="9"/>
      <c r="B91" s="9"/>
      <c r="C91" s="10"/>
      <c r="D91" s="10"/>
    </row>
    <row r="92" spans="1:4" x14ac:dyDescent="0.25">
      <c r="A92" s="9"/>
      <c r="B92" s="9"/>
      <c r="C92" s="10"/>
      <c r="D92" s="10"/>
    </row>
    <row r="93" spans="1:4" x14ac:dyDescent="0.25">
      <c r="A93" s="9"/>
      <c r="B93" s="9"/>
      <c r="C93" s="10"/>
      <c r="D93" s="10"/>
    </row>
    <row r="94" spans="1:4" x14ac:dyDescent="0.25">
      <c r="A94" s="9"/>
      <c r="B94" s="9"/>
      <c r="C94" s="10"/>
      <c r="D94" s="10"/>
    </row>
    <row r="95" spans="1:4" x14ac:dyDescent="0.25">
      <c r="A95" s="9"/>
      <c r="B95" s="9"/>
      <c r="C95" s="10"/>
      <c r="D95" s="10"/>
    </row>
    <row r="96" spans="1:4" x14ac:dyDescent="0.25">
      <c r="A96" s="9"/>
      <c r="B96" s="9"/>
      <c r="C96" s="10"/>
      <c r="D96" s="10"/>
    </row>
    <row r="97" spans="1:4" x14ac:dyDescent="0.25">
      <c r="A97" s="9"/>
      <c r="B97" s="9"/>
      <c r="C97" s="10"/>
      <c r="D97" s="10"/>
    </row>
    <row r="98" spans="1:4" x14ac:dyDescent="0.25">
      <c r="A98" s="9"/>
      <c r="B98" s="9"/>
      <c r="C98" s="10"/>
      <c r="D98" s="10"/>
    </row>
    <row r="99" spans="1:4" x14ac:dyDescent="0.25">
      <c r="A99" s="9"/>
      <c r="B99" s="9"/>
      <c r="C99" s="10"/>
      <c r="D99" s="10"/>
    </row>
    <row r="100" spans="1:4" x14ac:dyDescent="0.25">
      <c r="A100" s="9"/>
      <c r="B100" s="9"/>
      <c r="C100" s="10"/>
      <c r="D100" s="10"/>
    </row>
    <row r="101" spans="1:4" x14ac:dyDescent="0.25">
      <c r="A101" s="9"/>
      <c r="B101" s="9"/>
      <c r="C101" s="10"/>
      <c r="D101" s="10"/>
    </row>
    <row r="102" spans="1:4" x14ac:dyDescent="0.25">
      <c r="A102" s="9"/>
      <c r="B102" s="9"/>
      <c r="C102" s="10"/>
      <c r="D102" s="10"/>
    </row>
    <row r="103" spans="1:4" x14ac:dyDescent="0.25">
      <c r="A103" s="9"/>
      <c r="B103" s="9"/>
      <c r="C103" s="10"/>
      <c r="D103" s="10"/>
    </row>
    <row r="104" spans="1:4" x14ac:dyDescent="0.25">
      <c r="A104" s="9"/>
      <c r="B104" s="9"/>
      <c r="C104" s="10"/>
      <c r="D104" s="10"/>
    </row>
    <row r="105" spans="1:4" x14ac:dyDescent="0.25">
      <c r="A105" s="9"/>
      <c r="B105" s="9"/>
      <c r="C105" s="10"/>
      <c r="D105" s="10"/>
    </row>
    <row r="106" spans="1:4" x14ac:dyDescent="0.25">
      <c r="A106" s="9"/>
      <c r="B106" s="9"/>
      <c r="C106" s="10"/>
      <c r="D106" s="10"/>
    </row>
    <row r="107" spans="1:4" x14ac:dyDescent="0.25">
      <c r="A107" s="9"/>
      <c r="B107" s="9"/>
      <c r="C107" s="10"/>
      <c r="D107" s="10"/>
    </row>
    <row r="108" spans="1:4" x14ac:dyDescent="0.25">
      <c r="A108" s="9"/>
      <c r="B108" s="9"/>
      <c r="C108" s="10"/>
      <c r="D108" s="10"/>
    </row>
    <row r="109" spans="1:4" x14ac:dyDescent="0.25">
      <c r="A109" s="9"/>
      <c r="B109" s="9"/>
      <c r="C109" s="10"/>
      <c r="D109" s="10"/>
    </row>
    <row r="110" spans="1:4" x14ac:dyDescent="0.25">
      <c r="A110" s="9"/>
      <c r="B110" s="9"/>
      <c r="C110" s="10"/>
      <c r="D110" s="10"/>
    </row>
    <row r="111" spans="1:4" x14ac:dyDescent="0.25">
      <c r="A111" s="9"/>
      <c r="B111" s="9"/>
      <c r="C111" s="10"/>
      <c r="D111" s="10"/>
    </row>
    <row r="112" spans="1:4" x14ac:dyDescent="0.25">
      <c r="A112" s="9"/>
      <c r="B112" s="9"/>
      <c r="C112" s="10"/>
      <c r="D112" s="10"/>
    </row>
    <row r="113" spans="1:4" x14ac:dyDescent="0.25">
      <c r="A113" s="9"/>
      <c r="B113" s="9"/>
      <c r="C113" s="10"/>
      <c r="D113" s="10"/>
    </row>
    <row r="114" spans="1:4" x14ac:dyDescent="0.25">
      <c r="A114" s="9"/>
      <c r="B114" s="9"/>
      <c r="C114" s="10"/>
      <c r="D114" s="10"/>
    </row>
    <row r="115" spans="1:4" x14ac:dyDescent="0.25">
      <c r="A115" s="9"/>
      <c r="B115" s="9"/>
      <c r="C115" s="10"/>
      <c r="D115" s="10"/>
    </row>
    <row r="116" spans="1:4" x14ac:dyDescent="0.25">
      <c r="A116" s="9"/>
      <c r="B116" s="9"/>
      <c r="C116" s="10"/>
      <c r="D116" s="10"/>
    </row>
    <row r="117" spans="1:4" x14ac:dyDescent="0.25">
      <c r="A117" s="9"/>
      <c r="B117" s="9"/>
      <c r="C117" s="10"/>
      <c r="D117" s="10"/>
    </row>
    <row r="118" spans="1:4" x14ac:dyDescent="0.25">
      <c r="A118" s="9"/>
      <c r="B118" s="9"/>
      <c r="C118" s="10"/>
      <c r="D118" s="10"/>
    </row>
    <row r="119" spans="1:4" x14ac:dyDescent="0.25">
      <c r="A119" s="9"/>
      <c r="B119" s="9"/>
      <c r="C119" s="10"/>
      <c r="D119" s="10"/>
    </row>
    <row r="120" spans="1:4" x14ac:dyDescent="0.25">
      <c r="A120" s="9"/>
      <c r="B120" s="9"/>
      <c r="C120" s="10"/>
      <c r="D120" s="10"/>
    </row>
    <row r="121" spans="1:4" x14ac:dyDescent="0.25">
      <c r="A121" s="9"/>
      <c r="B121" s="9"/>
      <c r="C121" s="10"/>
      <c r="D121" s="10"/>
    </row>
    <row r="122" spans="1:4" x14ac:dyDescent="0.25">
      <c r="A122" s="9"/>
      <c r="B122" s="9"/>
      <c r="C122" s="10"/>
      <c r="D122" s="10"/>
    </row>
    <row r="123" spans="1:4" x14ac:dyDescent="0.25">
      <c r="A123" s="9"/>
      <c r="B123" s="9"/>
      <c r="C123" s="10"/>
      <c r="D123" s="10"/>
    </row>
    <row r="124" spans="1:4" x14ac:dyDescent="0.25">
      <c r="A124" s="9"/>
      <c r="B124" s="9"/>
      <c r="C124" s="10"/>
      <c r="D124" s="10"/>
    </row>
    <row r="125" spans="1:4" x14ac:dyDescent="0.25">
      <c r="A125" s="9"/>
      <c r="B125" s="9"/>
      <c r="C125" s="10"/>
      <c r="D125" s="10"/>
    </row>
    <row r="126" spans="1:4" x14ac:dyDescent="0.25">
      <c r="A126" s="9"/>
      <c r="B126" s="9"/>
      <c r="C126" s="10"/>
      <c r="D126" s="10"/>
    </row>
    <row r="127" spans="1:4" x14ac:dyDescent="0.25">
      <c r="A127" s="9"/>
      <c r="B127" s="9"/>
      <c r="C127" s="10"/>
      <c r="D127" s="10"/>
    </row>
    <row r="128" spans="1:4" x14ac:dyDescent="0.25">
      <c r="A128" s="9"/>
      <c r="B128" s="9"/>
      <c r="C128" s="10"/>
      <c r="D128" s="10"/>
    </row>
    <row r="129" spans="1:4" x14ac:dyDescent="0.25">
      <c r="A129" s="9"/>
      <c r="B129" s="9"/>
      <c r="C129" s="10"/>
      <c r="D129" s="10"/>
    </row>
    <row r="130" spans="1:4" x14ac:dyDescent="0.25">
      <c r="A130" s="9"/>
      <c r="B130" s="9"/>
      <c r="C130" s="10"/>
      <c r="D130" s="10"/>
    </row>
    <row r="131" spans="1:4" x14ac:dyDescent="0.25">
      <c r="A131" s="9"/>
      <c r="B131" s="9"/>
      <c r="C131" s="10"/>
      <c r="D131" s="10"/>
    </row>
    <row r="132" spans="1:4" x14ac:dyDescent="0.25">
      <c r="A132" s="9"/>
      <c r="B132" s="9"/>
      <c r="C132" s="10"/>
      <c r="D132" s="10"/>
    </row>
    <row r="133" spans="1:4" x14ac:dyDescent="0.25">
      <c r="A133" s="9"/>
      <c r="B133" s="9"/>
      <c r="C133" s="10"/>
      <c r="D133" s="10"/>
    </row>
    <row r="134" spans="1:4" x14ac:dyDescent="0.25">
      <c r="A134" s="9"/>
      <c r="B134" s="9"/>
      <c r="C134" s="10"/>
      <c r="D134" s="10"/>
    </row>
    <row r="135" spans="1:4" x14ac:dyDescent="0.25">
      <c r="A135" s="9"/>
      <c r="B135" s="9"/>
      <c r="C135" s="10"/>
      <c r="D135" s="10"/>
    </row>
    <row r="136" spans="1:4" x14ac:dyDescent="0.25">
      <c r="A136" s="9"/>
      <c r="B136" s="9"/>
      <c r="C136" s="10"/>
      <c r="D136" s="10"/>
    </row>
    <row r="137" spans="1:4" x14ac:dyDescent="0.25">
      <c r="A137" s="9"/>
      <c r="B137" s="9"/>
      <c r="C137" s="10"/>
      <c r="D137" s="10"/>
    </row>
    <row r="138" spans="1:4" x14ac:dyDescent="0.25">
      <c r="A138" s="9"/>
      <c r="B138" s="9"/>
      <c r="C138" s="10"/>
      <c r="D138" s="10"/>
    </row>
    <row r="139" spans="1:4" x14ac:dyDescent="0.25">
      <c r="A139" s="9"/>
      <c r="B139" s="9"/>
      <c r="C139" s="10"/>
      <c r="D139" s="10"/>
    </row>
    <row r="140" spans="1:4" x14ac:dyDescent="0.25">
      <c r="A140" s="9"/>
      <c r="B140" s="9"/>
      <c r="C140" s="10"/>
      <c r="D140" s="10"/>
    </row>
    <row r="141" spans="1:4" x14ac:dyDescent="0.25">
      <c r="A141" s="9"/>
      <c r="B141" s="9"/>
      <c r="C141" s="10"/>
      <c r="D141" s="10"/>
    </row>
    <row r="142" spans="1:4" x14ac:dyDescent="0.25">
      <c r="A142" s="9"/>
      <c r="B142" s="9"/>
      <c r="C142" s="10"/>
      <c r="D142" s="10"/>
    </row>
    <row r="143" spans="1:4" x14ac:dyDescent="0.25">
      <c r="A143" s="9"/>
      <c r="B143" s="9"/>
      <c r="C143" s="10"/>
      <c r="D143" s="10"/>
    </row>
    <row r="144" spans="1:4" x14ac:dyDescent="0.25">
      <c r="A144" s="9"/>
      <c r="B144" s="9"/>
      <c r="C144" s="10"/>
      <c r="D144" s="10"/>
    </row>
    <row r="145" spans="1:4" x14ac:dyDescent="0.25">
      <c r="A145" s="9"/>
      <c r="B145" s="9"/>
      <c r="C145" s="10"/>
      <c r="D145" s="10"/>
    </row>
    <row r="146" spans="1:4" x14ac:dyDescent="0.25">
      <c r="A146" s="9"/>
      <c r="B146" s="9"/>
      <c r="C146" s="10"/>
      <c r="D146" s="10"/>
    </row>
    <row r="147" spans="1:4" x14ac:dyDescent="0.25">
      <c r="A147" s="9"/>
      <c r="B147" s="9"/>
      <c r="C147" s="10"/>
      <c r="D147" s="10"/>
    </row>
    <row r="148" spans="1:4" x14ac:dyDescent="0.25">
      <c r="A148" s="9"/>
      <c r="B148" s="9"/>
      <c r="C148" s="10"/>
      <c r="D148" s="10"/>
    </row>
    <row r="149" spans="1:4" x14ac:dyDescent="0.25">
      <c r="A149" s="9"/>
      <c r="B149" s="9"/>
      <c r="C149" s="10"/>
      <c r="D149" s="10"/>
    </row>
    <row r="150" spans="1:4" x14ac:dyDescent="0.25">
      <c r="A150" s="9"/>
      <c r="B150" s="9"/>
      <c r="C150" s="10"/>
      <c r="D150" s="10"/>
    </row>
    <row r="151" spans="1:4" x14ac:dyDescent="0.25">
      <c r="A151" s="9"/>
      <c r="B151" s="9"/>
      <c r="C151" s="10"/>
      <c r="D151" s="10"/>
    </row>
    <row r="152" spans="1:4" x14ac:dyDescent="0.25">
      <c r="A152" s="9"/>
      <c r="B152" s="9"/>
      <c r="C152" s="10"/>
      <c r="D152" s="10"/>
    </row>
    <row r="153" spans="1:4" x14ac:dyDescent="0.25">
      <c r="A153" s="9"/>
      <c r="B153" s="9"/>
      <c r="C153" s="10"/>
      <c r="D153" s="10"/>
    </row>
    <row r="154" spans="1:4" x14ac:dyDescent="0.25">
      <c r="A154" s="9"/>
      <c r="B154" s="9"/>
      <c r="C154" s="10"/>
      <c r="D154" s="10"/>
    </row>
    <row r="155" spans="1:4" x14ac:dyDescent="0.25">
      <c r="A155" s="9"/>
      <c r="B155" s="9"/>
      <c r="C155" s="10"/>
      <c r="D155" s="10"/>
    </row>
    <row r="156" spans="1:4" x14ac:dyDescent="0.25">
      <c r="A156" s="9"/>
      <c r="B156" s="9"/>
      <c r="C156" s="10"/>
      <c r="D156" s="10"/>
    </row>
    <row r="157" spans="1:4" x14ac:dyDescent="0.25">
      <c r="A157" s="9"/>
      <c r="B157" s="9"/>
      <c r="C157" s="10"/>
      <c r="D157" s="10"/>
    </row>
    <row r="158" spans="1:4" x14ac:dyDescent="0.25">
      <c r="A158" s="9"/>
      <c r="B158" s="9"/>
      <c r="C158" s="10"/>
      <c r="D158" s="10"/>
    </row>
    <row r="159" spans="1:4" x14ac:dyDescent="0.25">
      <c r="A159" s="9"/>
      <c r="B159" s="9"/>
      <c r="C159" s="10"/>
      <c r="D159" s="10"/>
    </row>
    <row r="160" spans="1:4" x14ac:dyDescent="0.25">
      <c r="A160" s="9"/>
      <c r="B160" s="9"/>
      <c r="C160" s="10"/>
      <c r="D160" s="10"/>
    </row>
    <row r="161" spans="1:4" x14ac:dyDescent="0.25">
      <c r="A161" s="9"/>
      <c r="B161" s="9"/>
      <c r="C161" s="10"/>
      <c r="D161" s="10"/>
    </row>
    <row r="162" spans="1:4" x14ac:dyDescent="0.25">
      <c r="A162" s="9"/>
      <c r="B162" s="9"/>
      <c r="C162" s="10"/>
      <c r="D162" s="10"/>
    </row>
    <row r="163" spans="1:4" x14ac:dyDescent="0.25">
      <c r="A163" s="9"/>
      <c r="B163" s="9"/>
      <c r="C163" s="10"/>
      <c r="D163" s="10"/>
    </row>
    <row r="164" spans="1:4" x14ac:dyDescent="0.25">
      <c r="A164" s="9"/>
      <c r="B164" s="9"/>
      <c r="C164" s="10"/>
      <c r="D164" s="10"/>
    </row>
    <row r="165" spans="1:4" x14ac:dyDescent="0.25">
      <c r="A165" s="9"/>
      <c r="B165" s="9"/>
      <c r="C165" s="10"/>
      <c r="D165" s="10"/>
    </row>
    <row r="166" spans="1:4" x14ac:dyDescent="0.25">
      <c r="A166" s="9"/>
      <c r="B166" s="9"/>
      <c r="C166" s="10"/>
      <c r="D166" s="10"/>
    </row>
    <row r="167" spans="1:4" x14ac:dyDescent="0.25">
      <c r="A167" s="9"/>
      <c r="B167" s="9"/>
      <c r="C167" s="10"/>
      <c r="D167" s="10"/>
    </row>
    <row r="168" spans="1:4" x14ac:dyDescent="0.25">
      <c r="A168" s="9"/>
      <c r="B168" s="9"/>
      <c r="C168" s="10"/>
      <c r="D168" s="10"/>
    </row>
    <row r="169" spans="1:4" x14ac:dyDescent="0.25">
      <c r="A169" s="9"/>
      <c r="B169" s="9"/>
      <c r="C169" s="10"/>
      <c r="D169" s="10"/>
    </row>
    <row r="170" spans="1:4" x14ac:dyDescent="0.25">
      <c r="A170" s="9"/>
      <c r="B170" s="9"/>
      <c r="C170" s="10"/>
      <c r="D170" s="10"/>
    </row>
    <row r="171" spans="1:4" x14ac:dyDescent="0.25">
      <c r="A171" s="9"/>
      <c r="B171" s="9"/>
      <c r="C171" s="10"/>
      <c r="D171" s="10"/>
    </row>
    <row r="172" spans="1:4" x14ac:dyDescent="0.25">
      <c r="A172" s="9"/>
      <c r="B172" s="9"/>
      <c r="C172" s="10"/>
      <c r="D172" s="10"/>
    </row>
    <row r="173" spans="1:4" x14ac:dyDescent="0.25">
      <c r="A173" s="9"/>
      <c r="B173" s="9"/>
      <c r="C173" s="10"/>
      <c r="D173" s="10"/>
    </row>
    <row r="174" spans="1:4" x14ac:dyDescent="0.25">
      <c r="A174" s="9"/>
      <c r="B174" s="9"/>
      <c r="C174" s="10"/>
      <c r="D174" s="10"/>
    </row>
    <row r="175" spans="1:4" x14ac:dyDescent="0.25">
      <c r="A175" s="9"/>
      <c r="B175" s="9"/>
      <c r="C175" s="10"/>
      <c r="D175" s="10"/>
    </row>
    <row r="176" spans="1:4" x14ac:dyDescent="0.25">
      <c r="A176" s="9"/>
      <c r="B176" s="9"/>
      <c r="C176" s="10"/>
      <c r="D176" s="10"/>
    </row>
    <row r="177" spans="1:4" x14ac:dyDescent="0.25">
      <c r="A177" s="9"/>
      <c r="B177" s="9"/>
      <c r="C177" s="10"/>
      <c r="D177" s="10"/>
    </row>
    <row r="178" spans="1:4" x14ac:dyDescent="0.25">
      <c r="A178" s="9"/>
      <c r="B178" s="9"/>
      <c r="C178" s="10"/>
      <c r="D178" s="10"/>
    </row>
    <row r="179" spans="1:4" x14ac:dyDescent="0.25">
      <c r="A179" s="9"/>
      <c r="B179" s="9"/>
      <c r="C179" s="10"/>
      <c r="D179" s="10"/>
    </row>
    <row r="180" spans="1:4" x14ac:dyDescent="0.25">
      <c r="A180" s="9"/>
      <c r="B180" s="9"/>
      <c r="C180" s="10"/>
      <c r="D180" s="10"/>
    </row>
    <row r="181" spans="1:4" x14ac:dyDescent="0.25">
      <c r="A181" s="9"/>
      <c r="B181" s="9"/>
      <c r="C181" s="10"/>
      <c r="D181" s="10"/>
    </row>
    <row r="182" spans="1:4" x14ac:dyDescent="0.25">
      <c r="A182" s="9"/>
      <c r="B182" s="9"/>
      <c r="C182" s="10"/>
      <c r="D182" s="10"/>
    </row>
    <row r="183" spans="1:4" x14ac:dyDescent="0.25">
      <c r="A183" s="9"/>
      <c r="B183" s="9"/>
      <c r="C183" s="10"/>
      <c r="D183" s="10"/>
    </row>
    <row r="184" spans="1:4" x14ac:dyDescent="0.25">
      <c r="A184" s="9"/>
      <c r="B184" s="9"/>
      <c r="C184" s="10"/>
      <c r="D184" s="10"/>
    </row>
    <row r="185" spans="1:4" x14ac:dyDescent="0.25">
      <c r="A185" s="9"/>
      <c r="B185" s="9"/>
      <c r="C185" s="10"/>
      <c r="D185" s="10"/>
    </row>
    <row r="186" spans="1:4" x14ac:dyDescent="0.25">
      <c r="A186" s="9"/>
      <c r="B186" s="9"/>
      <c r="C186" s="10"/>
      <c r="D186" s="10"/>
    </row>
    <row r="187" spans="1:4" x14ac:dyDescent="0.25">
      <c r="A187" s="9"/>
      <c r="B187" s="9"/>
      <c r="C187" s="10"/>
      <c r="D187" s="10"/>
    </row>
  </sheetData>
  <mergeCells count="2">
    <mergeCell ref="A4:D4"/>
    <mergeCell ref="B6:D6"/>
  </mergeCells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F4FA1-86DE-4D92-947C-03D2B62262E9}">
  <dimension ref="D4:G23"/>
  <sheetViews>
    <sheetView workbookViewId="0">
      <selection activeCell="D16" sqref="D16"/>
    </sheetView>
  </sheetViews>
  <sheetFormatPr baseColWidth="10" defaultRowHeight="15" x14ac:dyDescent="0.25"/>
  <cols>
    <col min="4" max="4" width="22.28515625" customWidth="1"/>
    <col min="5" max="5" width="22.85546875" customWidth="1"/>
    <col min="6" max="6" width="17.140625" customWidth="1"/>
    <col min="7" max="7" width="19.85546875" customWidth="1"/>
  </cols>
  <sheetData>
    <row r="4" spans="4:7" x14ac:dyDescent="0.25">
      <c r="D4" s="2" t="s">
        <v>1</v>
      </c>
      <c r="E4" s="99" t="s">
        <v>170</v>
      </c>
      <c r="F4" s="100"/>
      <c r="G4" s="100"/>
    </row>
    <row r="5" spans="4:7" x14ac:dyDescent="0.25">
      <c r="D5" s="3" t="s">
        <v>11</v>
      </c>
      <c r="E5" s="4" t="s">
        <v>27</v>
      </c>
      <c r="F5" s="4"/>
      <c r="G5" s="4"/>
    </row>
    <row r="6" spans="4:7" x14ac:dyDescent="0.25">
      <c r="E6" s="5"/>
      <c r="F6" s="6"/>
      <c r="G6" s="6"/>
    </row>
    <row r="7" spans="4:7" x14ac:dyDescent="0.25">
      <c r="D7" s="2" t="s">
        <v>2</v>
      </c>
      <c r="E7" s="2" t="s">
        <v>3</v>
      </c>
      <c r="F7" s="7" t="s">
        <v>4</v>
      </c>
      <c r="G7" s="7" t="s">
        <v>5</v>
      </c>
    </row>
    <row r="8" spans="4:7" x14ac:dyDescent="0.25">
      <c r="D8" s="8">
        <v>45932</v>
      </c>
      <c r="E8" s="9" t="s">
        <v>3</v>
      </c>
      <c r="F8" s="10">
        <v>1350</v>
      </c>
      <c r="G8" s="10">
        <f>F8</f>
        <v>1350</v>
      </c>
    </row>
    <row r="9" spans="4:7" x14ac:dyDescent="0.25">
      <c r="D9" s="8">
        <v>45932</v>
      </c>
      <c r="E9" s="9" t="s">
        <v>169</v>
      </c>
      <c r="F9" s="10">
        <v>-1350</v>
      </c>
      <c r="G9" s="10">
        <f>G8+F9</f>
        <v>0</v>
      </c>
    </row>
    <row r="10" spans="4:7" x14ac:dyDescent="0.25">
      <c r="D10" s="8">
        <v>45953</v>
      </c>
      <c r="E10" s="9" t="s">
        <v>3</v>
      </c>
      <c r="F10" s="10">
        <v>730</v>
      </c>
      <c r="G10" s="10">
        <f t="shared" ref="G10:G23" si="0">G9+F10</f>
        <v>730</v>
      </c>
    </row>
    <row r="11" spans="4:7" x14ac:dyDescent="0.25">
      <c r="D11" s="8">
        <v>45981</v>
      </c>
      <c r="E11" s="9" t="s">
        <v>169</v>
      </c>
      <c r="F11" s="10">
        <v>-730</v>
      </c>
      <c r="G11" s="10">
        <f t="shared" si="0"/>
        <v>0</v>
      </c>
    </row>
    <row r="12" spans="4:7" x14ac:dyDescent="0.25">
      <c r="D12" s="8">
        <v>46044</v>
      </c>
      <c r="E12" s="9" t="s">
        <v>3</v>
      </c>
      <c r="F12" s="10">
        <v>550</v>
      </c>
      <c r="G12" s="10">
        <f t="shared" si="0"/>
        <v>550</v>
      </c>
    </row>
    <row r="13" spans="4:7" x14ac:dyDescent="0.25">
      <c r="D13" s="8">
        <v>46075</v>
      </c>
      <c r="E13" s="9" t="s">
        <v>178</v>
      </c>
      <c r="F13" s="10">
        <v>-550</v>
      </c>
      <c r="G13" s="10">
        <f t="shared" si="0"/>
        <v>0</v>
      </c>
    </row>
    <row r="14" spans="4:7" x14ac:dyDescent="0.25">
      <c r="D14" s="8">
        <v>46184</v>
      </c>
      <c r="E14" s="9" t="s">
        <v>3</v>
      </c>
      <c r="F14" s="10">
        <v>2060</v>
      </c>
      <c r="G14" s="10">
        <f t="shared" si="0"/>
        <v>2060</v>
      </c>
    </row>
    <row r="15" spans="4:7" x14ac:dyDescent="0.25">
      <c r="D15" s="8">
        <v>46184</v>
      </c>
      <c r="E15" s="9" t="s">
        <v>178</v>
      </c>
      <c r="F15" s="10">
        <v>-2060</v>
      </c>
      <c r="G15" s="10">
        <f t="shared" si="0"/>
        <v>0</v>
      </c>
    </row>
    <row r="16" spans="4:7" x14ac:dyDescent="0.25">
      <c r="D16" s="8"/>
      <c r="E16" s="9"/>
      <c r="F16" s="10"/>
      <c r="G16" s="10">
        <f t="shared" si="0"/>
        <v>0</v>
      </c>
    </row>
    <row r="17" spans="4:7" x14ac:dyDescent="0.25">
      <c r="D17" s="8"/>
      <c r="E17" s="9"/>
      <c r="F17" s="10"/>
      <c r="G17" s="10">
        <f t="shared" si="0"/>
        <v>0</v>
      </c>
    </row>
    <row r="18" spans="4:7" x14ac:dyDescent="0.25">
      <c r="D18" s="8"/>
      <c r="E18" s="9"/>
      <c r="F18" s="10"/>
      <c r="G18" s="10">
        <f t="shared" si="0"/>
        <v>0</v>
      </c>
    </row>
    <row r="19" spans="4:7" x14ac:dyDescent="0.25">
      <c r="D19" s="8"/>
      <c r="E19" s="9"/>
      <c r="F19" s="10"/>
      <c r="G19" s="10">
        <f t="shared" si="0"/>
        <v>0</v>
      </c>
    </row>
    <row r="20" spans="4:7" x14ac:dyDescent="0.25">
      <c r="D20" s="8"/>
      <c r="E20" s="9"/>
      <c r="F20" s="10"/>
      <c r="G20" s="10">
        <f t="shared" si="0"/>
        <v>0</v>
      </c>
    </row>
    <row r="21" spans="4:7" x14ac:dyDescent="0.25">
      <c r="D21" s="8"/>
      <c r="E21" s="9"/>
      <c r="F21" s="10"/>
      <c r="G21" s="10">
        <f t="shared" si="0"/>
        <v>0</v>
      </c>
    </row>
    <row r="22" spans="4:7" x14ac:dyDescent="0.25">
      <c r="D22" s="8"/>
      <c r="E22" s="9"/>
      <c r="F22" s="10"/>
      <c r="G22" s="10">
        <f t="shared" si="0"/>
        <v>0</v>
      </c>
    </row>
    <row r="23" spans="4:7" x14ac:dyDescent="0.25">
      <c r="D23" s="8"/>
      <c r="E23" s="9"/>
      <c r="F23" s="10"/>
      <c r="G23" s="10">
        <f t="shared" si="0"/>
        <v>0</v>
      </c>
    </row>
  </sheetData>
  <mergeCells count="1">
    <mergeCell ref="E4:G4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1007B-1642-473C-8670-CBD7541C154C}">
  <dimension ref="A4:K188"/>
  <sheetViews>
    <sheetView topLeftCell="A57" workbookViewId="0">
      <selection activeCell="K76" sqref="K58:K76"/>
    </sheetView>
  </sheetViews>
  <sheetFormatPr baseColWidth="10" defaultRowHeight="15" x14ac:dyDescent="0.25"/>
  <cols>
    <col min="1" max="1" width="28.28515625" customWidth="1"/>
    <col min="2" max="2" width="27.140625" customWidth="1"/>
    <col min="3" max="3" width="23.42578125" style="6" customWidth="1"/>
    <col min="4" max="4" width="21.85546875" style="6" customWidth="1"/>
  </cols>
  <sheetData>
    <row r="4" spans="1:7" ht="18" x14ac:dyDescent="0.25">
      <c r="A4" s="98" t="s">
        <v>0</v>
      </c>
      <c r="B4" s="98"/>
      <c r="C4" s="98"/>
      <c r="D4" s="98"/>
      <c r="E4" s="1"/>
      <c r="F4" s="1"/>
      <c r="G4" s="1"/>
    </row>
    <row r="6" spans="1:7" x14ac:dyDescent="0.25">
      <c r="A6" s="2" t="s">
        <v>1</v>
      </c>
      <c r="B6" s="96" t="s">
        <v>122</v>
      </c>
      <c r="C6" s="97"/>
      <c r="D6" s="97"/>
    </row>
    <row r="7" spans="1:7" x14ac:dyDescent="0.25">
      <c r="A7" s="3" t="s">
        <v>11</v>
      </c>
      <c r="B7" s="4" t="s">
        <v>27</v>
      </c>
      <c r="C7" s="4"/>
      <c r="D7" s="4"/>
    </row>
    <row r="8" spans="1:7" x14ac:dyDescent="0.25">
      <c r="B8" s="5"/>
    </row>
    <row r="9" spans="1:7" x14ac:dyDescent="0.25">
      <c r="A9" s="2" t="s">
        <v>2</v>
      </c>
      <c r="B9" s="2" t="s">
        <v>3</v>
      </c>
      <c r="C9" s="7" t="s">
        <v>4</v>
      </c>
      <c r="D9" s="7" t="s">
        <v>5</v>
      </c>
    </row>
    <row r="10" spans="1:7" x14ac:dyDescent="0.25">
      <c r="A10" s="8">
        <v>45916</v>
      </c>
      <c r="B10" s="9" t="s">
        <v>3</v>
      </c>
      <c r="C10" s="10">
        <v>3870</v>
      </c>
      <c r="D10" s="10">
        <f>C10</f>
        <v>3870</v>
      </c>
    </row>
    <row r="11" spans="1:7" x14ac:dyDescent="0.25">
      <c r="A11" s="8">
        <v>45917</v>
      </c>
      <c r="B11" s="9" t="s">
        <v>56</v>
      </c>
      <c r="C11" s="10">
        <v>3870</v>
      </c>
      <c r="D11" s="10">
        <f t="shared" ref="D11:D14" si="0">C11</f>
        <v>3870</v>
      </c>
    </row>
    <row r="12" spans="1:7" x14ac:dyDescent="0.25">
      <c r="A12" s="8">
        <v>45920</v>
      </c>
      <c r="B12" s="9" t="s">
        <v>3</v>
      </c>
      <c r="C12" s="10">
        <v>1020</v>
      </c>
      <c r="D12" s="10">
        <f t="shared" si="0"/>
        <v>1020</v>
      </c>
    </row>
    <row r="13" spans="1:7" x14ac:dyDescent="0.25">
      <c r="A13" s="8">
        <v>45920</v>
      </c>
      <c r="B13" s="9" t="s">
        <v>56</v>
      </c>
      <c r="C13" s="10">
        <v>-1020</v>
      </c>
      <c r="D13" s="10">
        <f t="shared" si="0"/>
        <v>-1020</v>
      </c>
    </row>
    <row r="14" spans="1:7" x14ac:dyDescent="0.25">
      <c r="A14" s="8">
        <v>45925</v>
      </c>
      <c r="B14" s="9" t="s">
        <v>3</v>
      </c>
      <c r="C14" s="10">
        <v>1340</v>
      </c>
      <c r="D14" s="10">
        <f t="shared" si="0"/>
        <v>1340</v>
      </c>
    </row>
    <row r="15" spans="1:7" x14ac:dyDescent="0.25">
      <c r="A15" s="8">
        <v>45926</v>
      </c>
      <c r="B15" s="9" t="s">
        <v>56</v>
      </c>
      <c r="C15" s="10">
        <v>-1340</v>
      </c>
      <c r="D15" s="10">
        <f>D14+C15</f>
        <v>0</v>
      </c>
    </row>
    <row r="16" spans="1:7" x14ac:dyDescent="0.25">
      <c r="A16" s="8">
        <v>45932</v>
      </c>
      <c r="B16" s="9" t="s">
        <v>3</v>
      </c>
      <c r="C16" s="10">
        <v>1530</v>
      </c>
      <c r="D16" s="10">
        <f t="shared" ref="D16:D25" si="1">D15+C16</f>
        <v>1530</v>
      </c>
    </row>
    <row r="17" spans="1:4" x14ac:dyDescent="0.25">
      <c r="A17" s="8">
        <v>45936</v>
      </c>
      <c r="B17" s="9" t="s">
        <v>187</v>
      </c>
      <c r="C17" s="10">
        <v>-1530</v>
      </c>
      <c r="D17" s="10">
        <f t="shared" si="1"/>
        <v>0</v>
      </c>
    </row>
    <row r="18" spans="1:4" x14ac:dyDescent="0.25">
      <c r="A18" s="8">
        <v>45946</v>
      </c>
      <c r="B18" s="9" t="s">
        <v>3</v>
      </c>
      <c r="C18" s="10">
        <v>870</v>
      </c>
      <c r="D18" s="10">
        <f t="shared" si="1"/>
        <v>870</v>
      </c>
    </row>
    <row r="19" spans="1:4" x14ac:dyDescent="0.25">
      <c r="A19" s="8">
        <v>45948</v>
      </c>
      <c r="B19" s="9" t="s">
        <v>179</v>
      </c>
      <c r="C19" s="10">
        <v>-870</v>
      </c>
      <c r="D19" s="10">
        <f t="shared" si="1"/>
        <v>0</v>
      </c>
    </row>
    <row r="20" spans="1:4" x14ac:dyDescent="0.25">
      <c r="A20" s="8">
        <v>45950</v>
      </c>
      <c r="B20" s="9" t="s">
        <v>3</v>
      </c>
      <c r="C20" s="10">
        <v>780</v>
      </c>
      <c r="D20" s="10">
        <f t="shared" si="1"/>
        <v>780</v>
      </c>
    </row>
    <row r="21" spans="1:4" x14ac:dyDescent="0.25">
      <c r="A21" s="8">
        <v>45952</v>
      </c>
      <c r="B21" s="9" t="s">
        <v>179</v>
      </c>
      <c r="C21" s="10">
        <v>-780</v>
      </c>
      <c r="D21" s="10">
        <f t="shared" si="1"/>
        <v>0</v>
      </c>
    </row>
    <row r="22" spans="1:4" x14ac:dyDescent="0.25">
      <c r="A22" s="8">
        <v>45953</v>
      </c>
      <c r="B22" s="9" t="s">
        <v>3</v>
      </c>
      <c r="C22" s="10">
        <v>3760</v>
      </c>
      <c r="D22" s="10">
        <f t="shared" si="1"/>
        <v>3760</v>
      </c>
    </row>
    <row r="23" spans="1:4" x14ac:dyDescent="0.25">
      <c r="A23" s="8">
        <v>45985</v>
      </c>
      <c r="B23" s="9" t="s">
        <v>179</v>
      </c>
      <c r="C23" s="10">
        <v>-3760</v>
      </c>
      <c r="D23" s="10">
        <f t="shared" si="1"/>
        <v>0</v>
      </c>
    </row>
    <row r="24" spans="1:4" x14ac:dyDescent="0.25">
      <c r="A24" s="8">
        <v>45957</v>
      </c>
      <c r="B24" s="9" t="s">
        <v>3</v>
      </c>
      <c r="C24" s="10">
        <v>1120</v>
      </c>
      <c r="D24" s="10">
        <f t="shared" si="1"/>
        <v>1120</v>
      </c>
    </row>
    <row r="25" spans="1:4" x14ac:dyDescent="0.25">
      <c r="A25" s="8">
        <v>45958</v>
      </c>
      <c r="B25" s="9" t="s">
        <v>179</v>
      </c>
      <c r="C25" s="10">
        <v>-1120</v>
      </c>
      <c r="D25" s="10">
        <f t="shared" si="1"/>
        <v>0</v>
      </c>
    </row>
    <row r="26" spans="1:4" x14ac:dyDescent="0.25">
      <c r="A26" s="8">
        <v>45960</v>
      </c>
      <c r="B26" s="9" t="s">
        <v>3</v>
      </c>
      <c r="C26" s="10">
        <v>5820</v>
      </c>
      <c r="D26" s="10">
        <f t="shared" ref="D26:D88" si="2">D25+C26</f>
        <v>5820</v>
      </c>
    </row>
    <row r="27" spans="1:4" x14ac:dyDescent="0.25">
      <c r="A27" s="8">
        <v>45965</v>
      </c>
      <c r="B27" s="9" t="s">
        <v>179</v>
      </c>
      <c r="C27" s="10">
        <v>-5820</v>
      </c>
      <c r="D27" s="10">
        <f t="shared" si="2"/>
        <v>0</v>
      </c>
    </row>
    <row r="28" spans="1:4" x14ac:dyDescent="0.25">
      <c r="A28" s="8">
        <v>45974</v>
      </c>
      <c r="B28" s="9" t="s">
        <v>3</v>
      </c>
      <c r="C28" s="10">
        <v>1490</v>
      </c>
      <c r="D28" s="10">
        <f t="shared" si="2"/>
        <v>1490</v>
      </c>
    </row>
    <row r="29" spans="1:4" x14ac:dyDescent="0.25">
      <c r="A29" s="8">
        <v>45978</v>
      </c>
      <c r="B29" s="9" t="s">
        <v>3</v>
      </c>
      <c r="C29" s="10">
        <v>2380</v>
      </c>
      <c r="D29" s="10">
        <f t="shared" si="2"/>
        <v>3870</v>
      </c>
    </row>
    <row r="30" spans="1:4" x14ac:dyDescent="0.25">
      <c r="A30" s="8">
        <v>45980</v>
      </c>
      <c r="B30" s="9" t="s">
        <v>56</v>
      </c>
      <c r="C30" s="10">
        <v>-1490</v>
      </c>
      <c r="D30" s="10">
        <f t="shared" si="2"/>
        <v>2380</v>
      </c>
    </row>
    <row r="31" spans="1:4" x14ac:dyDescent="0.25">
      <c r="A31" s="8">
        <v>45988</v>
      </c>
      <c r="B31" s="9" t="s">
        <v>3</v>
      </c>
      <c r="C31" s="10">
        <v>4500</v>
      </c>
      <c r="D31" s="10">
        <f t="shared" si="2"/>
        <v>6880</v>
      </c>
    </row>
    <row r="32" spans="1:4" x14ac:dyDescent="0.25">
      <c r="A32" s="8">
        <v>45989</v>
      </c>
      <c r="B32" s="9" t="s">
        <v>56</v>
      </c>
      <c r="C32" s="10">
        <v>-2380</v>
      </c>
      <c r="D32" s="10">
        <f t="shared" si="2"/>
        <v>4500</v>
      </c>
    </row>
    <row r="33" spans="1:4" x14ac:dyDescent="0.25">
      <c r="A33" s="8">
        <v>45999</v>
      </c>
      <c r="B33" s="9" t="s">
        <v>265</v>
      </c>
      <c r="C33" s="10">
        <v>-4500</v>
      </c>
      <c r="D33" s="10">
        <f t="shared" si="2"/>
        <v>0</v>
      </c>
    </row>
    <row r="34" spans="1:4" x14ac:dyDescent="0.25">
      <c r="A34" s="8">
        <v>46009</v>
      </c>
      <c r="B34" s="9" t="s">
        <v>3</v>
      </c>
      <c r="C34" s="10">
        <v>1900</v>
      </c>
      <c r="D34" s="10">
        <f t="shared" si="2"/>
        <v>1900</v>
      </c>
    </row>
    <row r="35" spans="1:4" x14ac:dyDescent="0.25">
      <c r="A35" s="8">
        <v>46013</v>
      </c>
      <c r="B35" s="9" t="s">
        <v>178</v>
      </c>
      <c r="C35" s="10">
        <v>-3710</v>
      </c>
      <c r="D35" s="10">
        <f t="shared" si="2"/>
        <v>-1810</v>
      </c>
    </row>
    <row r="36" spans="1:4" x14ac:dyDescent="0.25">
      <c r="A36" s="8">
        <v>46379</v>
      </c>
      <c r="B36" s="9" t="s">
        <v>129</v>
      </c>
      <c r="C36" s="10">
        <v>1150</v>
      </c>
      <c r="D36" s="10">
        <f t="shared" si="2"/>
        <v>-660</v>
      </c>
    </row>
    <row r="37" spans="1:4" x14ac:dyDescent="0.25">
      <c r="A37" s="8">
        <v>46019</v>
      </c>
      <c r="B37" s="9" t="s">
        <v>3</v>
      </c>
      <c r="C37" s="10">
        <v>2860</v>
      </c>
      <c r="D37" s="10">
        <f t="shared" si="2"/>
        <v>2200</v>
      </c>
    </row>
    <row r="38" spans="1:4" x14ac:dyDescent="0.25">
      <c r="A38" s="8">
        <v>46020</v>
      </c>
      <c r="B38" s="9" t="s">
        <v>178</v>
      </c>
      <c r="C38" s="10">
        <v>-3770</v>
      </c>
      <c r="D38" s="10">
        <f t="shared" si="2"/>
        <v>-1570</v>
      </c>
    </row>
    <row r="39" spans="1:4" x14ac:dyDescent="0.25">
      <c r="A39" s="8">
        <v>46027</v>
      </c>
      <c r="B39" s="9" t="s">
        <v>3</v>
      </c>
      <c r="C39" s="10">
        <v>2260</v>
      </c>
      <c r="D39" s="10">
        <f t="shared" si="2"/>
        <v>690</v>
      </c>
    </row>
    <row r="40" spans="1:4" x14ac:dyDescent="0.25">
      <c r="A40" s="8">
        <v>46037</v>
      </c>
      <c r="B40" s="9" t="s">
        <v>3</v>
      </c>
      <c r="C40" s="10">
        <v>850</v>
      </c>
      <c r="D40" s="10">
        <f t="shared" si="2"/>
        <v>1540</v>
      </c>
    </row>
    <row r="41" spans="1:4" x14ac:dyDescent="0.25">
      <c r="A41" s="8">
        <v>46037</v>
      </c>
      <c r="B41" s="9" t="s">
        <v>178</v>
      </c>
      <c r="C41" s="10">
        <v>-3350</v>
      </c>
      <c r="D41" s="10">
        <f t="shared" si="2"/>
        <v>-1810</v>
      </c>
    </row>
    <row r="42" spans="1:4" x14ac:dyDescent="0.25">
      <c r="A42" s="8">
        <v>46044</v>
      </c>
      <c r="B42" s="9" t="s">
        <v>3</v>
      </c>
      <c r="C42" s="10">
        <v>5890</v>
      </c>
      <c r="D42" s="10">
        <f t="shared" si="2"/>
        <v>4080</v>
      </c>
    </row>
    <row r="43" spans="1:4" x14ac:dyDescent="0.25">
      <c r="A43" s="8">
        <v>46048</v>
      </c>
      <c r="B43" s="9" t="s">
        <v>178</v>
      </c>
      <c r="C43" s="10">
        <v>-5890</v>
      </c>
      <c r="D43" s="10">
        <f t="shared" si="2"/>
        <v>-1810</v>
      </c>
    </row>
    <row r="44" spans="1:4" x14ac:dyDescent="0.25">
      <c r="A44" s="8">
        <v>46051</v>
      </c>
      <c r="B44" s="9" t="s">
        <v>3</v>
      </c>
      <c r="C44" s="10">
        <v>1920</v>
      </c>
      <c r="D44" s="10">
        <f t="shared" si="2"/>
        <v>110</v>
      </c>
    </row>
    <row r="45" spans="1:4" x14ac:dyDescent="0.25">
      <c r="A45" s="8">
        <v>46066</v>
      </c>
      <c r="B45" s="9" t="s">
        <v>3</v>
      </c>
      <c r="C45" s="10">
        <v>27870</v>
      </c>
      <c r="D45" s="10">
        <f t="shared" si="2"/>
        <v>27980</v>
      </c>
    </row>
    <row r="46" spans="1:4" x14ac:dyDescent="0.25">
      <c r="A46" s="8">
        <v>46069</v>
      </c>
      <c r="B46" s="9" t="s">
        <v>338</v>
      </c>
      <c r="C46" s="10">
        <v>-29790</v>
      </c>
      <c r="D46" s="10">
        <f t="shared" si="2"/>
        <v>-1810</v>
      </c>
    </row>
    <row r="47" spans="1:4" x14ac:dyDescent="0.25">
      <c r="A47" s="8">
        <v>46090</v>
      </c>
      <c r="B47" s="9" t="s">
        <v>3</v>
      </c>
      <c r="C47" s="10">
        <v>360</v>
      </c>
      <c r="D47" s="10">
        <f t="shared" si="2"/>
        <v>-1450</v>
      </c>
    </row>
    <row r="48" spans="1:4" x14ac:dyDescent="0.25">
      <c r="A48" s="8">
        <v>46090</v>
      </c>
      <c r="B48" s="9" t="s">
        <v>178</v>
      </c>
      <c r="C48" s="10">
        <v>-360</v>
      </c>
      <c r="D48" s="10">
        <f t="shared" si="2"/>
        <v>-1810</v>
      </c>
    </row>
    <row r="49" spans="1:10" x14ac:dyDescent="0.25">
      <c r="A49" s="8">
        <v>46100</v>
      </c>
      <c r="B49" s="9" t="s">
        <v>3</v>
      </c>
      <c r="C49" s="10">
        <v>3370</v>
      </c>
      <c r="D49" s="10">
        <f t="shared" si="2"/>
        <v>1560</v>
      </c>
    </row>
    <row r="50" spans="1:10" x14ac:dyDescent="0.25">
      <c r="A50" s="8">
        <v>46108</v>
      </c>
      <c r="B50" s="9" t="s">
        <v>3</v>
      </c>
      <c r="C50" s="10">
        <v>260</v>
      </c>
      <c r="D50" s="10">
        <f t="shared" si="2"/>
        <v>1820</v>
      </c>
    </row>
    <row r="51" spans="1:10" x14ac:dyDescent="0.25">
      <c r="A51" s="8">
        <v>46125</v>
      </c>
      <c r="B51" s="9" t="s">
        <v>230</v>
      </c>
      <c r="C51" s="10">
        <v>-3630</v>
      </c>
      <c r="D51" s="10">
        <f t="shared" si="2"/>
        <v>-1810</v>
      </c>
    </row>
    <row r="52" spans="1:10" x14ac:dyDescent="0.25">
      <c r="A52" s="8">
        <v>46125</v>
      </c>
      <c r="B52" s="9" t="s">
        <v>3</v>
      </c>
      <c r="C52" s="10">
        <v>1740</v>
      </c>
      <c r="D52" s="10">
        <f t="shared" si="2"/>
        <v>-70</v>
      </c>
    </row>
    <row r="53" spans="1:10" x14ac:dyDescent="0.25">
      <c r="A53" s="8">
        <v>46139</v>
      </c>
      <c r="B53" s="9" t="s">
        <v>3</v>
      </c>
      <c r="C53" s="10">
        <v>1480</v>
      </c>
      <c r="D53" s="10">
        <f t="shared" si="2"/>
        <v>1410</v>
      </c>
    </row>
    <row r="54" spans="1:10" x14ac:dyDescent="0.25">
      <c r="A54" s="8">
        <v>46139</v>
      </c>
      <c r="B54" s="9" t="s">
        <v>178</v>
      </c>
      <c r="C54" s="10">
        <v>-1740</v>
      </c>
      <c r="D54" s="10">
        <f t="shared" si="2"/>
        <v>-330</v>
      </c>
    </row>
    <row r="55" spans="1:10" x14ac:dyDescent="0.25">
      <c r="A55" s="8">
        <v>46149</v>
      </c>
      <c r="B55" s="9" t="s">
        <v>416</v>
      </c>
      <c r="C55" s="10">
        <v>14550</v>
      </c>
      <c r="D55" s="10">
        <f t="shared" si="2"/>
        <v>14220</v>
      </c>
    </row>
    <row r="56" spans="1:10" x14ac:dyDescent="0.25">
      <c r="A56" s="8">
        <v>46160</v>
      </c>
      <c r="B56" s="9" t="s">
        <v>3</v>
      </c>
      <c r="C56" s="10">
        <v>2780</v>
      </c>
      <c r="D56" s="10">
        <f t="shared" si="2"/>
        <v>17000</v>
      </c>
    </row>
    <row r="57" spans="1:10" x14ac:dyDescent="0.25">
      <c r="A57" s="8">
        <v>46163</v>
      </c>
      <c r="B57" s="9" t="s">
        <v>178</v>
      </c>
      <c r="C57" s="10">
        <v>-14550</v>
      </c>
      <c r="D57" s="10">
        <f t="shared" si="2"/>
        <v>2450</v>
      </c>
    </row>
    <row r="58" spans="1:10" x14ac:dyDescent="0.25">
      <c r="A58" s="8">
        <v>46170</v>
      </c>
      <c r="B58" s="9" t="s">
        <v>3</v>
      </c>
      <c r="C58" s="10">
        <v>1030</v>
      </c>
      <c r="D58" s="10">
        <f t="shared" si="2"/>
        <v>3480</v>
      </c>
      <c r="I58">
        <v>1300</v>
      </c>
      <c r="J58">
        <v>1300</v>
      </c>
    </row>
    <row r="59" spans="1:10" x14ac:dyDescent="0.25">
      <c r="A59" s="8">
        <v>46169</v>
      </c>
      <c r="B59" s="9" t="s">
        <v>178</v>
      </c>
      <c r="C59" s="10">
        <v>-1560</v>
      </c>
      <c r="D59" s="10">
        <f t="shared" si="2"/>
        <v>1920</v>
      </c>
      <c r="I59">
        <v>6230</v>
      </c>
      <c r="J59">
        <v>6230</v>
      </c>
    </row>
    <row r="60" spans="1:10" x14ac:dyDescent="0.25">
      <c r="A60" s="8">
        <v>46181</v>
      </c>
      <c r="B60" s="9" t="s">
        <v>3</v>
      </c>
      <c r="C60" s="10">
        <v>1420</v>
      </c>
      <c r="D60" s="10">
        <f t="shared" si="2"/>
        <v>3340</v>
      </c>
      <c r="I60">
        <v>5150</v>
      </c>
      <c r="J60">
        <v>5150</v>
      </c>
    </row>
    <row r="61" spans="1:10" x14ac:dyDescent="0.25">
      <c r="A61" s="8">
        <v>46181</v>
      </c>
      <c r="B61" s="9" t="s">
        <v>127</v>
      </c>
      <c r="C61" s="10">
        <v>-765</v>
      </c>
      <c r="D61" s="10">
        <f t="shared" si="2"/>
        <v>2575</v>
      </c>
      <c r="I61">
        <v>1570</v>
      </c>
      <c r="J61">
        <v>1570</v>
      </c>
    </row>
    <row r="62" spans="1:10" x14ac:dyDescent="0.25">
      <c r="A62" s="8">
        <v>46181</v>
      </c>
      <c r="B62" s="9" t="s">
        <v>196</v>
      </c>
      <c r="C62" s="10">
        <v>-1155</v>
      </c>
      <c r="D62" s="10">
        <f t="shared" si="2"/>
        <v>1420</v>
      </c>
      <c r="I62">
        <v>8000</v>
      </c>
      <c r="J62">
        <v>8000</v>
      </c>
    </row>
    <row r="63" spans="1:10" x14ac:dyDescent="0.25">
      <c r="A63" s="8">
        <v>46198</v>
      </c>
      <c r="B63" s="9" t="s">
        <v>3</v>
      </c>
      <c r="C63" s="10">
        <f>1200+350+300</f>
        <v>1850</v>
      </c>
      <c r="D63" s="10">
        <f t="shared" si="2"/>
        <v>3270</v>
      </c>
      <c r="I63">
        <v>720</v>
      </c>
      <c r="J63">
        <v>720</v>
      </c>
    </row>
    <row r="64" spans="1:10" x14ac:dyDescent="0.25">
      <c r="A64" s="8">
        <v>46199</v>
      </c>
      <c r="B64" s="9" t="s">
        <v>480</v>
      </c>
      <c r="C64" s="10">
        <v>-2550</v>
      </c>
      <c r="D64" s="10">
        <f t="shared" si="2"/>
        <v>720</v>
      </c>
      <c r="I64">
        <v>10500</v>
      </c>
      <c r="J64">
        <v>10500</v>
      </c>
    </row>
    <row r="65" spans="1:11" x14ac:dyDescent="0.25">
      <c r="A65" s="8">
        <v>46205</v>
      </c>
      <c r="B65" s="9" t="s">
        <v>3</v>
      </c>
      <c r="C65" s="10">
        <v>1070</v>
      </c>
      <c r="D65" s="10">
        <f t="shared" si="2"/>
        <v>1790</v>
      </c>
      <c r="I65">
        <v>9870</v>
      </c>
      <c r="J65">
        <v>9870</v>
      </c>
    </row>
    <row r="66" spans="1:11" x14ac:dyDescent="0.25">
      <c r="A66" s="8">
        <v>46216</v>
      </c>
      <c r="B66" s="9" t="s">
        <v>178</v>
      </c>
      <c r="C66" s="10">
        <v>-1070</v>
      </c>
      <c r="D66" s="10">
        <f t="shared" si="2"/>
        <v>720</v>
      </c>
      <c r="I66">
        <v>23270</v>
      </c>
      <c r="J66">
        <v>23270</v>
      </c>
    </row>
    <row r="67" spans="1:11" x14ac:dyDescent="0.25">
      <c r="A67" s="8">
        <v>46217</v>
      </c>
      <c r="B67" s="9" t="s">
        <v>506</v>
      </c>
      <c r="C67" s="10">
        <v>1270</v>
      </c>
      <c r="D67" s="10">
        <f t="shared" si="2"/>
        <v>1990</v>
      </c>
      <c r="I67">
        <v>3180</v>
      </c>
      <c r="J67">
        <v>3180</v>
      </c>
    </row>
    <row r="68" spans="1:11" x14ac:dyDescent="0.25">
      <c r="A68" s="8">
        <v>46233</v>
      </c>
      <c r="B68" s="9" t="s">
        <v>178</v>
      </c>
      <c r="C68" s="10">
        <v>-1990</v>
      </c>
      <c r="D68" s="10">
        <f>D67+C68</f>
        <v>0</v>
      </c>
      <c r="I68">
        <v>30000</v>
      </c>
      <c r="J68">
        <v>30000</v>
      </c>
    </row>
    <row r="69" spans="1:11" x14ac:dyDescent="0.25">
      <c r="A69" s="8">
        <v>46282</v>
      </c>
      <c r="B69" s="9" t="s">
        <v>3</v>
      </c>
      <c r="C69" s="10">
        <v>6490</v>
      </c>
      <c r="D69" s="10">
        <f>D68+C69</f>
        <v>6490</v>
      </c>
      <c r="I69">
        <v>8000</v>
      </c>
      <c r="J69">
        <v>8000</v>
      </c>
    </row>
    <row r="70" spans="1:11" x14ac:dyDescent="0.25">
      <c r="A70" s="8">
        <v>46293</v>
      </c>
      <c r="B70" s="9" t="s">
        <v>178</v>
      </c>
      <c r="C70" s="10">
        <v>-2909</v>
      </c>
      <c r="D70" s="10">
        <f t="shared" si="2"/>
        <v>3581</v>
      </c>
      <c r="I70">
        <v>3790</v>
      </c>
      <c r="J70">
        <v>3790</v>
      </c>
    </row>
    <row r="71" spans="1:11" x14ac:dyDescent="0.25">
      <c r="A71" s="8">
        <v>46294</v>
      </c>
      <c r="B71" s="9" t="s">
        <v>608</v>
      </c>
      <c r="C71" s="10">
        <v>-3581</v>
      </c>
      <c r="D71" s="10">
        <f t="shared" si="2"/>
        <v>0</v>
      </c>
      <c r="I71">
        <v>950</v>
      </c>
      <c r="J71">
        <v>950</v>
      </c>
    </row>
    <row r="72" spans="1:11" x14ac:dyDescent="0.25">
      <c r="A72" s="8"/>
      <c r="B72" s="9"/>
      <c r="C72" s="10"/>
      <c r="D72" s="10">
        <f t="shared" si="2"/>
        <v>0</v>
      </c>
      <c r="I72">
        <v>11150</v>
      </c>
      <c r="J72">
        <v>11150</v>
      </c>
    </row>
    <row r="73" spans="1:11" x14ac:dyDescent="0.25">
      <c r="A73" s="8"/>
      <c r="B73" s="9"/>
      <c r="C73" s="10"/>
      <c r="D73" s="10">
        <f t="shared" si="2"/>
        <v>0</v>
      </c>
      <c r="I73">
        <v>1670</v>
      </c>
      <c r="J73">
        <v>1670</v>
      </c>
    </row>
    <row r="74" spans="1:11" x14ac:dyDescent="0.25">
      <c r="A74" s="8"/>
      <c r="B74" s="9"/>
      <c r="C74" s="10"/>
      <c r="D74" s="10">
        <f t="shared" si="2"/>
        <v>0</v>
      </c>
      <c r="I74">
        <v>900</v>
      </c>
      <c r="J74">
        <v>900</v>
      </c>
    </row>
    <row r="75" spans="1:11" x14ac:dyDescent="0.25">
      <c r="A75" s="9"/>
      <c r="B75" s="9"/>
      <c r="C75" s="10"/>
      <c r="D75" s="10">
        <f t="shared" si="2"/>
        <v>0</v>
      </c>
      <c r="I75">
        <f>5510+6090</f>
        <v>11600</v>
      </c>
      <c r="J75">
        <f>5510+6090</f>
        <v>11600</v>
      </c>
    </row>
    <row r="76" spans="1:11" x14ac:dyDescent="0.25">
      <c r="A76" s="9"/>
      <c r="B76" s="9"/>
      <c r="C76" s="10"/>
      <c r="D76" s="10">
        <f t="shared" si="2"/>
        <v>0</v>
      </c>
      <c r="I76">
        <v>2990</v>
      </c>
      <c r="J76">
        <v>2990</v>
      </c>
      <c r="K76">
        <v>9</v>
      </c>
    </row>
    <row r="77" spans="1:11" x14ac:dyDescent="0.25">
      <c r="A77" s="9"/>
      <c r="B77" s="9"/>
      <c r="C77" s="10"/>
      <c r="D77" s="10">
        <f t="shared" si="2"/>
        <v>0</v>
      </c>
      <c r="I77">
        <f>SUM(I58:I76)</f>
        <v>140840</v>
      </c>
      <c r="J77">
        <f>SUM(J58:J76)</f>
        <v>140840</v>
      </c>
    </row>
    <row r="78" spans="1:11" x14ac:dyDescent="0.25">
      <c r="A78" s="9"/>
      <c r="B78" s="9"/>
      <c r="C78" s="10"/>
      <c r="D78" s="10">
        <f t="shared" si="2"/>
        <v>0</v>
      </c>
    </row>
    <row r="79" spans="1:11" x14ac:dyDescent="0.25">
      <c r="A79" s="9"/>
      <c r="B79" s="9"/>
      <c r="C79" s="10"/>
      <c r="D79" s="10">
        <f t="shared" si="2"/>
        <v>0</v>
      </c>
    </row>
    <row r="80" spans="1:11" x14ac:dyDescent="0.25">
      <c r="A80" s="9"/>
      <c r="B80" s="9"/>
      <c r="C80" s="10"/>
      <c r="D80" s="10">
        <f t="shared" si="2"/>
        <v>0</v>
      </c>
    </row>
    <row r="81" spans="1:4" x14ac:dyDescent="0.25">
      <c r="A81" s="9"/>
      <c r="B81" s="9"/>
      <c r="C81" s="10"/>
      <c r="D81" s="10">
        <f t="shared" si="2"/>
        <v>0</v>
      </c>
    </row>
    <row r="82" spans="1:4" x14ac:dyDescent="0.25">
      <c r="A82" s="9"/>
      <c r="B82" s="9"/>
      <c r="C82" s="10"/>
      <c r="D82" s="10">
        <f t="shared" si="2"/>
        <v>0</v>
      </c>
    </row>
    <row r="83" spans="1:4" x14ac:dyDescent="0.25">
      <c r="A83" s="9"/>
      <c r="B83" s="9"/>
      <c r="C83" s="10"/>
      <c r="D83" s="10">
        <f t="shared" si="2"/>
        <v>0</v>
      </c>
    </row>
    <row r="84" spans="1:4" x14ac:dyDescent="0.25">
      <c r="A84" s="9"/>
      <c r="B84" s="9"/>
      <c r="C84" s="10"/>
      <c r="D84" s="10">
        <f t="shared" si="2"/>
        <v>0</v>
      </c>
    </row>
    <row r="85" spans="1:4" x14ac:dyDescent="0.25">
      <c r="A85" s="9"/>
      <c r="B85" s="9"/>
      <c r="C85" s="10"/>
      <c r="D85" s="10">
        <f t="shared" si="2"/>
        <v>0</v>
      </c>
    </row>
    <row r="86" spans="1:4" x14ac:dyDescent="0.25">
      <c r="A86" s="9"/>
      <c r="B86" s="9"/>
      <c r="C86" s="10"/>
      <c r="D86" s="10">
        <f t="shared" si="2"/>
        <v>0</v>
      </c>
    </row>
    <row r="87" spans="1:4" x14ac:dyDescent="0.25">
      <c r="A87" s="9"/>
      <c r="B87" s="9"/>
      <c r="C87" s="10"/>
      <c r="D87" s="10">
        <f t="shared" si="2"/>
        <v>0</v>
      </c>
    </row>
    <row r="88" spans="1:4" x14ac:dyDescent="0.25">
      <c r="A88" s="9"/>
      <c r="B88" s="9"/>
      <c r="C88" s="10"/>
      <c r="D88" s="10">
        <f t="shared" si="2"/>
        <v>0</v>
      </c>
    </row>
    <row r="89" spans="1:4" x14ac:dyDescent="0.25">
      <c r="A89" s="9"/>
      <c r="B89" s="9"/>
      <c r="C89" s="10"/>
      <c r="D89" s="10"/>
    </row>
    <row r="90" spans="1:4" x14ac:dyDescent="0.25">
      <c r="A90" s="9"/>
      <c r="B90" s="9"/>
      <c r="C90" s="10"/>
      <c r="D90" s="10"/>
    </row>
    <row r="91" spans="1:4" x14ac:dyDescent="0.25">
      <c r="A91" s="9"/>
      <c r="B91" s="9"/>
      <c r="C91" s="10"/>
      <c r="D91" s="10"/>
    </row>
    <row r="92" spans="1:4" x14ac:dyDescent="0.25">
      <c r="A92" s="9"/>
      <c r="B92" s="9"/>
      <c r="C92" s="10"/>
      <c r="D92" s="10"/>
    </row>
    <row r="93" spans="1:4" x14ac:dyDescent="0.25">
      <c r="A93" s="9"/>
      <c r="B93" s="9"/>
      <c r="C93" s="10"/>
      <c r="D93" s="10"/>
    </row>
    <row r="94" spans="1:4" x14ac:dyDescent="0.25">
      <c r="A94" s="9"/>
      <c r="B94" s="9"/>
      <c r="C94" s="10"/>
      <c r="D94" s="10"/>
    </row>
    <row r="95" spans="1:4" x14ac:dyDescent="0.25">
      <c r="A95" s="9"/>
      <c r="B95" s="9"/>
      <c r="C95" s="10"/>
      <c r="D95" s="10"/>
    </row>
    <row r="96" spans="1:4" x14ac:dyDescent="0.25">
      <c r="A96" s="9"/>
      <c r="B96" s="9"/>
      <c r="C96" s="10"/>
      <c r="D96" s="10"/>
    </row>
    <row r="97" spans="1:4" x14ac:dyDescent="0.25">
      <c r="A97" s="9"/>
      <c r="B97" s="9"/>
      <c r="C97" s="10"/>
      <c r="D97" s="10"/>
    </row>
    <row r="98" spans="1:4" x14ac:dyDescent="0.25">
      <c r="A98" s="9"/>
      <c r="B98" s="9"/>
      <c r="C98" s="10"/>
      <c r="D98" s="10"/>
    </row>
    <row r="99" spans="1:4" x14ac:dyDescent="0.25">
      <c r="A99" s="9"/>
      <c r="B99" s="9"/>
      <c r="C99" s="10"/>
      <c r="D99" s="10"/>
    </row>
    <row r="100" spans="1:4" x14ac:dyDescent="0.25">
      <c r="A100" s="9"/>
      <c r="B100" s="9"/>
      <c r="C100" s="10"/>
      <c r="D100" s="10"/>
    </row>
    <row r="101" spans="1:4" x14ac:dyDescent="0.25">
      <c r="A101" s="9"/>
      <c r="B101" s="9"/>
      <c r="C101" s="10"/>
      <c r="D101" s="10"/>
    </row>
    <row r="102" spans="1:4" x14ac:dyDescent="0.25">
      <c r="A102" s="9"/>
      <c r="B102" s="9"/>
      <c r="C102" s="10"/>
      <c r="D102" s="10"/>
    </row>
    <row r="103" spans="1:4" x14ac:dyDescent="0.25">
      <c r="A103" s="9"/>
      <c r="B103" s="9"/>
      <c r="C103" s="10"/>
      <c r="D103" s="10"/>
    </row>
    <row r="104" spans="1:4" x14ac:dyDescent="0.25">
      <c r="A104" s="9"/>
      <c r="B104" s="9"/>
      <c r="C104" s="10"/>
      <c r="D104" s="10"/>
    </row>
    <row r="105" spans="1:4" x14ac:dyDescent="0.25">
      <c r="A105" s="9"/>
      <c r="B105" s="9"/>
      <c r="C105" s="10"/>
      <c r="D105" s="10"/>
    </row>
    <row r="106" spans="1:4" x14ac:dyDescent="0.25">
      <c r="A106" s="9"/>
      <c r="B106" s="9"/>
      <c r="C106" s="10"/>
      <c r="D106" s="10"/>
    </row>
    <row r="107" spans="1:4" x14ac:dyDescent="0.25">
      <c r="A107" s="9"/>
      <c r="B107" s="9"/>
      <c r="C107" s="10"/>
      <c r="D107" s="10"/>
    </row>
    <row r="108" spans="1:4" x14ac:dyDescent="0.25">
      <c r="A108" s="9"/>
      <c r="B108" s="9"/>
      <c r="C108" s="10"/>
      <c r="D108" s="10"/>
    </row>
    <row r="109" spans="1:4" x14ac:dyDescent="0.25">
      <c r="A109" s="9"/>
      <c r="B109" s="9"/>
      <c r="C109" s="10"/>
      <c r="D109" s="10"/>
    </row>
    <row r="110" spans="1:4" x14ac:dyDescent="0.25">
      <c r="A110" s="9"/>
      <c r="B110" s="9"/>
      <c r="C110" s="10"/>
      <c r="D110" s="10"/>
    </row>
    <row r="111" spans="1:4" x14ac:dyDescent="0.25">
      <c r="A111" s="9"/>
      <c r="B111" s="9"/>
      <c r="C111" s="10"/>
      <c r="D111" s="10"/>
    </row>
    <row r="112" spans="1:4" x14ac:dyDescent="0.25">
      <c r="A112" s="9"/>
      <c r="B112" s="9"/>
      <c r="C112" s="10"/>
      <c r="D112" s="10"/>
    </row>
    <row r="113" spans="1:4" x14ac:dyDescent="0.25">
      <c r="A113" s="9"/>
      <c r="B113" s="9"/>
      <c r="C113" s="10"/>
      <c r="D113" s="10"/>
    </row>
    <row r="114" spans="1:4" x14ac:dyDescent="0.25">
      <c r="A114" s="9"/>
      <c r="B114" s="9"/>
      <c r="C114" s="10"/>
      <c r="D114" s="10"/>
    </row>
    <row r="115" spans="1:4" x14ac:dyDescent="0.25">
      <c r="A115" s="9"/>
      <c r="B115" s="9"/>
      <c r="C115" s="10"/>
      <c r="D115" s="10"/>
    </row>
    <row r="116" spans="1:4" x14ac:dyDescent="0.25">
      <c r="A116" s="9"/>
      <c r="B116" s="9"/>
      <c r="C116" s="10"/>
      <c r="D116" s="10"/>
    </row>
    <row r="117" spans="1:4" x14ac:dyDescent="0.25">
      <c r="A117" s="9"/>
      <c r="B117" s="9"/>
      <c r="C117" s="10"/>
      <c r="D117" s="10"/>
    </row>
    <row r="118" spans="1:4" x14ac:dyDescent="0.25">
      <c r="A118" s="9"/>
      <c r="B118" s="9"/>
      <c r="C118" s="10"/>
      <c r="D118" s="10"/>
    </row>
    <row r="119" spans="1:4" x14ac:dyDescent="0.25">
      <c r="A119" s="9"/>
      <c r="B119" s="9"/>
      <c r="C119" s="10"/>
      <c r="D119" s="10"/>
    </row>
    <row r="120" spans="1:4" x14ac:dyDescent="0.25">
      <c r="A120" s="9"/>
      <c r="B120" s="9"/>
      <c r="C120" s="10"/>
      <c r="D120" s="10"/>
    </row>
    <row r="121" spans="1:4" x14ac:dyDescent="0.25">
      <c r="A121" s="9"/>
      <c r="B121" s="9"/>
      <c r="C121" s="10"/>
      <c r="D121" s="10"/>
    </row>
    <row r="122" spans="1:4" x14ac:dyDescent="0.25">
      <c r="A122" s="9"/>
      <c r="B122" s="9"/>
      <c r="C122" s="10"/>
      <c r="D122" s="10"/>
    </row>
    <row r="123" spans="1:4" x14ac:dyDescent="0.25">
      <c r="A123" s="9"/>
      <c r="B123" s="9"/>
      <c r="C123" s="10"/>
      <c r="D123" s="10"/>
    </row>
    <row r="124" spans="1:4" x14ac:dyDescent="0.25">
      <c r="A124" s="9"/>
      <c r="B124" s="9"/>
      <c r="C124" s="10"/>
      <c r="D124" s="10"/>
    </row>
    <row r="125" spans="1:4" x14ac:dyDescent="0.25">
      <c r="A125" s="9"/>
      <c r="B125" s="9"/>
      <c r="C125" s="10"/>
      <c r="D125" s="10"/>
    </row>
    <row r="126" spans="1:4" x14ac:dyDescent="0.25">
      <c r="A126" s="9"/>
      <c r="B126" s="9"/>
      <c r="C126" s="10"/>
      <c r="D126" s="10"/>
    </row>
    <row r="127" spans="1:4" x14ac:dyDescent="0.25">
      <c r="A127" s="9"/>
      <c r="B127" s="9"/>
      <c r="C127" s="10"/>
      <c r="D127" s="10"/>
    </row>
    <row r="128" spans="1:4" x14ac:dyDescent="0.25">
      <c r="A128" s="9"/>
      <c r="B128" s="9"/>
      <c r="C128" s="10"/>
      <c r="D128" s="10"/>
    </row>
    <row r="129" spans="1:4" x14ac:dyDescent="0.25">
      <c r="A129" s="9"/>
      <c r="B129" s="9"/>
      <c r="C129" s="10"/>
      <c r="D129" s="10"/>
    </row>
    <row r="130" spans="1:4" x14ac:dyDescent="0.25">
      <c r="A130" s="9"/>
      <c r="B130" s="9"/>
      <c r="C130" s="10"/>
      <c r="D130" s="10"/>
    </row>
    <row r="131" spans="1:4" x14ac:dyDescent="0.25">
      <c r="A131" s="9"/>
      <c r="B131" s="9"/>
      <c r="C131" s="10"/>
      <c r="D131" s="10"/>
    </row>
    <row r="132" spans="1:4" x14ac:dyDescent="0.25">
      <c r="A132" s="9"/>
      <c r="B132" s="9"/>
      <c r="C132" s="10"/>
      <c r="D132" s="10"/>
    </row>
    <row r="133" spans="1:4" x14ac:dyDescent="0.25">
      <c r="A133" s="9"/>
      <c r="B133" s="9"/>
      <c r="C133" s="10"/>
      <c r="D133" s="10"/>
    </row>
    <row r="134" spans="1:4" x14ac:dyDescent="0.25">
      <c r="A134" s="9"/>
      <c r="B134" s="9"/>
      <c r="C134" s="10"/>
      <c r="D134" s="10"/>
    </row>
    <row r="135" spans="1:4" x14ac:dyDescent="0.25">
      <c r="A135" s="9"/>
      <c r="B135" s="9"/>
      <c r="C135" s="10"/>
      <c r="D135" s="10"/>
    </row>
    <row r="136" spans="1:4" x14ac:dyDescent="0.25">
      <c r="A136" s="9"/>
      <c r="B136" s="9"/>
      <c r="C136" s="10"/>
      <c r="D136" s="10"/>
    </row>
    <row r="137" spans="1:4" x14ac:dyDescent="0.25">
      <c r="A137" s="9"/>
      <c r="B137" s="9"/>
      <c r="C137" s="10"/>
      <c r="D137" s="10"/>
    </row>
    <row r="138" spans="1:4" x14ac:dyDescent="0.25">
      <c r="A138" s="9"/>
      <c r="B138" s="9"/>
      <c r="C138" s="10"/>
      <c r="D138" s="10"/>
    </row>
    <row r="139" spans="1:4" x14ac:dyDescent="0.25">
      <c r="A139" s="9"/>
      <c r="B139" s="9"/>
      <c r="C139" s="10"/>
      <c r="D139" s="10"/>
    </row>
    <row r="140" spans="1:4" x14ac:dyDescent="0.25">
      <c r="A140" s="9"/>
      <c r="B140" s="9"/>
      <c r="C140" s="10"/>
      <c r="D140" s="10"/>
    </row>
    <row r="141" spans="1:4" x14ac:dyDescent="0.25">
      <c r="A141" s="9"/>
      <c r="B141" s="9"/>
      <c r="C141" s="10"/>
      <c r="D141" s="10"/>
    </row>
    <row r="142" spans="1:4" x14ac:dyDescent="0.25">
      <c r="A142" s="9"/>
      <c r="B142" s="9"/>
      <c r="C142" s="10"/>
      <c r="D142" s="10"/>
    </row>
    <row r="143" spans="1:4" x14ac:dyDescent="0.25">
      <c r="A143" s="9"/>
      <c r="B143" s="9"/>
      <c r="C143" s="10"/>
      <c r="D143" s="10"/>
    </row>
    <row r="144" spans="1:4" x14ac:dyDescent="0.25">
      <c r="A144" s="9"/>
      <c r="B144" s="9"/>
      <c r="C144" s="10"/>
      <c r="D144" s="10"/>
    </row>
    <row r="145" spans="1:4" x14ac:dyDescent="0.25">
      <c r="A145" s="9"/>
      <c r="B145" s="9"/>
      <c r="C145" s="10"/>
      <c r="D145" s="10"/>
    </row>
    <row r="146" spans="1:4" x14ac:dyDescent="0.25">
      <c r="A146" s="9"/>
      <c r="B146" s="9"/>
      <c r="C146" s="10"/>
      <c r="D146" s="10"/>
    </row>
    <row r="147" spans="1:4" x14ac:dyDescent="0.25">
      <c r="A147" s="9"/>
      <c r="B147" s="9"/>
      <c r="C147" s="10"/>
      <c r="D147" s="10"/>
    </row>
    <row r="148" spans="1:4" x14ac:dyDescent="0.25">
      <c r="A148" s="9"/>
      <c r="B148" s="9"/>
      <c r="C148" s="10"/>
      <c r="D148" s="10"/>
    </row>
    <row r="149" spans="1:4" x14ac:dyDescent="0.25">
      <c r="A149" s="9"/>
      <c r="B149" s="9"/>
      <c r="C149" s="10"/>
      <c r="D149" s="10"/>
    </row>
    <row r="150" spans="1:4" x14ac:dyDescent="0.25">
      <c r="A150" s="9"/>
      <c r="B150" s="9"/>
      <c r="C150" s="10"/>
      <c r="D150" s="10"/>
    </row>
    <row r="151" spans="1:4" x14ac:dyDescent="0.25">
      <c r="A151" s="9"/>
      <c r="B151" s="9"/>
      <c r="C151" s="10"/>
      <c r="D151" s="10"/>
    </row>
    <row r="152" spans="1:4" x14ac:dyDescent="0.25">
      <c r="A152" s="9"/>
      <c r="B152" s="9"/>
      <c r="C152" s="10"/>
      <c r="D152" s="10"/>
    </row>
    <row r="153" spans="1:4" x14ac:dyDescent="0.25">
      <c r="A153" s="9"/>
      <c r="B153" s="9"/>
      <c r="C153" s="10"/>
      <c r="D153" s="10"/>
    </row>
    <row r="154" spans="1:4" x14ac:dyDescent="0.25">
      <c r="A154" s="9"/>
      <c r="B154" s="9"/>
      <c r="C154" s="10"/>
      <c r="D154" s="10"/>
    </row>
    <row r="155" spans="1:4" x14ac:dyDescent="0.25">
      <c r="A155" s="9"/>
      <c r="B155" s="9"/>
      <c r="C155" s="10"/>
      <c r="D155" s="10"/>
    </row>
    <row r="156" spans="1:4" x14ac:dyDescent="0.25">
      <c r="A156" s="9"/>
      <c r="B156" s="9"/>
      <c r="C156" s="10"/>
      <c r="D156" s="10"/>
    </row>
    <row r="157" spans="1:4" x14ac:dyDescent="0.25">
      <c r="A157" s="9"/>
      <c r="B157" s="9"/>
      <c r="C157" s="10"/>
      <c r="D157" s="10"/>
    </row>
    <row r="158" spans="1:4" x14ac:dyDescent="0.25">
      <c r="A158" s="9"/>
      <c r="B158" s="9"/>
      <c r="C158" s="10"/>
      <c r="D158" s="10"/>
    </row>
    <row r="159" spans="1:4" x14ac:dyDescent="0.25">
      <c r="A159" s="9"/>
      <c r="B159" s="9"/>
      <c r="C159" s="10"/>
      <c r="D159" s="10"/>
    </row>
    <row r="160" spans="1:4" x14ac:dyDescent="0.25">
      <c r="A160" s="9"/>
      <c r="B160" s="9"/>
      <c r="C160" s="10"/>
      <c r="D160" s="10"/>
    </row>
    <row r="161" spans="1:4" x14ac:dyDescent="0.25">
      <c r="A161" s="9"/>
      <c r="B161" s="9"/>
      <c r="C161" s="10"/>
      <c r="D161" s="10"/>
    </row>
    <row r="162" spans="1:4" x14ac:dyDescent="0.25">
      <c r="A162" s="9"/>
      <c r="B162" s="9"/>
      <c r="C162" s="10"/>
      <c r="D162" s="10"/>
    </row>
    <row r="163" spans="1:4" x14ac:dyDescent="0.25">
      <c r="A163" s="9"/>
      <c r="B163" s="9"/>
      <c r="C163" s="10"/>
      <c r="D163" s="10"/>
    </row>
    <row r="164" spans="1:4" x14ac:dyDescent="0.25">
      <c r="A164" s="9"/>
      <c r="B164" s="9"/>
      <c r="C164" s="10"/>
      <c r="D164" s="10"/>
    </row>
    <row r="165" spans="1:4" x14ac:dyDescent="0.25">
      <c r="A165" s="9"/>
      <c r="B165" s="9"/>
      <c r="C165" s="10"/>
      <c r="D165" s="10"/>
    </row>
    <row r="166" spans="1:4" x14ac:dyDescent="0.25">
      <c r="A166" s="9"/>
      <c r="B166" s="9"/>
      <c r="C166" s="10"/>
      <c r="D166" s="10"/>
    </row>
    <row r="167" spans="1:4" x14ac:dyDescent="0.25">
      <c r="A167" s="9"/>
      <c r="B167" s="9"/>
      <c r="C167" s="10"/>
      <c r="D167" s="10"/>
    </row>
    <row r="168" spans="1:4" x14ac:dyDescent="0.25">
      <c r="A168" s="9"/>
      <c r="B168" s="9"/>
      <c r="C168" s="10"/>
      <c r="D168" s="10"/>
    </row>
    <row r="169" spans="1:4" x14ac:dyDescent="0.25">
      <c r="A169" s="9"/>
      <c r="B169" s="9"/>
      <c r="C169" s="10"/>
      <c r="D169" s="10"/>
    </row>
    <row r="170" spans="1:4" x14ac:dyDescent="0.25">
      <c r="A170" s="9"/>
      <c r="B170" s="9"/>
      <c r="C170" s="10"/>
      <c r="D170" s="10"/>
    </row>
    <row r="171" spans="1:4" x14ac:dyDescent="0.25">
      <c r="A171" s="9"/>
      <c r="B171" s="9"/>
      <c r="C171" s="10"/>
      <c r="D171" s="10"/>
    </row>
    <row r="172" spans="1:4" x14ac:dyDescent="0.25">
      <c r="A172" s="9"/>
      <c r="B172" s="9"/>
      <c r="C172" s="10"/>
      <c r="D172" s="10"/>
    </row>
    <row r="173" spans="1:4" x14ac:dyDescent="0.25">
      <c r="A173" s="9"/>
      <c r="B173" s="9"/>
      <c r="C173" s="10"/>
      <c r="D173" s="10"/>
    </row>
    <row r="174" spans="1:4" x14ac:dyDescent="0.25">
      <c r="A174" s="9"/>
      <c r="B174" s="9"/>
      <c r="C174" s="10"/>
      <c r="D174" s="10"/>
    </row>
    <row r="175" spans="1:4" x14ac:dyDescent="0.25">
      <c r="A175" s="9"/>
      <c r="B175" s="9"/>
      <c r="C175" s="10"/>
      <c r="D175" s="10"/>
    </row>
    <row r="176" spans="1:4" x14ac:dyDescent="0.25">
      <c r="A176" s="9"/>
      <c r="B176" s="9"/>
      <c r="C176" s="10"/>
      <c r="D176" s="10"/>
    </row>
    <row r="177" spans="1:4" x14ac:dyDescent="0.25">
      <c r="A177" s="9"/>
      <c r="B177" s="9"/>
      <c r="C177" s="10"/>
      <c r="D177" s="10"/>
    </row>
    <row r="178" spans="1:4" x14ac:dyDescent="0.25">
      <c r="A178" s="9"/>
      <c r="B178" s="9"/>
      <c r="C178" s="10"/>
      <c r="D178" s="10"/>
    </row>
    <row r="179" spans="1:4" x14ac:dyDescent="0.25">
      <c r="A179" s="9"/>
      <c r="B179" s="9"/>
      <c r="C179" s="10"/>
      <c r="D179" s="10"/>
    </row>
    <row r="180" spans="1:4" x14ac:dyDescent="0.25">
      <c r="A180" s="9"/>
      <c r="B180" s="9"/>
      <c r="C180" s="10"/>
      <c r="D180" s="10"/>
    </row>
    <row r="181" spans="1:4" x14ac:dyDescent="0.25">
      <c r="A181" s="9"/>
      <c r="B181" s="9"/>
      <c r="C181" s="10"/>
      <c r="D181" s="10"/>
    </row>
    <row r="182" spans="1:4" x14ac:dyDescent="0.25">
      <c r="A182" s="9"/>
      <c r="B182" s="9"/>
      <c r="C182" s="10"/>
      <c r="D182" s="10"/>
    </row>
    <row r="183" spans="1:4" x14ac:dyDescent="0.25">
      <c r="A183" s="9"/>
      <c r="B183" s="9"/>
      <c r="C183" s="10"/>
      <c r="D183" s="10"/>
    </row>
    <row r="184" spans="1:4" x14ac:dyDescent="0.25">
      <c r="A184" s="9"/>
      <c r="B184" s="9"/>
      <c r="C184" s="10"/>
      <c r="D184" s="10"/>
    </row>
    <row r="185" spans="1:4" x14ac:dyDescent="0.25">
      <c r="A185" s="9"/>
      <c r="B185" s="9"/>
      <c r="C185" s="10"/>
      <c r="D185" s="10"/>
    </row>
    <row r="186" spans="1:4" x14ac:dyDescent="0.25">
      <c r="A186" s="9"/>
      <c r="B186" s="9"/>
      <c r="C186" s="10"/>
      <c r="D186" s="10"/>
    </row>
    <row r="187" spans="1:4" x14ac:dyDescent="0.25">
      <c r="A187" s="9"/>
      <c r="B187" s="9"/>
      <c r="C187" s="10"/>
      <c r="D187" s="10"/>
    </row>
    <row r="188" spans="1:4" x14ac:dyDescent="0.25">
      <c r="A188" s="9"/>
      <c r="B188" s="9"/>
      <c r="C188" s="10"/>
      <c r="D188" s="10"/>
    </row>
  </sheetData>
  <mergeCells count="2">
    <mergeCell ref="A4:D4"/>
    <mergeCell ref="B6:D6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26A7B-00BD-49D8-95F5-A51B1FC6C359}">
  <dimension ref="E5:H139"/>
  <sheetViews>
    <sheetView topLeftCell="A114" workbookViewId="0">
      <selection activeCell="I134" sqref="I134"/>
    </sheetView>
  </sheetViews>
  <sheetFormatPr baseColWidth="10" defaultRowHeight="15" x14ac:dyDescent="0.25"/>
  <cols>
    <col min="5" max="5" width="25.140625" customWidth="1"/>
    <col min="6" max="6" width="33.85546875" customWidth="1"/>
    <col min="7" max="7" width="18.28515625" customWidth="1"/>
    <col min="8" max="8" width="25.42578125" customWidth="1"/>
  </cols>
  <sheetData>
    <row r="5" spans="5:8" x14ac:dyDescent="0.25">
      <c r="E5" s="2" t="s">
        <v>1</v>
      </c>
      <c r="F5" s="99" t="s">
        <v>172</v>
      </c>
      <c r="G5" s="100"/>
      <c r="H5" s="100"/>
    </row>
    <row r="6" spans="5:8" x14ac:dyDescent="0.25">
      <c r="E6" s="3" t="s">
        <v>11</v>
      </c>
      <c r="F6" s="4" t="s">
        <v>171</v>
      </c>
      <c r="G6" s="4"/>
      <c r="H6" s="4"/>
    </row>
    <row r="7" spans="5:8" x14ac:dyDescent="0.25">
      <c r="F7" s="5"/>
      <c r="G7" s="6"/>
      <c r="H7" s="6"/>
    </row>
    <row r="8" spans="5:8" x14ac:dyDescent="0.25">
      <c r="E8" s="2" t="s">
        <v>2</v>
      </c>
      <c r="F8" s="2" t="s">
        <v>173</v>
      </c>
      <c r="G8" s="7" t="s">
        <v>4</v>
      </c>
      <c r="H8" s="7" t="s">
        <v>5</v>
      </c>
    </row>
    <row r="9" spans="5:8" x14ac:dyDescent="0.25">
      <c r="E9" s="8">
        <v>45915</v>
      </c>
      <c r="F9" s="9" t="s">
        <v>3</v>
      </c>
      <c r="G9" s="10">
        <v>2040</v>
      </c>
      <c r="H9" s="10">
        <f>G9</f>
        <v>2040</v>
      </c>
    </row>
    <row r="10" spans="5:8" x14ac:dyDescent="0.25">
      <c r="E10" s="8">
        <v>45945</v>
      </c>
      <c r="F10" s="9" t="s">
        <v>174</v>
      </c>
      <c r="G10" s="10">
        <v>-2040</v>
      </c>
      <c r="H10" s="10">
        <f t="shared" ref="H10:H39" si="0">H9+G10</f>
        <v>0</v>
      </c>
    </row>
    <row r="11" spans="5:8" x14ac:dyDescent="0.25">
      <c r="E11" s="8">
        <v>45918</v>
      </c>
      <c r="F11" s="9" t="s">
        <v>6</v>
      </c>
      <c r="G11" s="10">
        <v>4890</v>
      </c>
      <c r="H11" s="10">
        <f t="shared" si="0"/>
        <v>4890</v>
      </c>
    </row>
    <row r="12" spans="5:8" x14ac:dyDescent="0.25">
      <c r="E12" s="8">
        <v>45918</v>
      </c>
      <c r="F12" s="9" t="s">
        <v>174</v>
      </c>
      <c r="G12" s="10">
        <v>-4890</v>
      </c>
      <c r="H12" s="10">
        <f t="shared" si="0"/>
        <v>0</v>
      </c>
    </row>
    <row r="13" spans="5:8" x14ac:dyDescent="0.25">
      <c r="E13" s="8">
        <v>45922</v>
      </c>
      <c r="F13" s="9" t="s">
        <v>3</v>
      </c>
      <c r="G13" s="10">
        <v>2800</v>
      </c>
      <c r="H13" s="10">
        <f t="shared" si="0"/>
        <v>2800</v>
      </c>
    </row>
    <row r="14" spans="5:8" x14ac:dyDescent="0.25">
      <c r="E14" s="8">
        <v>45922</v>
      </c>
      <c r="F14" s="9" t="s">
        <v>174</v>
      </c>
      <c r="G14" s="10">
        <v>-2800</v>
      </c>
      <c r="H14" s="10">
        <f t="shared" si="0"/>
        <v>0</v>
      </c>
    </row>
    <row r="15" spans="5:8" x14ac:dyDescent="0.25">
      <c r="E15" s="8">
        <v>45925</v>
      </c>
      <c r="F15" s="9" t="s">
        <v>6</v>
      </c>
      <c r="G15" s="10">
        <v>5100</v>
      </c>
      <c r="H15" s="10">
        <f t="shared" si="0"/>
        <v>5100</v>
      </c>
    </row>
    <row r="16" spans="5:8" x14ac:dyDescent="0.25">
      <c r="E16" s="8">
        <v>45925</v>
      </c>
      <c r="F16" s="9" t="s">
        <v>174</v>
      </c>
      <c r="G16" s="10">
        <v>-5100</v>
      </c>
      <c r="H16" s="10">
        <f t="shared" si="0"/>
        <v>0</v>
      </c>
    </row>
    <row r="17" spans="5:8" x14ac:dyDescent="0.25">
      <c r="E17" s="8">
        <v>45929</v>
      </c>
      <c r="F17" s="9" t="s">
        <v>6</v>
      </c>
      <c r="G17" s="10">
        <v>2730</v>
      </c>
      <c r="H17" s="10">
        <f t="shared" si="0"/>
        <v>2730</v>
      </c>
    </row>
    <row r="18" spans="5:8" x14ac:dyDescent="0.25">
      <c r="E18" s="8">
        <v>45929</v>
      </c>
      <c r="F18" s="9" t="s">
        <v>174</v>
      </c>
      <c r="G18" s="10">
        <v>-2730</v>
      </c>
      <c r="H18" s="10">
        <f t="shared" si="0"/>
        <v>0</v>
      </c>
    </row>
    <row r="19" spans="5:8" x14ac:dyDescent="0.25">
      <c r="E19" s="8">
        <v>45936</v>
      </c>
      <c r="F19" s="9" t="s">
        <v>3</v>
      </c>
      <c r="G19" s="10">
        <v>2290</v>
      </c>
      <c r="H19" s="10">
        <f t="shared" si="0"/>
        <v>2290</v>
      </c>
    </row>
    <row r="20" spans="5:8" x14ac:dyDescent="0.25">
      <c r="E20" s="13">
        <v>45936</v>
      </c>
      <c r="F20" s="9" t="s">
        <v>174</v>
      </c>
      <c r="G20" s="10">
        <v>-2290</v>
      </c>
      <c r="H20" s="10">
        <f t="shared" si="0"/>
        <v>0</v>
      </c>
    </row>
    <row r="21" spans="5:8" x14ac:dyDescent="0.25">
      <c r="E21" s="13">
        <v>45943</v>
      </c>
      <c r="F21" s="9" t="s">
        <v>3</v>
      </c>
      <c r="G21" s="10">
        <v>1830</v>
      </c>
      <c r="H21" s="10">
        <f t="shared" si="0"/>
        <v>1830</v>
      </c>
    </row>
    <row r="22" spans="5:8" x14ac:dyDescent="0.25">
      <c r="E22" s="13">
        <v>45946</v>
      </c>
      <c r="F22" s="9" t="s">
        <v>204</v>
      </c>
      <c r="G22" s="10">
        <v>-1830</v>
      </c>
      <c r="H22" s="10">
        <f t="shared" si="0"/>
        <v>0</v>
      </c>
    </row>
    <row r="23" spans="5:8" x14ac:dyDescent="0.25">
      <c r="E23" s="13">
        <v>45946</v>
      </c>
      <c r="F23" s="9" t="s">
        <v>3</v>
      </c>
      <c r="G23" s="10">
        <v>2180</v>
      </c>
      <c r="H23" s="10">
        <f t="shared" si="0"/>
        <v>2180</v>
      </c>
    </row>
    <row r="24" spans="5:8" x14ac:dyDescent="0.25">
      <c r="E24" s="13">
        <v>45946</v>
      </c>
      <c r="F24" s="9" t="s">
        <v>204</v>
      </c>
      <c r="G24" s="10">
        <v>-2180</v>
      </c>
      <c r="H24" s="10">
        <f t="shared" si="0"/>
        <v>0</v>
      </c>
    </row>
    <row r="25" spans="5:8" x14ac:dyDescent="0.25">
      <c r="E25" s="8">
        <v>45950</v>
      </c>
      <c r="F25" s="9" t="s">
        <v>3</v>
      </c>
      <c r="G25" s="10">
        <v>1330</v>
      </c>
      <c r="H25" s="10">
        <f t="shared" si="0"/>
        <v>1330</v>
      </c>
    </row>
    <row r="26" spans="5:8" x14ac:dyDescent="0.25">
      <c r="E26" s="8">
        <v>45950</v>
      </c>
      <c r="F26" s="9" t="s">
        <v>203</v>
      </c>
      <c r="G26" s="10">
        <v>-1330</v>
      </c>
      <c r="H26" s="10">
        <f t="shared" si="0"/>
        <v>0</v>
      </c>
    </row>
    <row r="27" spans="5:8" x14ac:dyDescent="0.25">
      <c r="E27" s="8">
        <v>45953</v>
      </c>
      <c r="F27" s="9" t="s">
        <v>3</v>
      </c>
      <c r="G27" s="10">
        <v>3420</v>
      </c>
      <c r="H27" s="10">
        <f t="shared" si="0"/>
        <v>3420</v>
      </c>
    </row>
    <row r="28" spans="5:8" x14ac:dyDescent="0.25">
      <c r="E28" s="8">
        <v>45953</v>
      </c>
      <c r="F28" s="9" t="s">
        <v>178</v>
      </c>
      <c r="G28" s="10">
        <v>-3420</v>
      </c>
      <c r="H28" s="10">
        <f t="shared" si="0"/>
        <v>0</v>
      </c>
    </row>
    <row r="29" spans="5:8" x14ac:dyDescent="0.25">
      <c r="E29" s="8">
        <v>45957</v>
      </c>
      <c r="F29" s="9" t="s">
        <v>3</v>
      </c>
      <c r="G29" s="10">
        <v>2105</v>
      </c>
      <c r="H29" s="10">
        <f t="shared" si="0"/>
        <v>2105</v>
      </c>
    </row>
    <row r="30" spans="5:8" x14ac:dyDescent="0.25">
      <c r="E30" s="8">
        <v>45958</v>
      </c>
      <c r="F30" s="9" t="s">
        <v>179</v>
      </c>
      <c r="G30" s="10">
        <v>-2105</v>
      </c>
      <c r="H30" s="10">
        <f t="shared" si="0"/>
        <v>0</v>
      </c>
    </row>
    <row r="31" spans="5:8" x14ac:dyDescent="0.25">
      <c r="E31" s="8">
        <v>45964</v>
      </c>
      <c r="F31" s="9" t="s">
        <v>3</v>
      </c>
      <c r="G31" s="10">
        <v>1450</v>
      </c>
      <c r="H31" s="10">
        <f t="shared" si="0"/>
        <v>1450</v>
      </c>
    </row>
    <row r="32" spans="5:8" x14ac:dyDescent="0.25">
      <c r="E32" s="8">
        <v>45965</v>
      </c>
      <c r="F32" s="9" t="s">
        <v>179</v>
      </c>
      <c r="G32" s="10">
        <v>-1450</v>
      </c>
      <c r="H32" s="10">
        <f t="shared" si="0"/>
        <v>0</v>
      </c>
    </row>
    <row r="33" spans="5:8" x14ac:dyDescent="0.25">
      <c r="E33" s="8">
        <v>45971</v>
      </c>
      <c r="F33" s="9" t="s">
        <v>3</v>
      </c>
      <c r="G33" s="10">
        <v>3370</v>
      </c>
      <c r="H33" s="10">
        <f t="shared" si="0"/>
        <v>3370</v>
      </c>
    </row>
    <row r="34" spans="5:8" ht="19.5" customHeight="1" x14ac:dyDescent="0.25">
      <c r="E34" s="8">
        <v>45972</v>
      </c>
      <c r="F34" s="9" t="s">
        <v>127</v>
      </c>
      <c r="G34" s="10">
        <v>-3370</v>
      </c>
      <c r="H34" s="10">
        <f t="shared" si="0"/>
        <v>0</v>
      </c>
    </row>
    <row r="35" spans="5:8" ht="19.5" customHeight="1" x14ac:dyDescent="0.25">
      <c r="E35" s="8">
        <v>45974</v>
      </c>
      <c r="F35" s="9" t="s">
        <v>3</v>
      </c>
      <c r="G35" s="10">
        <v>2360</v>
      </c>
      <c r="H35" s="10">
        <f t="shared" si="0"/>
        <v>2360</v>
      </c>
    </row>
    <row r="36" spans="5:8" ht="19.5" customHeight="1" x14ac:dyDescent="0.25">
      <c r="E36" s="8">
        <v>45977</v>
      </c>
      <c r="F36" s="9" t="s">
        <v>127</v>
      </c>
      <c r="G36" s="10">
        <v>-2360</v>
      </c>
      <c r="H36" s="10">
        <f t="shared" si="0"/>
        <v>0</v>
      </c>
    </row>
    <row r="37" spans="5:8" ht="19.5" customHeight="1" x14ac:dyDescent="0.25">
      <c r="E37" s="8">
        <v>45978</v>
      </c>
      <c r="F37" s="9" t="s">
        <v>3</v>
      </c>
      <c r="G37" s="10">
        <v>2210</v>
      </c>
      <c r="H37" s="10">
        <f t="shared" si="0"/>
        <v>2210</v>
      </c>
    </row>
    <row r="38" spans="5:8" ht="19.5" customHeight="1" x14ac:dyDescent="0.25">
      <c r="E38" s="8">
        <v>45978</v>
      </c>
      <c r="F38" s="9" t="s">
        <v>127</v>
      </c>
      <c r="G38" s="10">
        <v>-2210</v>
      </c>
      <c r="H38" s="10">
        <f t="shared" si="0"/>
        <v>0</v>
      </c>
    </row>
    <row r="39" spans="5:8" x14ac:dyDescent="0.25">
      <c r="E39" s="8">
        <v>45985</v>
      </c>
      <c r="F39" s="9" t="s">
        <v>3</v>
      </c>
      <c r="G39" s="10">
        <v>2930</v>
      </c>
      <c r="H39" s="10">
        <f t="shared" si="0"/>
        <v>2930</v>
      </c>
    </row>
    <row r="40" spans="5:8" x14ac:dyDescent="0.25">
      <c r="E40" s="8">
        <v>45985</v>
      </c>
      <c r="F40" s="9" t="s">
        <v>174</v>
      </c>
      <c r="G40" s="9">
        <v>-2930</v>
      </c>
      <c r="H40" s="10">
        <f t="shared" ref="H40:H107" si="1">H39+G40</f>
        <v>0</v>
      </c>
    </row>
    <row r="41" spans="5:8" x14ac:dyDescent="0.25">
      <c r="E41" s="8">
        <v>46006</v>
      </c>
      <c r="F41" s="9" t="s">
        <v>3</v>
      </c>
      <c r="G41" s="9">
        <v>5110</v>
      </c>
      <c r="H41" s="10">
        <f t="shared" si="1"/>
        <v>5110</v>
      </c>
    </row>
    <row r="42" spans="5:8" x14ac:dyDescent="0.25">
      <c r="E42" s="8">
        <v>46007</v>
      </c>
      <c r="F42" s="9" t="s">
        <v>150</v>
      </c>
      <c r="G42" s="9">
        <v>-5110</v>
      </c>
      <c r="H42" s="10">
        <f t="shared" si="1"/>
        <v>0</v>
      </c>
    </row>
    <row r="43" spans="5:8" x14ac:dyDescent="0.25">
      <c r="E43" s="8">
        <v>46009</v>
      </c>
      <c r="F43" s="9" t="s">
        <v>3</v>
      </c>
      <c r="G43" s="9">
        <v>950</v>
      </c>
      <c r="H43" s="10">
        <f t="shared" si="1"/>
        <v>950</v>
      </c>
    </row>
    <row r="44" spans="5:8" x14ac:dyDescent="0.25">
      <c r="E44" s="8">
        <v>46009</v>
      </c>
      <c r="F44" s="9" t="s">
        <v>7</v>
      </c>
      <c r="G44" s="9">
        <v>-950</v>
      </c>
      <c r="H44" s="10">
        <f t="shared" si="1"/>
        <v>0</v>
      </c>
    </row>
    <row r="45" spans="5:8" x14ac:dyDescent="0.25">
      <c r="E45" s="8">
        <v>46013</v>
      </c>
      <c r="F45" s="9" t="s">
        <v>3</v>
      </c>
      <c r="G45" s="9">
        <v>4530</v>
      </c>
      <c r="H45" s="10">
        <f t="shared" si="1"/>
        <v>4530</v>
      </c>
    </row>
    <row r="46" spans="5:8" x14ac:dyDescent="0.25">
      <c r="E46" s="8">
        <v>46014</v>
      </c>
      <c r="F46" s="9" t="s">
        <v>179</v>
      </c>
      <c r="G46" s="9">
        <v>-4530</v>
      </c>
      <c r="H46" s="10">
        <f t="shared" si="1"/>
        <v>0</v>
      </c>
    </row>
    <row r="47" spans="5:8" x14ac:dyDescent="0.25">
      <c r="E47" s="8">
        <v>46027</v>
      </c>
      <c r="F47" s="9" t="s">
        <v>3</v>
      </c>
      <c r="G47" s="9">
        <v>2700</v>
      </c>
      <c r="H47" s="10">
        <f t="shared" si="1"/>
        <v>2700</v>
      </c>
    </row>
    <row r="48" spans="5:8" x14ac:dyDescent="0.25">
      <c r="E48" s="8">
        <v>46024</v>
      </c>
      <c r="F48" s="9" t="s">
        <v>3</v>
      </c>
      <c r="G48" s="9">
        <v>2800</v>
      </c>
      <c r="H48" s="10">
        <f>H47+G48</f>
        <v>5500</v>
      </c>
    </row>
    <row r="49" spans="5:8" x14ac:dyDescent="0.25">
      <c r="E49" s="8">
        <v>46024</v>
      </c>
      <c r="F49" s="9" t="s">
        <v>179</v>
      </c>
      <c r="G49" s="9">
        <v>-5500</v>
      </c>
      <c r="H49" s="10">
        <f t="shared" si="1"/>
        <v>0</v>
      </c>
    </row>
    <row r="50" spans="5:8" x14ac:dyDescent="0.25">
      <c r="E50" s="8">
        <v>46030</v>
      </c>
      <c r="F50" s="9" t="s">
        <v>3</v>
      </c>
      <c r="G50" s="9">
        <v>850</v>
      </c>
      <c r="H50" s="10">
        <f t="shared" si="1"/>
        <v>850</v>
      </c>
    </row>
    <row r="51" spans="5:8" x14ac:dyDescent="0.25">
      <c r="E51" s="8">
        <v>46030</v>
      </c>
      <c r="F51" s="9" t="s">
        <v>178</v>
      </c>
      <c r="G51" s="9">
        <v>-850</v>
      </c>
      <c r="H51" s="10">
        <f t="shared" si="1"/>
        <v>0</v>
      </c>
    </row>
    <row r="52" spans="5:8" x14ac:dyDescent="0.25">
      <c r="E52" s="8">
        <v>46037</v>
      </c>
      <c r="F52" s="9" t="s">
        <v>3</v>
      </c>
      <c r="G52" s="9">
        <v>4060</v>
      </c>
      <c r="H52" s="10">
        <f t="shared" si="1"/>
        <v>4060</v>
      </c>
    </row>
    <row r="53" spans="5:8" x14ac:dyDescent="0.25">
      <c r="E53" s="8">
        <v>46038</v>
      </c>
      <c r="F53" s="9" t="s">
        <v>127</v>
      </c>
      <c r="G53" s="9">
        <v>-5300</v>
      </c>
      <c r="H53" s="10">
        <f t="shared" si="1"/>
        <v>-1240</v>
      </c>
    </row>
    <row r="54" spans="5:8" x14ac:dyDescent="0.25">
      <c r="E54" s="8">
        <v>46041</v>
      </c>
      <c r="F54" s="9" t="s">
        <v>3</v>
      </c>
      <c r="G54" s="9">
        <v>3180</v>
      </c>
      <c r="H54" s="10">
        <f t="shared" si="1"/>
        <v>1940</v>
      </c>
    </row>
    <row r="55" spans="5:8" x14ac:dyDescent="0.25">
      <c r="E55" s="8">
        <v>46044</v>
      </c>
      <c r="F55" s="9" t="s">
        <v>179</v>
      </c>
      <c r="G55" s="9">
        <v>-3180</v>
      </c>
      <c r="H55" s="10">
        <f t="shared" si="1"/>
        <v>-1240</v>
      </c>
    </row>
    <row r="56" spans="5:8" x14ac:dyDescent="0.25">
      <c r="E56" s="8">
        <v>46048</v>
      </c>
      <c r="F56" s="9" t="s">
        <v>3</v>
      </c>
      <c r="G56" s="9">
        <v>3650</v>
      </c>
      <c r="H56" s="10">
        <f t="shared" si="1"/>
        <v>2410</v>
      </c>
    </row>
    <row r="57" spans="5:8" x14ac:dyDescent="0.25">
      <c r="E57" s="8">
        <v>46048</v>
      </c>
      <c r="F57" s="9" t="s">
        <v>179</v>
      </c>
      <c r="G57" s="9">
        <v>-3650</v>
      </c>
      <c r="H57" s="10">
        <f t="shared" si="1"/>
        <v>-1240</v>
      </c>
    </row>
    <row r="58" spans="5:8" x14ac:dyDescent="0.25">
      <c r="E58" s="8">
        <v>46072</v>
      </c>
      <c r="F58" s="9" t="s">
        <v>3</v>
      </c>
      <c r="G58" s="9">
        <v>2720</v>
      </c>
      <c r="H58" s="10">
        <f t="shared" si="1"/>
        <v>1480</v>
      </c>
    </row>
    <row r="59" spans="5:8" x14ac:dyDescent="0.25">
      <c r="E59" s="8">
        <v>46072</v>
      </c>
      <c r="F59" s="9" t="s">
        <v>179</v>
      </c>
      <c r="G59" s="9">
        <v>-2720</v>
      </c>
      <c r="H59" s="10">
        <f t="shared" si="1"/>
        <v>-1240</v>
      </c>
    </row>
    <row r="60" spans="5:8" x14ac:dyDescent="0.25">
      <c r="E60" s="8">
        <v>46076</v>
      </c>
      <c r="F60" s="9" t="s">
        <v>3</v>
      </c>
      <c r="G60" s="9">
        <v>4500</v>
      </c>
      <c r="H60" s="10">
        <f t="shared" si="1"/>
        <v>3260</v>
      </c>
    </row>
    <row r="61" spans="5:8" x14ac:dyDescent="0.25">
      <c r="E61" s="8">
        <v>46080</v>
      </c>
      <c r="F61" s="9" t="s">
        <v>127</v>
      </c>
      <c r="G61" s="9">
        <v>-4500</v>
      </c>
      <c r="H61" s="10">
        <f t="shared" si="1"/>
        <v>-1240</v>
      </c>
    </row>
    <row r="62" spans="5:8" x14ac:dyDescent="0.25">
      <c r="E62" s="8">
        <v>46083</v>
      </c>
      <c r="F62" s="9" t="s">
        <v>3</v>
      </c>
      <c r="G62" s="9">
        <v>6480</v>
      </c>
      <c r="H62" s="10">
        <f t="shared" si="1"/>
        <v>5240</v>
      </c>
    </row>
    <row r="63" spans="5:8" x14ac:dyDescent="0.25">
      <c r="E63" s="8">
        <v>46083</v>
      </c>
      <c r="F63" s="9" t="s">
        <v>127</v>
      </c>
      <c r="G63" s="9">
        <v>-6480</v>
      </c>
      <c r="H63" s="10">
        <f t="shared" si="1"/>
        <v>-1240</v>
      </c>
    </row>
    <row r="64" spans="5:8" x14ac:dyDescent="0.25">
      <c r="E64" s="8">
        <v>46086</v>
      </c>
      <c r="F64" s="9" t="s">
        <v>3</v>
      </c>
      <c r="G64" s="9">
        <v>1590</v>
      </c>
      <c r="H64" s="10">
        <f t="shared" si="1"/>
        <v>350</v>
      </c>
    </row>
    <row r="65" spans="5:8" x14ac:dyDescent="0.25">
      <c r="E65" s="8">
        <v>46086</v>
      </c>
      <c r="F65" s="9" t="s">
        <v>127</v>
      </c>
      <c r="G65" s="9">
        <v>-1590</v>
      </c>
      <c r="H65" s="10">
        <f t="shared" si="1"/>
        <v>-1240</v>
      </c>
    </row>
    <row r="66" spans="5:8" x14ac:dyDescent="0.25">
      <c r="E66" s="8">
        <v>46090</v>
      </c>
      <c r="F66" s="9" t="s">
        <v>3</v>
      </c>
      <c r="G66" s="9">
        <v>1740</v>
      </c>
      <c r="H66" s="10">
        <f t="shared" si="1"/>
        <v>500</v>
      </c>
    </row>
    <row r="67" spans="5:8" x14ac:dyDescent="0.25">
      <c r="E67" s="8">
        <v>46092</v>
      </c>
      <c r="F67" s="9" t="s">
        <v>179</v>
      </c>
      <c r="G67" s="9">
        <v>-1740</v>
      </c>
      <c r="H67" s="10">
        <f t="shared" si="1"/>
        <v>-1240</v>
      </c>
    </row>
    <row r="68" spans="5:8" x14ac:dyDescent="0.25">
      <c r="E68" s="8">
        <v>46093</v>
      </c>
      <c r="F68" s="9" t="s">
        <v>3</v>
      </c>
      <c r="G68" s="9">
        <v>4730</v>
      </c>
      <c r="H68" s="10">
        <f t="shared" si="1"/>
        <v>3490</v>
      </c>
    </row>
    <row r="69" spans="5:8" x14ac:dyDescent="0.25">
      <c r="E69" s="8">
        <v>46093</v>
      </c>
      <c r="F69" s="9" t="s">
        <v>179</v>
      </c>
      <c r="G69" s="9">
        <v>-4730</v>
      </c>
      <c r="H69" s="10">
        <f t="shared" si="1"/>
        <v>-1240</v>
      </c>
    </row>
    <row r="70" spans="5:8" x14ac:dyDescent="0.25">
      <c r="E70" s="8">
        <v>46097</v>
      </c>
      <c r="F70" s="9" t="s">
        <v>3</v>
      </c>
      <c r="G70" s="9">
        <v>2700</v>
      </c>
      <c r="H70" s="10">
        <f t="shared" si="1"/>
        <v>1460</v>
      </c>
    </row>
    <row r="71" spans="5:8" x14ac:dyDescent="0.25">
      <c r="E71" s="8">
        <v>46104</v>
      </c>
      <c r="F71" s="9" t="s">
        <v>3</v>
      </c>
      <c r="G71" s="9">
        <v>2900</v>
      </c>
      <c r="H71" s="10">
        <f t="shared" si="1"/>
        <v>4360</v>
      </c>
    </row>
    <row r="72" spans="5:8" x14ac:dyDescent="0.25">
      <c r="E72" s="8">
        <v>46104</v>
      </c>
      <c r="F72" s="9" t="s">
        <v>3</v>
      </c>
      <c r="G72" s="9">
        <v>-2700</v>
      </c>
      <c r="H72" s="10">
        <f t="shared" si="1"/>
        <v>1660</v>
      </c>
    </row>
    <row r="73" spans="5:8" x14ac:dyDescent="0.25">
      <c r="E73" s="8">
        <v>46105</v>
      </c>
      <c r="F73" s="9" t="s">
        <v>127</v>
      </c>
      <c r="G73" s="9">
        <v>-2900</v>
      </c>
      <c r="H73" s="10">
        <f t="shared" si="1"/>
        <v>-1240</v>
      </c>
    </row>
    <row r="74" spans="5:8" x14ac:dyDescent="0.25">
      <c r="E74" s="8">
        <v>46111</v>
      </c>
      <c r="F74" s="9" t="s">
        <v>3</v>
      </c>
      <c r="G74" s="9">
        <v>6100</v>
      </c>
      <c r="H74" s="10">
        <f t="shared" si="1"/>
        <v>4860</v>
      </c>
    </row>
    <row r="75" spans="5:8" x14ac:dyDescent="0.25">
      <c r="E75" s="8">
        <v>46112</v>
      </c>
      <c r="F75" s="9" t="s">
        <v>127</v>
      </c>
      <c r="G75" s="9">
        <v>-6100</v>
      </c>
      <c r="H75" s="10">
        <f t="shared" si="1"/>
        <v>-1240</v>
      </c>
    </row>
    <row r="76" spans="5:8" x14ac:dyDescent="0.25">
      <c r="E76" s="8">
        <v>46118</v>
      </c>
      <c r="F76" s="9" t="s">
        <v>3</v>
      </c>
      <c r="G76" s="9">
        <v>1280</v>
      </c>
      <c r="H76" s="10">
        <f t="shared" si="1"/>
        <v>40</v>
      </c>
    </row>
    <row r="77" spans="5:8" x14ac:dyDescent="0.25">
      <c r="E77" s="8">
        <v>46119</v>
      </c>
      <c r="F77" s="9" t="s">
        <v>127</v>
      </c>
      <c r="G77" s="9">
        <v>-1280</v>
      </c>
      <c r="H77" s="10">
        <f t="shared" si="1"/>
        <v>-1240</v>
      </c>
    </row>
    <row r="78" spans="5:8" x14ac:dyDescent="0.25">
      <c r="E78" s="8">
        <v>46124</v>
      </c>
      <c r="F78" s="9" t="s">
        <v>3</v>
      </c>
      <c r="G78" s="9">
        <v>3160</v>
      </c>
      <c r="H78" s="10">
        <f t="shared" si="1"/>
        <v>1920</v>
      </c>
    </row>
    <row r="79" spans="5:8" ht="14.25" customHeight="1" x14ac:dyDescent="0.25">
      <c r="E79" s="8">
        <v>46124</v>
      </c>
      <c r="F79" s="9" t="s">
        <v>127</v>
      </c>
      <c r="G79" s="9">
        <v>-3160</v>
      </c>
      <c r="H79" s="10">
        <f t="shared" si="1"/>
        <v>-1240</v>
      </c>
    </row>
    <row r="80" spans="5:8" ht="14.25" customHeight="1" x14ac:dyDescent="0.25">
      <c r="E80" s="8">
        <v>46125</v>
      </c>
      <c r="F80" s="9" t="s">
        <v>3</v>
      </c>
      <c r="G80" s="9">
        <v>2290</v>
      </c>
      <c r="H80" s="10">
        <f t="shared" si="1"/>
        <v>1050</v>
      </c>
    </row>
    <row r="81" spans="5:8" ht="14.25" customHeight="1" x14ac:dyDescent="0.25">
      <c r="E81" s="8">
        <v>46132</v>
      </c>
      <c r="F81" s="9" t="s">
        <v>3</v>
      </c>
      <c r="G81" s="9">
        <v>2030</v>
      </c>
      <c r="H81" s="10">
        <f t="shared" si="1"/>
        <v>3080</v>
      </c>
    </row>
    <row r="82" spans="5:8" ht="14.25" customHeight="1" x14ac:dyDescent="0.25">
      <c r="E82" s="8">
        <v>46132</v>
      </c>
      <c r="F82" s="9" t="s">
        <v>127</v>
      </c>
      <c r="G82" s="9">
        <v>-2600</v>
      </c>
      <c r="H82" s="10">
        <f t="shared" si="1"/>
        <v>480</v>
      </c>
    </row>
    <row r="83" spans="5:8" ht="14.25" customHeight="1" x14ac:dyDescent="0.25">
      <c r="E83" s="8">
        <v>46132</v>
      </c>
      <c r="F83" s="9" t="s">
        <v>178</v>
      </c>
      <c r="G83" s="9">
        <v>-1720</v>
      </c>
      <c r="H83" s="10">
        <f t="shared" si="1"/>
        <v>-1240</v>
      </c>
    </row>
    <row r="84" spans="5:8" ht="14.25" customHeight="1" x14ac:dyDescent="0.25">
      <c r="E84" s="8">
        <v>46135</v>
      </c>
      <c r="F84" s="9" t="s">
        <v>3</v>
      </c>
      <c r="G84" s="9">
        <v>1540</v>
      </c>
      <c r="H84" s="10">
        <f t="shared" si="1"/>
        <v>300</v>
      </c>
    </row>
    <row r="85" spans="5:8" ht="14.25" customHeight="1" x14ac:dyDescent="0.25">
      <c r="E85" s="8">
        <v>46139</v>
      </c>
      <c r="F85" s="9" t="s">
        <v>3</v>
      </c>
      <c r="G85" s="9">
        <v>3090</v>
      </c>
      <c r="H85" s="10">
        <f t="shared" si="1"/>
        <v>3390</v>
      </c>
    </row>
    <row r="86" spans="5:8" ht="14.25" customHeight="1" x14ac:dyDescent="0.25">
      <c r="E86" s="8">
        <v>46170</v>
      </c>
      <c r="F86" s="9" t="s">
        <v>127</v>
      </c>
      <c r="G86" s="9">
        <v>-3390</v>
      </c>
      <c r="H86" s="10">
        <f t="shared" si="1"/>
        <v>0</v>
      </c>
    </row>
    <row r="87" spans="5:8" ht="14.25" customHeight="1" x14ac:dyDescent="0.25">
      <c r="E87" s="8">
        <v>46172</v>
      </c>
      <c r="F87" s="9" t="s">
        <v>3</v>
      </c>
      <c r="G87" s="9">
        <v>7290</v>
      </c>
      <c r="H87" s="10">
        <f t="shared" si="1"/>
        <v>7290</v>
      </c>
    </row>
    <row r="88" spans="5:8" ht="14.25" customHeight="1" x14ac:dyDescent="0.25">
      <c r="E88" s="8">
        <v>46172</v>
      </c>
      <c r="F88" s="9" t="s">
        <v>178</v>
      </c>
      <c r="G88" s="9">
        <v>-7290</v>
      </c>
      <c r="H88" s="10">
        <f t="shared" si="1"/>
        <v>0</v>
      </c>
    </row>
    <row r="89" spans="5:8" ht="14.25" customHeight="1" x14ac:dyDescent="0.25">
      <c r="E89" s="8">
        <v>46156</v>
      </c>
      <c r="F89" s="9" t="s">
        <v>3</v>
      </c>
      <c r="G89" s="9">
        <v>2820</v>
      </c>
      <c r="H89" s="10">
        <f t="shared" si="1"/>
        <v>2820</v>
      </c>
    </row>
    <row r="90" spans="5:8" ht="14.25" customHeight="1" x14ac:dyDescent="0.25">
      <c r="E90" s="8">
        <v>46156</v>
      </c>
      <c r="F90" s="9" t="s">
        <v>127</v>
      </c>
      <c r="G90" s="9">
        <v>-2820</v>
      </c>
      <c r="H90" s="10">
        <f t="shared" si="1"/>
        <v>0</v>
      </c>
    </row>
    <row r="91" spans="5:8" ht="14.25" customHeight="1" x14ac:dyDescent="0.25">
      <c r="E91" s="8">
        <v>46160</v>
      </c>
      <c r="F91" s="9" t="s">
        <v>3</v>
      </c>
      <c r="G91" s="9">
        <v>3640</v>
      </c>
      <c r="H91" s="10">
        <f t="shared" si="1"/>
        <v>3640</v>
      </c>
    </row>
    <row r="92" spans="5:8" ht="14.25" customHeight="1" x14ac:dyDescent="0.25">
      <c r="E92" s="8">
        <v>46162</v>
      </c>
      <c r="F92" s="9" t="s">
        <v>127</v>
      </c>
      <c r="G92" s="9">
        <v>-3640</v>
      </c>
      <c r="H92" s="10">
        <f t="shared" si="1"/>
        <v>0</v>
      </c>
    </row>
    <row r="93" spans="5:8" ht="14.25" customHeight="1" x14ac:dyDescent="0.25">
      <c r="E93" s="8">
        <v>46163</v>
      </c>
      <c r="F93" s="9" t="s">
        <v>391</v>
      </c>
      <c r="G93" s="9">
        <v>1100</v>
      </c>
      <c r="H93" s="10">
        <f t="shared" si="1"/>
        <v>1100</v>
      </c>
    </row>
    <row r="94" spans="5:8" ht="14.25" customHeight="1" x14ac:dyDescent="0.25">
      <c r="E94" s="8">
        <v>46167</v>
      </c>
      <c r="F94" s="9" t="s">
        <v>3</v>
      </c>
      <c r="G94" s="9">
        <v>1460</v>
      </c>
      <c r="H94" s="10">
        <f t="shared" si="1"/>
        <v>2560</v>
      </c>
    </row>
    <row r="95" spans="5:8" ht="14.25" customHeight="1" x14ac:dyDescent="0.25">
      <c r="E95" s="8">
        <v>46168</v>
      </c>
      <c r="F95" s="9" t="s">
        <v>127</v>
      </c>
      <c r="G95" s="9">
        <v>-1430</v>
      </c>
      <c r="H95" s="10">
        <f t="shared" si="1"/>
        <v>1130</v>
      </c>
    </row>
    <row r="96" spans="5:8" ht="14.25" customHeight="1" x14ac:dyDescent="0.25">
      <c r="E96" s="8">
        <v>46174</v>
      </c>
      <c r="F96" s="9" t="s">
        <v>452</v>
      </c>
      <c r="G96" s="9">
        <v>-1130</v>
      </c>
      <c r="H96" s="10">
        <f t="shared" si="1"/>
        <v>0</v>
      </c>
    </row>
    <row r="97" spans="5:8" ht="14.25" customHeight="1" x14ac:dyDescent="0.25">
      <c r="E97" s="8">
        <v>46184</v>
      </c>
      <c r="F97" s="9" t="s">
        <v>3</v>
      </c>
      <c r="G97" s="9">
        <v>4580</v>
      </c>
      <c r="H97" s="10">
        <f t="shared" si="1"/>
        <v>4580</v>
      </c>
    </row>
    <row r="98" spans="5:8" ht="14.25" customHeight="1" x14ac:dyDescent="0.25">
      <c r="E98" s="8">
        <v>46185</v>
      </c>
      <c r="F98" s="9" t="s">
        <v>127</v>
      </c>
      <c r="G98" s="9">
        <v>-4580</v>
      </c>
      <c r="H98" s="10">
        <f t="shared" si="1"/>
        <v>0</v>
      </c>
    </row>
    <row r="99" spans="5:8" ht="14.25" customHeight="1" x14ac:dyDescent="0.25">
      <c r="E99" s="8">
        <v>46195</v>
      </c>
      <c r="F99" s="9" t="s">
        <v>3</v>
      </c>
      <c r="G99" s="9">
        <v>2540</v>
      </c>
      <c r="H99" s="10">
        <f t="shared" si="1"/>
        <v>2540</v>
      </c>
    </row>
    <row r="100" spans="5:8" ht="14.25" customHeight="1" x14ac:dyDescent="0.25">
      <c r="E100" s="8">
        <v>46195</v>
      </c>
      <c r="F100" s="9" t="s">
        <v>127</v>
      </c>
      <c r="G100" s="9">
        <v>-2540</v>
      </c>
      <c r="H100" s="10">
        <f t="shared" si="1"/>
        <v>0</v>
      </c>
    </row>
    <row r="101" spans="5:8" ht="14.25" customHeight="1" x14ac:dyDescent="0.25">
      <c r="E101" s="8">
        <v>46198</v>
      </c>
      <c r="F101" s="9" t="s">
        <v>3</v>
      </c>
      <c r="G101" s="20">
        <f>1400+300+170+250+350+180+250+100</f>
        <v>3000</v>
      </c>
      <c r="H101" s="10">
        <f t="shared" si="1"/>
        <v>3000</v>
      </c>
    </row>
    <row r="102" spans="5:8" ht="14.25" customHeight="1" x14ac:dyDescent="0.25">
      <c r="E102" s="8">
        <v>46202</v>
      </c>
      <c r="F102" s="9" t="s">
        <v>3</v>
      </c>
      <c r="G102" s="9">
        <v>1710</v>
      </c>
      <c r="H102" s="10">
        <f t="shared" si="1"/>
        <v>4710</v>
      </c>
    </row>
    <row r="103" spans="5:8" ht="14.25" customHeight="1" x14ac:dyDescent="0.25">
      <c r="E103" s="8">
        <v>46202</v>
      </c>
      <c r="F103" s="9" t="s">
        <v>484</v>
      </c>
      <c r="G103" s="9">
        <v>-3000</v>
      </c>
      <c r="H103" s="10">
        <f t="shared" si="1"/>
        <v>1710</v>
      </c>
    </row>
    <row r="104" spans="5:8" ht="14.25" customHeight="1" x14ac:dyDescent="0.25">
      <c r="E104" s="8">
        <v>46203</v>
      </c>
      <c r="F104" s="9" t="s">
        <v>485</v>
      </c>
      <c r="G104" s="9">
        <v>-1710</v>
      </c>
      <c r="H104" s="10">
        <f t="shared" si="1"/>
        <v>0</v>
      </c>
    </row>
    <row r="105" spans="5:8" ht="14.25" customHeight="1" x14ac:dyDescent="0.25">
      <c r="E105" s="8">
        <v>46209</v>
      </c>
      <c r="F105" s="9" t="s">
        <v>3</v>
      </c>
      <c r="G105" s="9">
        <f>700+220+80+180+220+450</f>
        <v>1850</v>
      </c>
      <c r="H105" s="10">
        <f t="shared" si="1"/>
        <v>1850</v>
      </c>
    </row>
    <row r="106" spans="5:8" x14ac:dyDescent="0.25">
      <c r="E106" s="8">
        <v>46211</v>
      </c>
      <c r="F106" s="9" t="s">
        <v>273</v>
      </c>
      <c r="G106" s="9">
        <v>-1850</v>
      </c>
      <c r="H106" s="10">
        <f t="shared" si="1"/>
        <v>0</v>
      </c>
    </row>
    <row r="107" spans="5:8" x14ac:dyDescent="0.25">
      <c r="E107" s="8">
        <v>46216</v>
      </c>
      <c r="F107" s="9" t="s">
        <v>3</v>
      </c>
      <c r="G107" s="9">
        <v>950</v>
      </c>
      <c r="H107" s="10">
        <f t="shared" si="1"/>
        <v>950</v>
      </c>
    </row>
    <row r="108" spans="5:8" x14ac:dyDescent="0.25">
      <c r="E108" s="8">
        <v>46218</v>
      </c>
      <c r="F108" s="9" t="s">
        <v>179</v>
      </c>
      <c r="G108" s="9">
        <v>-950</v>
      </c>
      <c r="H108" s="10">
        <f t="shared" ref="H108:H139" si="2">H107+G108</f>
        <v>0</v>
      </c>
    </row>
    <row r="109" spans="5:8" x14ac:dyDescent="0.25">
      <c r="E109" s="8">
        <v>46219</v>
      </c>
      <c r="F109" s="9" t="s">
        <v>3</v>
      </c>
      <c r="G109" s="9">
        <v>2870</v>
      </c>
      <c r="H109" s="10">
        <f t="shared" si="2"/>
        <v>2870</v>
      </c>
    </row>
    <row r="110" spans="5:8" x14ac:dyDescent="0.25">
      <c r="E110" s="8">
        <v>46219</v>
      </c>
      <c r="F110" s="9" t="s">
        <v>179</v>
      </c>
      <c r="G110" s="9">
        <v>-2870</v>
      </c>
      <c r="H110" s="10">
        <f t="shared" si="2"/>
        <v>0</v>
      </c>
    </row>
    <row r="111" spans="5:8" x14ac:dyDescent="0.25">
      <c r="E111" s="8">
        <v>46230</v>
      </c>
      <c r="F111" s="9" t="s">
        <v>3</v>
      </c>
      <c r="G111" s="9">
        <v>2550</v>
      </c>
      <c r="H111" s="10">
        <f t="shared" si="2"/>
        <v>2550</v>
      </c>
    </row>
    <row r="112" spans="5:8" x14ac:dyDescent="0.25">
      <c r="E112" s="8">
        <v>46232</v>
      </c>
      <c r="F112" s="9" t="s">
        <v>195</v>
      </c>
      <c r="G112" s="9">
        <v>-2550</v>
      </c>
      <c r="H112" s="10">
        <f t="shared" si="2"/>
        <v>0</v>
      </c>
    </row>
    <row r="113" spans="5:8" x14ac:dyDescent="0.25">
      <c r="E113" s="8">
        <v>46233</v>
      </c>
      <c r="F113" s="9" t="s">
        <v>3</v>
      </c>
      <c r="G113" s="9">
        <v>4380</v>
      </c>
      <c r="H113" s="10">
        <f t="shared" si="2"/>
        <v>4380</v>
      </c>
    </row>
    <row r="114" spans="5:8" x14ac:dyDescent="0.25">
      <c r="E114" s="8">
        <v>46233</v>
      </c>
      <c r="F114" s="9" t="s">
        <v>127</v>
      </c>
      <c r="G114" s="9">
        <v>-4380</v>
      </c>
      <c r="H114" s="10">
        <f t="shared" si="2"/>
        <v>0</v>
      </c>
    </row>
    <row r="115" spans="5:8" x14ac:dyDescent="0.25">
      <c r="E115" s="8">
        <v>46240</v>
      </c>
      <c r="F115" s="9" t="s">
        <v>3</v>
      </c>
      <c r="G115" s="9">
        <v>3340</v>
      </c>
      <c r="H115" s="10">
        <f t="shared" si="2"/>
        <v>3340</v>
      </c>
    </row>
    <row r="116" spans="5:8" x14ac:dyDescent="0.25">
      <c r="E116" s="8">
        <v>46240</v>
      </c>
      <c r="F116" s="9" t="s">
        <v>127</v>
      </c>
      <c r="G116" s="9">
        <v>-3340</v>
      </c>
      <c r="H116" s="10">
        <f t="shared" si="2"/>
        <v>0</v>
      </c>
    </row>
    <row r="117" spans="5:8" x14ac:dyDescent="0.25">
      <c r="E117" s="8">
        <v>46251</v>
      </c>
      <c r="F117" s="9" t="s">
        <v>3</v>
      </c>
      <c r="G117" s="9">
        <v>7270</v>
      </c>
      <c r="H117" s="10">
        <f t="shared" si="2"/>
        <v>7270</v>
      </c>
    </row>
    <row r="118" spans="5:8" x14ac:dyDescent="0.25">
      <c r="E118" s="8">
        <v>46251</v>
      </c>
      <c r="F118" s="9" t="s">
        <v>178</v>
      </c>
      <c r="G118" s="9">
        <v>-7270</v>
      </c>
      <c r="H118" s="10">
        <f t="shared" si="2"/>
        <v>0</v>
      </c>
    </row>
    <row r="119" spans="5:8" x14ac:dyDescent="0.25">
      <c r="E119" s="8">
        <v>46258</v>
      </c>
      <c r="F119" s="9" t="s">
        <v>391</v>
      </c>
      <c r="G119" s="9">
        <v>5020</v>
      </c>
      <c r="H119" s="10">
        <f t="shared" si="2"/>
        <v>5020</v>
      </c>
    </row>
    <row r="120" spans="5:8" x14ac:dyDescent="0.25">
      <c r="E120" s="8">
        <v>46258</v>
      </c>
      <c r="F120" s="9" t="s">
        <v>127</v>
      </c>
      <c r="G120" s="9">
        <v>-5020</v>
      </c>
      <c r="H120" s="10">
        <f t="shared" si="2"/>
        <v>0</v>
      </c>
    </row>
    <row r="121" spans="5:8" x14ac:dyDescent="0.25">
      <c r="E121" s="8">
        <v>46265</v>
      </c>
      <c r="F121" s="9" t="s">
        <v>3</v>
      </c>
      <c r="G121" s="9">
        <v>3870</v>
      </c>
      <c r="H121" s="10">
        <f t="shared" si="2"/>
        <v>3870</v>
      </c>
    </row>
    <row r="122" spans="5:8" x14ac:dyDescent="0.25">
      <c r="E122" s="8">
        <v>46266</v>
      </c>
      <c r="F122" s="9" t="s">
        <v>127</v>
      </c>
      <c r="G122" s="9">
        <v>-3870</v>
      </c>
      <c r="H122" s="10">
        <f t="shared" si="2"/>
        <v>0</v>
      </c>
    </row>
    <row r="123" spans="5:8" x14ac:dyDescent="0.25">
      <c r="E123" s="8">
        <v>46272</v>
      </c>
      <c r="F123" s="9" t="s">
        <v>3</v>
      </c>
      <c r="G123" s="9">
        <v>2870</v>
      </c>
      <c r="H123" s="10">
        <f t="shared" si="2"/>
        <v>2870</v>
      </c>
    </row>
    <row r="124" spans="5:8" x14ac:dyDescent="0.25">
      <c r="E124" s="8">
        <v>46272</v>
      </c>
      <c r="F124" s="9" t="s">
        <v>127</v>
      </c>
      <c r="G124" s="9">
        <v>-2870</v>
      </c>
      <c r="H124" s="10">
        <f t="shared" si="2"/>
        <v>0</v>
      </c>
    </row>
    <row r="125" spans="5:8" x14ac:dyDescent="0.25">
      <c r="E125" s="8">
        <v>46279</v>
      </c>
      <c r="F125" s="9" t="s">
        <v>3</v>
      </c>
      <c r="G125" s="9">
        <v>3050</v>
      </c>
      <c r="H125" s="10">
        <f t="shared" si="2"/>
        <v>3050</v>
      </c>
    </row>
    <row r="126" spans="5:8" x14ac:dyDescent="0.25">
      <c r="E126" s="8">
        <v>46279</v>
      </c>
      <c r="F126" s="9" t="s">
        <v>127</v>
      </c>
      <c r="G126" s="9">
        <v>-3050</v>
      </c>
      <c r="H126" s="10">
        <f t="shared" si="2"/>
        <v>0</v>
      </c>
    </row>
    <row r="127" spans="5:8" x14ac:dyDescent="0.25">
      <c r="E127" s="8">
        <v>46282</v>
      </c>
      <c r="F127" s="9" t="s">
        <v>3</v>
      </c>
      <c r="G127" s="9">
        <v>2550</v>
      </c>
      <c r="H127" s="10">
        <f t="shared" si="2"/>
        <v>2550</v>
      </c>
    </row>
    <row r="128" spans="5:8" x14ac:dyDescent="0.25">
      <c r="E128" s="8">
        <v>46282</v>
      </c>
      <c r="F128" s="9" t="s">
        <v>127</v>
      </c>
      <c r="G128" s="9">
        <v>-2550</v>
      </c>
      <c r="H128" s="10">
        <f t="shared" si="2"/>
        <v>0</v>
      </c>
    </row>
    <row r="129" spans="5:8" x14ac:dyDescent="0.25">
      <c r="E129" s="8">
        <v>46289</v>
      </c>
      <c r="F129" s="9" t="s">
        <v>600</v>
      </c>
      <c r="G129" s="9">
        <v>2430</v>
      </c>
      <c r="H129" s="10">
        <f t="shared" si="2"/>
        <v>2430</v>
      </c>
    </row>
    <row r="130" spans="5:8" x14ac:dyDescent="0.25">
      <c r="E130" s="8">
        <v>46289</v>
      </c>
      <c r="F130" s="9" t="s">
        <v>127</v>
      </c>
      <c r="G130" s="9">
        <v>-2430</v>
      </c>
      <c r="H130" s="10">
        <f t="shared" si="2"/>
        <v>0</v>
      </c>
    </row>
    <row r="131" spans="5:8" x14ac:dyDescent="0.25">
      <c r="E131" s="8">
        <v>46293</v>
      </c>
      <c r="F131" s="9" t="s">
        <v>3</v>
      </c>
      <c r="G131" s="9">
        <v>3660</v>
      </c>
      <c r="H131" s="10">
        <f t="shared" si="2"/>
        <v>3660</v>
      </c>
    </row>
    <row r="132" spans="5:8" x14ac:dyDescent="0.25">
      <c r="E132" s="8">
        <v>46294</v>
      </c>
      <c r="F132" s="9" t="s">
        <v>127</v>
      </c>
      <c r="G132" s="9">
        <v>-3660</v>
      </c>
      <c r="H132" s="10">
        <f t="shared" si="2"/>
        <v>0</v>
      </c>
    </row>
    <row r="133" spans="5:8" x14ac:dyDescent="0.25">
      <c r="E133" s="8">
        <v>46296</v>
      </c>
      <c r="F133" s="9" t="s">
        <v>3</v>
      </c>
      <c r="G133" s="9">
        <v>5640</v>
      </c>
      <c r="H133" s="10">
        <f t="shared" si="2"/>
        <v>5640</v>
      </c>
    </row>
    <row r="134" spans="5:8" x14ac:dyDescent="0.25">
      <c r="E134" s="8">
        <v>46297</v>
      </c>
      <c r="F134" s="9" t="s">
        <v>127</v>
      </c>
      <c r="G134" s="9">
        <v>-5640</v>
      </c>
      <c r="H134" s="10">
        <f t="shared" si="2"/>
        <v>0</v>
      </c>
    </row>
    <row r="135" spans="5:8" x14ac:dyDescent="0.25">
      <c r="E135" s="8"/>
      <c r="F135" s="9"/>
      <c r="G135" s="9"/>
      <c r="H135" s="10">
        <f t="shared" si="2"/>
        <v>0</v>
      </c>
    </row>
    <row r="136" spans="5:8" x14ac:dyDescent="0.25">
      <c r="E136" s="8"/>
      <c r="F136" s="9"/>
      <c r="G136" s="9"/>
      <c r="H136" s="10">
        <f t="shared" si="2"/>
        <v>0</v>
      </c>
    </row>
    <row r="137" spans="5:8" x14ac:dyDescent="0.25">
      <c r="E137" s="8"/>
      <c r="F137" s="9"/>
      <c r="G137" s="9"/>
      <c r="H137" s="10">
        <f t="shared" si="2"/>
        <v>0</v>
      </c>
    </row>
    <row r="138" spans="5:8" x14ac:dyDescent="0.25">
      <c r="E138" s="8"/>
      <c r="F138" s="9"/>
      <c r="G138" s="9"/>
      <c r="H138" s="10">
        <f t="shared" si="2"/>
        <v>0</v>
      </c>
    </row>
    <row r="139" spans="5:8" x14ac:dyDescent="0.25">
      <c r="E139" s="8"/>
      <c r="F139" s="9"/>
      <c r="G139" s="9"/>
      <c r="H139" s="10">
        <f t="shared" si="2"/>
        <v>0</v>
      </c>
    </row>
  </sheetData>
  <mergeCells count="1">
    <mergeCell ref="F5:H5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A631D-E5E3-4863-8EF8-43C7ACF450D8}">
  <dimension ref="E4:H23"/>
  <sheetViews>
    <sheetView topLeftCell="A4" workbookViewId="0">
      <selection activeCell="E14" sqref="E14"/>
    </sheetView>
  </sheetViews>
  <sheetFormatPr baseColWidth="10" defaultRowHeight="15" x14ac:dyDescent="0.25"/>
  <cols>
    <col min="5" max="5" width="16.7109375" customWidth="1"/>
    <col min="6" max="6" width="25.140625" customWidth="1"/>
    <col min="7" max="7" width="14.7109375" customWidth="1"/>
    <col min="8" max="8" width="13.7109375" customWidth="1"/>
  </cols>
  <sheetData>
    <row r="4" spans="5:8" x14ac:dyDescent="0.25">
      <c r="E4" s="2" t="s">
        <v>1</v>
      </c>
      <c r="F4" s="99" t="s">
        <v>175</v>
      </c>
      <c r="G4" s="100"/>
      <c r="H4" s="100"/>
    </row>
    <row r="5" spans="5:8" x14ac:dyDescent="0.25">
      <c r="E5" s="3" t="s">
        <v>11</v>
      </c>
      <c r="F5" s="4" t="s">
        <v>27</v>
      </c>
      <c r="G5" s="4"/>
      <c r="H5" s="4"/>
    </row>
    <row r="6" spans="5:8" x14ac:dyDescent="0.25">
      <c r="F6" s="5"/>
      <c r="G6" s="6"/>
      <c r="H6" s="6"/>
    </row>
    <row r="7" spans="5:8" x14ac:dyDescent="0.25">
      <c r="E7" s="2" t="s">
        <v>2</v>
      </c>
      <c r="F7" s="2" t="s">
        <v>173</v>
      </c>
      <c r="G7" s="7" t="s">
        <v>4</v>
      </c>
      <c r="H7" s="7" t="s">
        <v>5</v>
      </c>
    </row>
    <row r="8" spans="5:8" x14ac:dyDescent="0.25">
      <c r="E8" s="8">
        <v>45932</v>
      </c>
      <c r="F8" s="9" t="s">
        <v>3</v>
      </c>
      <c r="G8" s="10">
        <v>2230</v>
      </c>
      <c r="H8" s="10">
        <f>G8</f>
        <v>2230</v>
      </c>
    </row>
    <row r="9" spans="5:8" x14ac:dyDescent="0.25">
      <c r="E9" s="8">
        <v>45932</v>
      </c>
      <c r="F9" s="9" t="s">
        <v>169</v>
      </c>
      <c r="G9" s="10">
        <v>-2230</v>
      </c>
      <c r="H9" s="10">
        <f>H8+G9</f>
        <v>0</v>
      </c>
    </row>
    <row r="10" spans="5:8" x14ac:dyDescent="0.25">
      <c r="E10" s="8">
        <v>45967</v>
      </c>
      <c r="F10" s="9" t="s">
        <v>3</v>
      </c>
      <c r="G10" s="10">
        <v>1650</v>
      </c>
      <c r="H10" s="10">
        <f t="shared" ref="H10:H18" si="0">H9+G10</f>
        <v>1650</v>
      </c>
    </row>
    <row r="11" spans="5:8" x14ac:dyDescent="0.25">
      <c r="E11" s="8">
        <v>45967</v>
      </c>
      <c r="F11" s="9" t="s">
        <v>178</v>
      </c>
      <c r="G11" s="10">
        <v>-1650</v>
      </c>
      <c r="H11" s="10">
        <f t="shared" si="0"/>
        <v>0</v>
      </c>
    </row>
    <row r="12" spans="5:8" x14ac:dyDescent="0.25">
      <c r="E12" s="8">
        <v>46034</v>
      </c>
      <c r="F12" s="9" t="s">
        <v>3</v>
      </c>
      <c r="G12" s="10">
        <v>1920</v>
      </c>
      <c r="H12" s="10">
        <f t="shared" si="0"/>
        <v>1920</v>
      </c>
    </row>
    <row r="13" spans="5:8" x14ac:dyDescent="0.25">
      <c r="E13" s="8">
        <v>46037</v>
      </c>
      <c r="F13" s="9" t="s">
        <v>178</v>
      </c>
      <c r="G13" s="10">
        <v>-1920</v>
      </c>
      <c r="H13" s="10">
        <f t="shared" si="0"/>
        <v>0</v>
      </c>
    </row>
    <row r="14" spans="5:8" x14ac:dyDescent="0.25">
      <c r="E14" s="8"/>
      <c r="F14" s="9"/>
      <c r="G14" s="10"/>
      <c r="H14" s="10">
        <f t="shared" si="0"/>
        <v>0</v>
      </c>
    </row>
    <row r="15" spans="5:8" x14ac:dyDescent="0.25">
      <c r="E15" s="8"/>
      <c r="F15" s="9"/>
      <c r="G15" s="10"/>
      <c r="H15" s="10">
        <f t="shared" si="0"/>
        <v>0</v>
      </c>
    </row>
    <row r="16" spans="5:8" x14ac:dyDescent="0.25">
      <c r="E16" s="8"/>
      <c r="F16" s="9"/>
      <c r="G16" s="10"/>
      <c r="H16" s="10">
        <f t="shared" si="0"/>
        <v>0</v>
      </c>
    </row>
    <row r="17" spans="5:8" x14ac:dyDescent="0.25">
      <c r="E17" s="8"/>
      <c r="F17" s="9"/>
      <c r="G17" s="10"/>
      <c r="H17" s="10">
        <f t="shared" si="0"/>
        <v>0</v>
      </c>
    </row>
    <row r="18" spans="5:8" x14ac:dyDescent="0.25">
      <c r="E18" s="8"/>
      <c r="F18" s="9"/>
      <c r="G18" s="10"/>
      <c r="H18" s="10">
        <f t="shared" si="0"/>
        <v>0</v>
      </c>
    </row>
    <row r="19" spans="5:8" x14ac:dyDescent="0.25">
      <c r="E19" s="8"/>
      <c r="F19" s="9"/>
      <c r="G19" s="10"/>
      <c r="H19" s="10">
        <f t="shared" ref="H19:H23" si="1">H18+G19</f>
        <v>0</v>
      </c>
    </row>
    <row r="20" spans="5:8" x14ac:dyDescent="0.25">
      <c r="E20" s="8"/>
      <c r="F20" s="9"/>
      <c r="G20" s="10"/>
      <c r="H20" s="10">
        <f t="shared" si="1"/>
        <v>0</v>
      </c>
    </row>
    <row r="21" spans="5:8" x14ac:dyDescent="0.25">
      <c r="E21" s="8"/>
      <c r="F21" s="9"/>
      <c r="G21" s="10"/>
      <c r="H21" s="10">
        <f t="shared" si="1"/>
        <v>0</v>
      </c>
    </row>
    <row r="22" spans="5:8" x14ac:dyDescent="0.25">
      <c r="E22" s="8"/>
      <c r="F22" s="9"/>
      <c r="G22" s="10"/>
      <c r="H22" s="10">
        <f t="shared" si="1"/>
        <v>0</v>
      </c>
    </row>
    <row r="23" spans="5:8" x14ac:dyDescent="0.25">
      <c r="E23" s="8"/>
      <c r="F23" s="9"/>
      <c r="G23" s="10"/>
      <c r="H23" s="10">
        <f t="shared" si="1"/>
        <v>0</v>
      </c>
    </row>
  </sheetData>
  <mergeCells count="1">
    <mergeCell ref="F4:H4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3E284-7C29-45AA-8B66-59FE1529E7FC}">
  <dimension ref="E5:H53"/>
  <sheetViews>
    <sheetView tabSelected="1" topLeftCell="A4" workbookViewId="0">
      <selection activeCell="G47" sqref="G47"/>
    </sheetView>
  </sheetViews>
  <sheetFormatPr baseColWidth="10" defaultRowHeight="15" x14ac:dyDescent="0.25"/>
  <cols>
    <col min="5" max="5" width="16.7109375" customWidth="1"/>
    <col min="6" max="6" width="31.5703125" customWidth="1"/>
    <col min="7" max="7" width="22.7109375" customWidth="1"/>
    <col min="8" max="8" width="14.85546875" customWidth="1"/>
  </cols>
  <sheetData>
    <row r="5" spans="5:8" x14ac:dyDescent="0.25">
      <c r="E5" s="2" t="s">
        <v>1</v>
      </c>
      <c r="F5" s="99" t="s">
        <v>208</v>
      </c>
      <c r="G5" s="100"/>
      <c r="H5" s="100"/>
    </row>
    <row r="6" spans="5:8" x14ac:dyDescent="0.25">
      <c r="E6" s="3" t="s">
        <v>11</v>
      </c>
      <c r="F6" s="4" t="s">
        <v>27</v>
      </c>
      <c r="G6" s="4"/>
      <c r="H6" s="4"/>
    </row>
    <row r="7" spans="5:8" x14ac:dyDescent="0.25">
      <c r="F7" s="5"/>
      <c r="G7" s="6"/>
      <c r="H7" s="6"/>
    </row>
    <row r="8" spans="5:8" x14ac:dyDescent="0.25">
      <c r="E8" s="2" t="s">
        <v>2</v>
      </c>
      <c r="F8" s="2" t="s">
        <v>173</v>
      </c>
      <c r="G8" s="7" t="s">
        <v>404</v>
      </c>
      <c r="H8" s="64" t="s">
        <v>405</v>
      </c>
    </row>
    <row r="9" spans="5:8" x14ac:dyDescent="0.25">
      <c r="E9" s="8">
        <v>45953</v>
      </c>
      <c r="F9" s="9" t="s">
        <v>3</v>
      </c>
      <c r="G9" s="10">
        <v>1840</v>
      </c>
      <c r="H9" s="10">
        <f>G9</f>
        <v>1840</v>
      </c>
    </row>
    <row r="10" spans="5:8" x14ac:dyDescent="0.25">
      <c r="E10" s="8">
        <v>45953</v>
      </c>
      <c r="F10" s="9" t="s">
        <v>169</v>
      </c>
      <c r="G10" s="10">
        <v>-1840</v>
      </c>
      <c r="H10" s="10">
        <f>H9+G10</f>
        <v>0</v>
      </c>
    </row>
    <row r="11" spans="5:8" x14ac:dyDescent="0.25">
      <c r="E11" s="8">
        <v>45964</v>
      </c>
      <c r="F11" s="9" t="s">
        <v>3</v>
      </c>
      <c r="G11" s="10">
        <v>1950</v>
      </c>
      <c r="H11" s="10">
        <f t="shared" ref="H11:H15" si="0">H10+G11</f>
        <v>1950</v>
      </c>
    </row>
    <row r="12" spans="5:8" x14ac:dyDescent="0.25">
      <c r="E12" s="13" t="s">
        <v>225</v>
      </c>
      <c r="F12" s="9" t="s">
        <v>226</v>
      </c>
      <c r="G12" s="10">
        <v>-1950</v>
      </c>
      <c r="H12" s="10">
        <f t="shared" si="0"/>
        <v>0</v>
      </c>
    </row>
    <row r="13" spans="5:8" x14ac:dyDescent="0.25">
      <c r="E13" s="8">
        <v>45981</v>
      </c>
      <c r="F13" s="9" t="s">
        <v>3</v>
      </c>
      <c r="G13" s="10">
        <v>930</v>
      </c>
      <c r="H13" s="10">
        <f t="shared" si="0"/>
        <v>930</v>
      </c>
    </row>
    <row r="14" spans="5:8" x14ac:dyDescent="0.25">
      <c r="E14" s="8">
        <v>45981</v>
      </c>
      <c r="F14" s="9" t="s">
        <v>249</v>
      </c>
      <c r="G14" s="10">
        <v>-800</v>
      </c>
      <c r="H14" s="10">
        <f t="shared" si="0"/>
        <v>130</v>
      </c>
    </row>
    <row r="15" spans="5:8" x14ac:dyDescent="0.25">
      <c r="E15" s="8">
        <v>45988</v>
      </c>
      <c r="F15" s="9" t="s">
        <v>150</v>
      </c>
      <c r="G15" s="10">
        <v>-130</v>
      </c>
      <c r="H15" s="10">
        <f t="shared" si="0"/>
        <v>0</v>
      </c>
    </row>
    <row r="16" spans="5:8" x14ac:dyDescent="0.25">
      <c r="E16" s="8">
        <v>46072</v>
      </c>
      <c r="F16" s="9" t="s">
        <v>3</v>
      </c>
      <c r="G16" s="10">
        <v>700</v>
      </c>
      <c r="H16" s="10">
        <f t="shared" ref="H16:H53" si="1">H15+G16</f>
        <v>700</v>
      </c>
    </row>
    <row r="17" spans="5:8" x14ac:dyDescent="0.25">
      <c r="E17" s="8">
        <v>46072</v>
      </c>
      <c r="F17" s="9" t="s">
        <v>339</v>
      </c>
      <c r="G17" s="10">
        <v>-700</v>
      </c>
      <c r="H17" s="10">
        <f t="shared" si="1"/>
        <v>0</v>
      </c>
    </row>
    <row r="18" spans="5:8" x14ac:dyDescent="0.25">
      <c r="E18" s="8">
        <v>46090</v>
      </c>
      <c r="F18" s="9" t="s">
        <v>3</v>
      </c>
      <c r="G18" s="10">
        <v>1730</v>
      </c>
      <c r="H18" s="10">
        <f t="shared" si="1"/>
        <v>1730</v>
      </c>
    </row>
    <row r="19" spans="5:8" x14ac:dyDescent="0.25">
      <c r="E19" s="8">
        <v>46093</v>
      </c>
      <c r="F19" s="9" t="s">
        <v>3</v>
      </c>
      <c r="G19" s="10">
        <v>1770</v>
      </c>
      <c r="H19" s="10">
        <f t="shared" si="1"/>
        <v>3500</v>
      </c>
    </row>
    <row r="20" spans="5:8" x14ac:dyDescent="0.25">
      <c r="E20" s="8">
        <v>46093</v>
      </c>
      <c r="F20" s="9" t="s">
        <v>178</v>
      </c>
      <c r="G20" s="10">
        <v>-1770</v>
      </c>
      <c r="H20" s="10">
        <f t="shared" si="1"/>
        <v>1730</v>
      </c>
    </row>
    <row r="21" spans="5:8" x14ac:dyDescent="0.25">
      <c r="E21" s="8">
        <v>46097</v>
      </c>
      <c r="F21" s="9" t="s">
        <v>3</v>
      </c>
      <c r="G21" s="10">
        <v>1260</v>
      </c>
      <c r="H21" s="10">
        <f t="shared" si="1"/>
        <v>2990</v>
      </c>
    </row>
    <row r="22" spans="5:8" x14ac:dyDescent="0.25">
      <c r="E22" s="8">
        <v>46097</v>
      </c>
      <c r="F22" s="9" t="s">
        <v>178</v>
      </c>
      <c r="G22" s="10">
        <v>-1800</v>
      </c>
      <c r="H22" s="10">
        <f t="shared" si="1"/>
        <v>1190</v>
      </c>
    </row>
    <row r="23" spans="5:8" x14ac:dyDescent="0.25">
      <c r="E23" s="8">
        <v>46100</v>
      </c>
      <c r="F23" s="9" t="s">
        <v>3</v>
      </c>
      <c r="G23" s="10">
        <v>770</v>
      </c>
      <c r="H23" s="10">
        <f t="shared" si="1"/>
        <v>1960</v>
      </c>
    </row>
    <row r="24" spans="5:8" x14ac:dyDescent="0.25">
      <c r="E24" s="8">
        <v>46100</v>
      </c>
      <c r="F24" s="9" t="s">
        <v>178</v>
      </c>
      <c r="G24" s="10">
        <v>-500</v>
      </c>
      <c r="H24" s="10">
        <f t="shared" si="1"/>
        <v>1460</v>
      </c>
    </row>
    <row r="25" spans="5:8" x14ac:dyDescent="0.25">
      <c r="E25" s="8">
        <v>46104</v>
      </c>
      <c r="F25" s="9" t="s">
        <v>3</v>
      </c>
      <c r="G25" s="10">
        <v>2200</v>
      </c>
      <c r="H25" s="10">
        <f t="shared" si="1"/>
        <v>3660</v>
      </c>
    </row>
    <row r="26" spans="5:8" x14ac:dyDescent="0.25">
      <c r="E26" s="8">
        <v>46104</v>
      </c>
      <c r="F26" s="9" t="s">
        <v>178</v>
      </c>
      <c r="G26" s="10">
        <v>-1460</v>
      </c>
      <c r="H26" s="10">
        <f t="shared" si="1"/>
        <v>2200</v>
      </c>
    </row>
    <row r="27" spans="5:8" x14ac:dyDescent="0.25">
      <c r="E27" s="8">
        <v>46107</v>
      </c>
      <c r="F27" s="9" t="s">
        <v>127</v>
      </c>
      <c r="G27" s="10">
        <v>-440</v>
      </c>
      <c r="H27" s="10">
        <f t="shared" si="1"/>
        <v>1760</v>
      </c>
    </row>
    <row r="28" spans="5:8" x14ac:dyDescent="0.25">
      <c r="E28" s="8">
        <v>46107</v>
      </c>
      <c r="F28" s="9" t="s">
        <v>178</v>
      </c>
      <c r="G28" s="10">
        <v>-1760</v>
      </c>
      <c r="H28" s="10">
        <f t="shared" si="1"/>
        <v>0</v>
      </c>
    </row>
    <row r="29" spans="5:8" ht="17.25" customHeight="1" x14ac:dyDescent="0.25">
      <c r="E29" s="8">
        <v>46107</v>
      </c>
      <c r="F29" s="9" t="s">
        <v>3</v>
      </c>
      <c r="G29" s="10">
        <v>900</v>
      </c>
      <c r="H29" s="10">
        <f t="shared" si="1"/>
        <v>900</v>
      </c>
    </row>
    <row r="30" spans="5:8" ht="17.25" customHeight="1" x14ac:dyDescent="0.25">
      <c r="E30" s="8">
        <v>46111</v>
      </c>
      <c r="F30" s="9" t="s">
        <v>3</v>
      </c>
      <c r="G30" s="10">
        <v>3680</v>
      </c>
      <c r="H30" s="10">
        <f t="shared" si="1"/>
        <v>4580</v>
      </c>
    </row>
    <row r="31" spans="5:8" ht="17.25" customHeight="1" x14ac:dyDescent="0.25">
      <c r="E31" s="8">
        <v>46111</v>
      </c>
      <c r="F31" s="9" t="s">
        <v>178</v>
      </c>
      <c r="G31" s="10">
        <v>-900</v>
      </c>
      <c r="H31" s="10">
        <f t="shared" si="1"/>
        <v>3680</v>
      </c>
    </row>
    <row r="32" spans="5:8" ht="17.25" customHeight="1" x14ac:dyDescent="0.25">
      <c r="E32" s="8">
        <v>46118</v>
      </c>
      <c r="F32" s="9" t="s">
        <v>3</v>
      </c>
      <c r="G32" s="10">
        <v>3070</v>
      </c>
      <c r="H32" s="10">
        <f t="shared" si="1"/>
        <v>6750</v>
      </c>
    </row>
    <row r="33" spans="5:8" ht="17.25" customHeight="1" x14ac:dyDescent="0.25">
      <c r="E33" s="8">
        <v>46118</v>
      </c>
      <c r="F33" s="9" t="s">
        <v>178</v>
      </c>
      <c r="G33" s="10">
        <v>-3680</v>
      </c>
      <c r="H33" s="10">
        <f t="shared" si="1"/>
        <v>3070</v>
      </c>
    </row>
    <row r="34" spans="5:8" ht="17.25" customHeight="1" x14ac:dyDescent="0.25">
      <c r="E34" s="8">
        <v>46121</v>
      </c>
      <c r="F34" s="9" t="s">
        <v>3</v>
      </c>
      <c r="G34" s="10">
        <v>1230</v>
      </c>
      <c r="H34" s="10">
        <f t="shared" si="1"/>
        <v>4300</v>
      </c>
    </row>
    <row r="35" spans="5:8" ht="17.25" customHeight="1" x14ac:dyDescent="0.25">
      <c r="E35" s="8">
        <v>46125</v>
      </c>
      <c r="F35" s="9" t="s">
        <v>3</v>
      </c>
      <c r="G35" s="10">
        <v>2600</v>
      </c>
      <c r="H35" s="10">
        <f t="shared" si="1"/>
        <v>6900</v>
      </c>
    </row>
    <row r="36" spans="5:8" x14ac:dyDescent="0.25">
      <c r="E36" s="8">
        <v>46125</v>
      </c>
      <c r="F36" s="9" t="s">
        <v>178</v>
      </c>
      <c r="G36" s="10">
        <v>-3500</v>
      </c>
      <c r="H36" s="10">
        <f t="shared" si="1"/>
        <v>3400</v>
      </c>
    </row>
    <row r="37" spans="5:8" x14ac:dyDescent="0.25">
      <c r="E37" s="8">
        <v>46128</v>
      </c>
      <c r="F37" s="9" t="s">
        <v>3</v>
      </c>
      <c r="G37" s="10">
        <v>3780</v>
      </c>
      <c r="H37" s="10">
        <f t="shared" si="1"/>
        <v>7180</v>
      </c>
    </row>
    <row r="38" spans="5:8" x14ac:dyDescent="0.25">
      <c r="E38" s="8">
        <v>46132</v>
      </c>
      <c r="F38" s="9" t="s">
        <v>3</v>
      </c>
      <c r="G38" s="10">
        <v>1600</v>
      </c>
      <c r="H38" s="10">
        <f t="shared" si="1"/>
        <v>8780</v>
      </c>
    </row>
    <row r="39" spans="5:8" x14ac:dyDescent="0.25">
      <c r="E39" s="8">
        <v>46132</v>
      </c>
      <c r="F39" s="9" t="s">
        <v>127</v>
      </c>
      <c r="G39" s="10">
        <v>-1500</v>
      </c>
      <c r="H39" s="10">
        <f t="shared" si="1"/>
        <v>7280</v>
      </c>
    </row>
    <row r="40" spans="5:8" x14ac:dyDescent="0.25">
      <c r="E40" s="8">
        <v>46132</v>
      </c>
      <c r="F40" s="9" t="s">
        <v>178</v>
      </c>
      <c r="G40" s="10">
        <v>-2000</v>
      </c>
      <c r="H40" s="10">
        <f t="shared" si="1"/>
        <v>5280</v>
      </c>
    </row>
    <row r="41" spans="5:8" x14ac:dyDescent="0.25">
      <c r="E41" s="8">
        <v>46135</v>
      </c>
      <c r="F41" s="9" t="s">
        <v>3</v>
      </c>
      <c r="G41" s="10">
        <v>2000</v>
      </c>
      <c r="H41" s="10">
        <f t="shared" si="1"/>
        <v>7280</v>
      </c>
    </row>
    <row r="42" spans="5:8" x14ac:dyDescent="0.25">
      <c r="E42" s="8">
        <v>46146</v>
      </c>
      <c r="F42" s="9" t="s">
        <v>178</v>
      </c>
      <c r="G42" s="10">
        <v>-1300</v>
      </c>
      <c r="H42" s="10">
        <f t="shared" si="1"/>
        <v>5980</v>
      </c>
    </row>
    <row r="43" spans="5:8" x14ac:dyDescent="0.25">
      <c r="E43" s="8">
        <v>46149</v>
      </c>
      <c r="F43" s="9" t="s">
        <v>416</v>
      </c>
      <c r="G43" s="10">
        <v>12000</v>
      </c>
      <c r="H43" s="10">
        <f t="shared" si="1"/>
        <v>17980</v>
      </c>
    </row>
    <row r="44" spans="5:8" x14ac:dyDescent="0.25">
      <c r="E44" s="8">
        <v>46156</v>
      </c>
      <c r="F44" s="9" t="s">
        <v>92</v>
      </c>
      <c r="G44" s="10">
        <v>-9000</v>
      </c>
      <c r="H44" s="10">
        <f t="shared" si="1"/>
        <v>8980</v>
      </c>
    </row>
    <row r="45" spans="5:8" x14ac:dyDescent="0.25">
      <c r="E45" s="8">
        <v>46233</v>
      </c>
      <c r="F45" s="9" t="s">
        <v>178</v>
      </c>
      <c r="G45" s="10">
        <v>-2000</v>
      </c>
      <c r="H45" s="10">
        <f t="shared" si="1"/>
        <v>6980</v>
      </c>
    </row>
    <row r="46" spans="5:8" x14ac:dyDescent="0.25">
      <c r="E46" s="8">
        <v>46268</v>
      </c>
      <c r="F46" s="9" t="s">
        <v>92</v>
      </c>
      <c r="G46" s="10">
        <v>-2000</v>
      </c>
      <c r="H46" s="10">
        <f t="shared" si="1"/>
        <v>4980</v>
      </c>
    </row>
    <row r="47" spans="5:8" x14ac:dyDescent="0.25">
      <c r="E47" s="8"/>
      <c r="F47" s="9"/>
      <c r="G47" s="10"/>
      <c r="H47" s="10">
        <f t="shared" si="1"/>
        <v>4980</v>
      </c>
    </row>
    <row r="48" spans="5:8" x14ac:dyDescent="0.25">
      <c r="E48" s="8"/>
      <c r="F48" s="9"/>
      <c r="G48" s="10"/>
      <c r="H48" s="10">
        <f>H47+G48</f>
        <v>4980</v>
      </c>
    </row>
    <row r="49" spans="5:8" x14ac:dyDescent="0.25">
      <c r="E49" s="8"/>
      <c r="F49" s="9"/>
      <c r="G49" s="10"/>
      <c r="H49" s="10">
        <f>H48+G49</f>
        <v>4980</v>
      </c>
    </row>
    <row r="50" spans="5:8" x14ac:dyDescent="0.25">
      <c r="E50" s="8"/>
      <c r="F50" s="9"/>
      <c r="G50" s="10"/>
      <c r="H50" s="10">
        <f t="shared" si="1"/>
        <v>4980</v>
      </c>
    </row>
    <row r="51" spans="5:8" x14ac:dyDescent="0.25">
      <c r="E51" s="8"/>
      <c r="F51" s="9"/>
      <c r="G51" s="10"/>
      <c r="H51" s="10">
        <f t="shared" si="1"/>
        <v>4980</v>
      </c>
    </row>
    <row r="52" spans="5:8" x14ac:dyDescent="0.25">
      <c r="E52" s="8"/>
      <c r="F52" s="9"/>
      <c r="G52" s="10"/>
      <c r="H52" s="10">
        <f t="shared" si="1"/>
        <v>4980</v>
      </c>
    </row>
    <row r="53" spans="5:8" x14ac:dyDescent="0.25">
      <c r="E53" s="8"/>
      <c r="F53" s="9"/>
      <c r="G53" s="10"/>
      <c r="H53" s="10">
        <f t="shared" si="1"/>
        <v>4980</v>
      </c>
    </row>
  </sheetData>
  <mergeCells count="1">
    <mergeCell ref="F5:H5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5D308-7CB0-4952-8BBC-F4F74D192783}">
  <dimension ref="H6:K44"/>
  <sheetViews>
    <sheetView topLeftCell="A8" workbookViewId="0">
      <selection activeCell="J30" sqref="J30"/>
    </sheetView>
  </sheetViews>
  <sheetFormatPr baseColWidth="10" defaultRowHeight="15" x14ac:dyDescent="0.25"/>
  <cols>
    <col min="7" max="7" width="8.28515625" customWidth="1"/>
    <col min="8" max="8" width="17.7109375" customWidth="1"/>
    <col min="9" max="9" width="25.5703125" customWidth="1"/>
    <col min="10" max="10" width="15.28515625" customWidth="1"/>
    <col min="11" max="11" width="21.28515625" customWidth="1"/>
  </cols>
  <sheetData>
    <row r="6" spans="8:11" x14ac:dyDescent="0.25">
      <c r="H6" s="2" t="s">
        <v>1</v>
      </c>
      <c r="I6" s="99" t="s">
        <v>209</v>
      </c>
      <c r="J6" s="100"/>
      <c r="K6" s="100"/>
    </row>
    <row r="7" spans="8:11" x14ac:dyDescent="0.25">
      <c r="H7" s="3" t="s">
        <v>11</v>
      </c>
      <c r="I7" s="4" t="s">
        <v>27</v>
      </c>
      <c r="J7" s="4"/>
      <c r="K7" s="4"/>
    </row>
    <row r="8" spans="8:11" x14ac:dyDescent="0.25">
      <c r="I8" s="5"/>
      <c r="J8" s="6"/>
      <c r="K8" s="6"/>
    </row>
    <row r="9" spans="8:11" x14ac:dyDescent="0.25">
      <c r="H9" s="2" t="s">
        <v>2</v>
      </c>
      <c r="I9" s="2" t="s">
        <v>173</v>
      </c>
      <c r="J9" s="7" t="s">
        <v>4</v>
      </c>
      <c r="K9" s="7" t="s">
        <v>5</v>
      </c>
    </row>
    <row r="10" spans="8:11" x14ac:dyDescent="0.25">
      <c r="H10" s="8"/>
      <c r="I10" s="9"/>
      <c r="J10" s="10"/>
      <c r="K10" s="10">
        <f>J10</f>
        <v>0</v>
      </c>
    </row>
    <row r="11" spans="8:11" x14ac:dyDescent="0.25">
      <c r="H11" s="8">
        <v>45953</v>
      </c>
      <c r="I11" s="9" t="s">
        <v>150</v>
      </c>
      <c r="J11" s="10">
        <v>250</v>
      </c>
      <c r="K11" s="10">
        <f t="shared" ref="K11:K44" si="0">K10+J11</f>
        <v>250</v>
      </c>
    </row>
    <row r="12" spans="8:11" x14ac:dyDescent="0.25">
      <c r="H12" s="8">
        <v>45953</v>
      </c>
      <c r="I12" s="9" t="s">
        <v>179</v>
      </c>
      <c r="J12" s="10">
        <v>-250</v>
      </c>
      <c r="K12" s="10">
        <f t="shared" si="0"/>
        <v>0</v>
      </c>
    </row>
    <row r="13" spans="8:11" x14ac:dyDescent="0.25">
      <c r="H13" s="8">
        <v>45971</v>
      </c>
      <c r="I13" s="9" t="s">
        <v>3</v>
      </c>
      <c r="J13" s="10">
        <v>550</v>
      </c>
      <c r="K13" s="10">
        <f t="shared" si="0"/>
        <v>550</v>
      </c>
    </row>
    <row r="14" spans="8:11" x14ac:dyDescent="0.25">
      <c r="H14" s="8">
        <v>45971</v>
      </c>
      <c r="I14" s="9" t="s">
        <v>178</v>
      </c>
      <c r="J14" s="10">
        <v>-550</v>
      </c>
      <c r="K14" s="10">
        <f t="shared" si="0"/>
        <v>0</v>
      </c>
    </row>
    <row r="15" spans="8:11" x14ac:dyDescent="0.25">
      <c r="H15" s="8">
        <v>45985</v>
      </c>
      <c r="I15" s="9" t="s">
        <v>3</v>
      </c>
      <c r="J15" s="10">
        <v>1120</v>
      </c>
      <c r="K15" s="10">
        <f t="shared" si="0"/>
        <v>1120</v>
      </c>
    </row>
    <row r="16" spans="8:11" x14ac:dyDescent="0.25">
      <c r="H16" s="8">
        <v>45985</v>
      </c>
      <c r="I16" s="9" t="s">
        <v>150</v>
      </c>
      <c r="J16" s="10">
        <v>-1120</v>
      </c>
      <c r="K16" s="10">
        <f t="shared" si="0"/>
        <v>0</v>
      </c>
    </row>
    <row r="17" spans="8:11" x14ac:dyDescent="0.25">
      <c r="H17" s="8">
        <v>46041</v>
      </c>
      <c r="I17" s="9" t="s">
        <v>3</v>
      </c>
      <c r="J17" s="10">
        <v>2780</v>
      </c>
      <c r="K17" s="10">
        <f t="shared" si="0"/>
        <v>2780</v>
      </c>
    </row>
    <row r="18" spans="8:11" x14ac:dyDescent="0.25">
      <c r="H18" s="8">
        <v>46041</v>
      </c>
      <c r="I18" s="9" t="s">
        <v>179</v>
      </c>
      <c r="J18" s="10">
        <v>-2780</v>
      </c>
      <c r="K18" s="10">
        <f t="shared" si="0"/>
        <v>0</v>
      </c>
    </row>
    <row r="19" spans="8:11" x14ac:dyDescent="0.25">
      <c r="H19" s="8">
        <v>46066</v>
      </c>
      <c r="I19" s="9" t="s">
        <v>209</v>
      </c>
      <c r="J19" s="10">
        <v>17500</v>
      </c>
      <c r="K19" s="10">
        <f t="shared" si="0"/>
        <v>17500</v>
      </c>
    </row>
    <row r="20" spans="8:11" x14ac:dyDescent="0.25">
      <c r="H20" s="8">
        <v>46069</v>
      </c>
      <c r="I20" s="9" t="s">
        <v>178</v>
      </c>
      <c r="J20" s="10">
        <v>-17500</v>
      </c>
      <c r="K20" s="10">
        <f t="shared" si="0"/>
        <v>0</v>
      </c>
    </row>
    <row r="21" spans="8:11" x14ac:dyDescent="0.25">
      <c r="H21" s="8">
        <v>46079</v>
      </c>
      <c r="I21" s="9" t="s">
        <v>3</v>
      </c>
      <c r="J21" s="10">
        <v>1270</v>
      </c>
      <c r="K21" s="10">
        <f t="shared" si="0"/>
        <v>1270</v>
      </c>
    </row>
    <row r="22" spans="8:11" x14ac:dyDescent="0.25">
      <c r="H22" s="8">
        <v>46079</v>
      </c>
      <c r="I22" s="9" t="s">
        <v>178</v>
      </c>
      <c r="J22" s="10">
        <v>-1270</v>
      </c>
      <c r="K22" s="10">
        <f t="shared" si="0"/>
        <v>0</v>
      </c>
    </row>
    <row r="23" spans="8:11" x14ac:dyDescent="0.25">
      <c r="H23" s="8">
        <v>46104</v>
      </c>
      <c r="I23" s="9" t="s">
        <v>3</v>
      </c>
      <c r="J23" s="10">
        <v>1340</v>
      </c>
      <c r="K23" s="10">
        <f t="shared" si="0"/>
        <v>1340</v>
      </c>
    </row>
    <row r="24" spans="8:11" x14ac:dyDescent="0.25">
      <c r="H24" s="8">
        <v>46104</v>
      </c>
      <c r="I24" s="9" t="s">
        <v>127</v>
      </c>
      <c r="J24" s="10">
        <v>-1340</v>
      </c>
      <c r="K24" s="10">
        <f t="shared" si="0"/>
        <v>0</v>
      </c>
    </row>
    <row r="25" spans="8:11" x14ac:dyDescent="0.25">
      <c r="H25" s="8">
        <v>46107</v>
      </c>
      <c r="I25" s="9" t="s">
        <v>3</v>
      </c>
      <c r="J25" s="10">
        <v>750</v>
      </c>
      <c r="K25" s="10">
        <f t="shared" si="0"/>
        <v>750</v>
      </c>
    </row>
    <row r="26" spans="8:11" x14ac:dyDescent="0.25">
      <c r="H26" s="8">
        <v>46107</v>
      </c>
      <c r="I26" s="9" t="s">
        <v>178</v>
      </c>
      <c r="J26" s="10">
        <v>-750</v>
      </c>
      <c r="K26" s="10">
        <f t="shared" si="0"/>
        <v>0</v>
      </c>
    </row>
    <row r="27" spans="8:11" x14ac:dyDescent="0.25">
      <c r="H27" s="8">
        <v>46284</v>
      </c>
      <c r="I27" s="9" t="s">
        <v>129</v>
      </c>
      <c r="J27" s="10">
        <v>2150</v>
      </c>
      <c r="K27" s="10">
        <f t="shared" si="0"/>
        <v>2150</v>
      </c>
    </row>
    <row r="28" spans="8:11" x14ac:dyDescent="0.25">
      <c r="H28" s="8">
        <v>46286</v>
      </c>
      <c r="I28" s="9" t="s">
        <v>3</v>
      </c>
      <c r="J28" s="10">
        <v>1100</v>
      </c>
      <c r="K28" s="10">
        <f t="shared" si="0"/>
        <v>3250</v>
      </c>
    </row>
    <row r="29" spans="8:11" x14ac:dyDescent="0.25">
      <c r="H29" s="8">
        <v>46286</v>
      </c>
      <c r="I29" s="9" t="s">
        <v>178</v>
      </c>
      <c r="J29" s="10">
        <v>-3250</v>
      </c>
      <c r="K29" s="10">
        <f t="shared" si="0"/>
        <v>0</v>
      </c>
    </row>
    <row r="30" spans="8:11" x14ac:dyDescent="0.25">
      <c r="H30" s="8"/>
      <c r="I30" s="9"/>
      <c r="J30" s="10"/>
      <c r="K30" s="10">
        <f t="shared" si="0"/>
        <v>0</v>
      </c>
    </row>
    <row r="31" spans="8:11" x14ac:dyDescent="0.25">
      <c r="H31" s="8"/>
      <c r="I31" s="9"/>
      <c r="J31" s="10"/>
      <c r="K31" s="10">
        <f t="shared" si="0"/>
        <v>0</v>
      </c>
    </row>
    <row r="32" spans="8:11" x14ac:dyDescent="0.25">
      <c r="H32" s="8"/>
      <c r="I32" s="9"/>
      <c r="J32" s="10"/>
      <c r="K32" s="10">
        <f t="shared" si="0"/>
        <v>0</v>
      </c>
    </row>
    <row r="33" spans="8:11" x14ac:dyDescent="0.25">
      <c r="H33" s="8"/>
      <c r="I33" s="9"/>
      <c r="J33" s="10"/>
      <c r="K33" s="10">
        <f t="shared" si="0"/>
        <v>0</v>
      </c>
    </row>
    <row r="34" spans="8:11" x14ac:dyDescent="0.25">
      <c r="H34" s="8"/>
      <c r="I34" s="9"/>
      <c r="J34" s="10"/>
      <c r="K34" s="10">
        <f t="shared" si="0"/>
        <v>0</v>
      </c>
    </row>
    <row r="35" spans="8:11" x14ac:dyDescent="0.25">
      <c r="H35" s="8"/>
      <c r="I35" s="9"/>
      <c r="J35" s="10"/>
      <c r="K35" s="10">
        <f t="shared" si="0"/>
        <v>0</v>
      </c>
    </row>
    <row r="36" spans="8:11" x14ac:dyDescent="0.25">
      <c r="H36" s="8"/>
      <c r="I36" s="9"/>
      <c r="J36" s="10"/>
      <c r="K36" s="10">
        <f t="shared" si="0"/>
        <v>0</v>
      </c>
    </row>
    <row r="37" spans="8:11" x14ac:dyDescent="0.25">
      <c r="H37" s="8"/>
      <c r="I37" s="9"/>
      <c r="J37" s="10"/>
      <c r="K37" s="10">
        <f t="shared" si="0"/>
        <v>0</v>
      </c>
    </row>
    <row r="38" spans="8:11" x14ac:dyDescent="0.25">
      <c r="H38" s="8"/>
      <c r="I38" s="9"/>
      <c r="J38" s="10"/>
      <c r="K38" s="10">
        <f t="shared" si="0"/>
        <v>0</v>
      </c>
    </row>
    <row r="39" spans="8:11" x14ac:dyDescent="0.25">
      <c r="H39" s="8"/>
      <c r="I39" s="9"/>
      <c r="J39" s="10"/>
      <c r="K39" s="10">
        <f t="shared" si="0"/>
        <v>0</v>
      </c>
    </row>
    <row r="40" spans="8:11" x14ac:dyDescent="0.25">
      <c r="H40" s="8"/>
      <c r="I40" s="9"/>
      <c r="J40" s="10"/>
      <c r="K40" s="10">
        <f t="shared" si="0"/>
        <v>0</v>
      </c>
    </row>
    <row r="41" spans="8:11" x14ac:dyDescent="0.25">
      <c r="H41" s="8"/>
      <c r="I41" s="9"/>
      <c r="J41" s="10"/>
      <c r="K41" s="10">
        <f t="shared" si="0"/>
        <v>0</v>
      </c>
    </row>
    <row r="42" spans="8:11" x14ac:dyDescent="0.25">
      <c r="H42" s="8"/>
      <c r="I42" s="9"/>
      <c r="J42" s="10"/>
      <c r="K42" s="10">
        <f t="shared" si="0"/>
        <v>0</v>
      </c>
    </row>
    <row r="43" spans="8:11" x14ac:dyDescent="0.25">
      <c r="H43" s="8"/>
      <c r="I43" s="9"/>
      <c r="J43" s="10"/>
      <c r="K43" s="10">
        <f t="shared" si="0"/>
        <v>0</v>
      </c>
    </row>
    <row r="44" spans="8:11" x14ac:dyDescent="0.25">
      <c r="H44" s="8"/>
      <c r="I44" s="9"/>
      <c r="J44" s="10"/>
      <c r="K44" s="10">
        <f t="shared" si="0"/>
        <v>0</v>
      </c>
    </row>
  </sheetData>
  <mergeCells count="1">
    <mergeCell ref="I6:K6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1C686-0466-4684-93E7-3C8C28C8E2EE}">
  <dimension ref="G5:J62"/>
  <sheetViews>
    <sheetView topLeftCell="A31" workbookViewId="0">
      <selection activeCell="G50" sqref="G50"/>
    </sheetView>
  </sheetViews>
  <sheetFormatPr baseColWidth="10" defaultRowHeight="15" x14ac:dyDescent="0.25"/>
  <cols>
    <col min="7" max="7" width="13.85546875" customWidth="1"/>
    <col min="8" max="8" width="22.42578125" customWidth="1"/>
    <col min="9" max="9" width="12.140625" customWidth="1"/>
    <col min="10" max="10" width="13.7109375" customWidth="1"/>
  </cols>
  <sheetData>
    <row r="5" spans="7:10" x14ac:dyDescent="0.25">
      <c r="G5" s="2" t="s">
        <v>1</v>
      </c>
      <c r="H5" s="99" t="s">
        <v>211</v>
      </c>
      <c r="I5" s="100"/>
      <c r="J5" s="100"/>
    </row>
    <row r="6" spans="7:10" x14ac:dyDescent="0.25">
      <c r="G6" s="3" t="s">
        <v>11</v>
      </c>
      <c r="H6" s="4" t="s">
        <v>210</v>
      </c>
      <c r="I6" s="4"/>
      <c r="J6" s="4"/>
    </row>
    <row r="7" spans="7:10" x14ac:dyDescent="0.25">
      <c r="H7" s="5"/>
      <c r="I7" s="6"/>
      <c r="J7" s="6"/>
    </row>
    <row r="8" spans="7:10" x14ac:dyDescent="0.25">
      <c r="G8" s="2" t="s">
        <v>2</v>
      </c>
      <c r="H8" s="2" t="s">
        <v>173</v>
      </c>
      <c r="I8" s="7" t="s">
        <v>4</v>
      </c>
      <c r="J8" s="7" t="s">
        <v>5</v>
      </c>
    </row>
    <row r="9" spans="7:10" x14ac:dyDescent="0.25">
      <c r="G9" s="8"/>
      <c r="H9" s="9"/>
      <c r="I9" s="10"/>
      <c r="J9" s="10">
        <f>I9</f>
        <v>0</v>
      </c>
    </row>
    <row r="10" spans="7:10" x14ac:dyDescent="0.25">
      <c r="G10" s="8">
        <v>45953</v>
      </c>
      <c r="H10" s="9" t="s">
        <v>150</v>
      </c>
      <c r="I10" s="10">
        <v>490</v>
      </c>
      <c r="J10" s="10">
        <f t="shared" ref="J10:J62" si="0">J9+I10</f>
        <v>490</v>
      </c>
    </row>
    <row r="11" spans="7:10" x14ac:dyDescent="0.25">
      <c r="G11" s="8">
        <v>45953</v>
      </c>
      <c r="H11" s="9" t="s">
        <v>179</v>
      </c>
      <c r="I11" s="10">
        <v>-490</v>
      </c>
      <c r="J11" s="10">
        <f t="shared" si="0"/>
        <v>0</v>
      </c>
    </row>
    <row r="12" spans="7:10" x14ac:dyDescent="0.25">
      <c r="G12" s="8">
        <v>45978</v>
      </c>
      <c r="H12" s="9" t="s">
        <v>3</v>
      </c>
      <c r="I12" s="10">
        <v>770</v>
      </c>
      <c r="J12" s="10">
        <f t="shared" si="0"/>
        <v>770</v>
      </c>
    </row>
    <row r="13" spans="7:10" x14ac:dyDescent="0.25">
      <c r="G13" s="8">
        <v>45978</v>
      </c>
      <c r="H13" s="9" t="s">
        <v>233</v>
      </c>
      <c r="I13" s="10">
        <v>-770</v>
      </c>
      <c r="J13" s="10">
        <f t="shared" si="0"/>
        <v>0</v>
      </c>
    </row>
    <row r="14" spans="7:10" x14ac:dyDescent="0.25">
      <c r="G14" s="8">
        <v>46030</v>
      </c>
      <c r="H14" s="9" t="s">
        <v>3</v>
      </c>
      <c r="I14" s="10">
        <v>1250</v>
      </c>
      <c r="J14" s="10">
        <f t="shared" si="0"/>
        <v>1250</v>
      </c>
    </row>
    <row r="15" spans="7:10" x14ac:dyDescent="0.25">
      <c r="G15" s="8">
        <v>46030</v>
      </c>
      <c r="H15" s="9" t="s">
        <v>178</v>
      </c>
      <c r="I15" s="10">
        <v>-1250</v>
      </c>
      <c r="J15" s="10">
        <f t="shared" si="0"/>
        <v>0</v>
      </c>
    </row>
    <row r="16" spans="7:10" x14ac:dyDescent="0.25">
      <c r="G16" s="8">
        <v>46041</v>
      </c>
      <c r="H16" s="9" t="s">
        <v>3</v>
      </c>
      <c r="I16" s="10">
        <v>1740</v>
      </c>
      <c r="J16" s="10">
        <f t="shared" si="0"/>
        <v>1740</v>
      </c>
    </row>
    <row r="17" spans="7:10" x14ac:dyDescent="0.25">
      <c r="G17" s="8">
        <v>46041</v>
      </c>
      <c r="H17" s="9" t="s">
        <v>178</v>
      </c>
      <c r="I17" s="10">
        <v>-1740</v>
      </c>
      <c r="J17" s="10">
        <f t="shared" si="0"/>
        <v>0</v>
      </c>
    </row>
    <row r="18" spans="7:10" x14ac:dyDescent="0.25">
      <c r="G18" s="8">
        <v>46069</v>
      </c>
      <c r="H18" s="9" t="s">
        <v>3</v>
      </c>
      <c r="I18" s="10">
        <v>3770</v>
      </c>
      <c r="J18" s="10">
        <f t="shared" si="0"/>
        <v>3770</v>
      </c>
    </row>
    <row r="19" spans="7:10" x14ac:dyDescent="0.25">
      <c r="G19" s="8">
        <v>46069</v>
      </c>
      <c r="H19" s="9" t="s">
        <v>178</v>
      </c>
      <c r="I19" s="10">
        <v>-3770</v>
      </c>
      <c r="J19" s="10">
        <f t="shared" si="0"/>
        <v>0</v>
      </c>
    </row>
    <row r="20" spans="7:10" x14ac:dyDescent="0.25">
      <c r="G20" s="8">
        <v>46079</v>
      </c>
      <c r="H20" s="9" t="s">
        <v>3</v>
      </c>
      <c r="I20" s="10">
        <v>2040</v>
      </c>
      <c r="J20" s="10">
        <f t="shared" si="0"/>
        <v>2040</v>
      </c>
    </row>
    <row r="21" spans="7:10" x14ac:dyDescent="0.25">
      <c r="G21" s="8">
        <v>46079</v>
      </c>
      <c r="H21" s="9" t="s">
        <v>178</v>
      </c>
      <c r="I21" s="10">
        <v>-2040</v>
      </c>
      <c r="J21" s="10">
        <f t="shared" si="0"/>
        <v>0</v>
      </c>
    </row>
    <row r="22" spans="7:10" x14ac:dyDescent="0.25">
      <c r="G22" s="8">
        <v>46097</v>
      </c>
      <c r="H22" s="9" t="s">
        <v>3</v>
      </c>
      <c r="I22" s="10">
        <v>2180</v>
      </c>
      <c r="J22" s="10">
        <f t="shared" si="0"/>
        <v>2180</v>
      </c>
    </row>
    <row r="23" spans="7:10" x14ac:dyDescent="0.25">
      <c r="G23" s="8">
        <v>46097</v>
      </c>
      <c r="H23" s="9" t="s">
        <v>178</v>
      </c>
      <c r="I23" s="10">
        <v>-2180</v>
      </c>
      <c r="J23" s="10">
        <f t="shared" si="0"/>
        <v>0</v>
      </c>
    </row>
    <row r="24" spans="7:10" x14ac:dyDescent="0.25">
      <c r="G24" s="8">
        <v>46104</v>
      </c>
      <c r="H24" s="9" t="s">
        <v>3</v>
      </c>
      <c r="I24" s="10">
        <v>950</v>
      </c>
      <c r="J24" s="10">
        <f t="shared" si="0"/>
        <v>950</v>
      </c>
    </row>
    <row r="25" spans="7:10" x14ac:dyDescent="0.25">
      <c r="G25" s="8">
        <v>46104</v>
      </c>
      <c r="H25" s="9" t="s">
        <v>178</v>
      </c>
      <c r="I25" s="10">
        <v>-950</v>
      </c>
      <c r="J25" s="10">
        <f t="shared" si="0"/>
        <v>0</v>
      </c>
    </row>
    <row r="26" spans="7:10" x14ac:dyDescent="0.25">
      <c r="G26" s="8">
        <v>46121</v>
      </c>
      <c r="H26" s="9" t="s">
        <v>3</v>
      </c>
      <c r="I26" s="10">
        <v>630</v>
      </c>
      <c r="J26" s="10">
        <f t="shared" si="0"/>
        <v>630</v>
      </c>
    </row>
    <row r="27" spans="7:10" x14ac:dyDescent="0.25">
      <c r="G27" s="8">
        <v>46121</v>
      </c>
      <c r="H27" s="9" t="s">
        <v>178</v>
      </c>
      <c r="I27" s="10">
        <v>-630</v>
      </c>
      <c r="J27" s="10">
        <f t="shared" si="0"/>
        <v>0</v>
      </c>
    </row>
    <row r="28" spans="7:10" x14ac:dyDescent="0.25">
      <c r="G28" s="8">
        <v>46130</v>
      </c>
      <c r="H28" s="9" t="s">
        <v>3</v>
      </c>
      <c r="I28" s="10">
        <v>2110</v>
      </c>
      <c r="J28" s="10">
        <f t="shared" si="0"/>
        <v>2110</v>
      </c>
    </row>
    <row r="29" spans="7:10" x14ac:dyDescent="0.25">
      <c r="G29" s="8">
        <v>46132</v>
      </c>
      <c r="H29" s="9" t="s">
        <v>178</v>
      </c>
      <c r="I29" s="10">
        <v>-2110</v>
      </c>
      <c r="J29" s="10">
        <f t="shared" si="0"/>
        <v>0</v>
      </c>
    </row>
    <row r="30" spans="7:10" x14ac:dyDescent="0.25">
      <c r="G30" s="8">
        <v>46139</v>
      </c>
      <c r="H30" s="9" t="s">
        <v>3</v>
      </c>
      <c r="I30" s="10">
        <v>2020</v>
      </c>
      <c r="J30" s="10">
        <f t="shared" si="0"/>
        <v>2020</v>
      </c>
    </row>
    <row r="31" spans="7:10" ht="14.25" customHeight="1" x14ac:dyDescent="0.25">
      <c r="G31" s="8">
        <v>46139</v>
      </c>
      <c r="H31" s="9" t="s">
        <v>196</v>
      </c>
      <c r="I31" s="10">
        <v>-2020</v>
      </c>
      <c r="J31" s="10">
        <f t="shared" si="0"/>
        <v>0</v>
      </c>
    </row>
    <row r="32" spans="7:10" ht="14.25" customHeight="1" x14ac:dyDescent="0.25">
      <c r="G32" s="8">
        <v>46163</v>
      </c>
      <c r="H32" s="9" t="s">
        <v>3</v>
      </c>
      <c r="I32" s="10">
        <v>370</v>
      </c>
      <c r="J32" s="10">
        <f t="shared" si="0"/>
        <v>370</v>
      </c>
    </row>
    <row r="33" spans="7:10" ht="14.25" customHeight="1" x14ac:dyDescent="0.25">
      <c r="G33" s="8">
        <v>46163</v>
      </c>
      <c r="H33" s="9" t="s">
        <v>178</v>
      </c>
      <c r="I33" s="10">
        <v>-370</v>
      </c>
      <c r="J33" s="10">
        <f t="shared" si="0"/>
        <v>0</v>
      </c>
    </row>
    <row r="34" spans="7:10" ht="14.25" customHeight="1" x14ac:dyDescent="0.25">
      <c r="G34" s="8">
        <v>46177</v>
      </c>
      <c r="H34" s="9" t="s">
        <v>3</v>
      </c>
      <c r="I34" s="10">
        <v>3130</v>
      </c>
      <c r="J34" s="10">
        <f t="shared" si="0"/>
        <v>3130</v>
      </c>
    </row>
    <row r="35" spans="7:10" ht="14.25" customHeight="1" x14ac:dyDescent="0.25">
      <c r="G35" s="8">
        <v>46177</v>
      </c>
      <c r="H35" s="9" t="s">
        <v>178</v>
      </c>
      <c r="I35" s="10">
        <v>-3130</v>
      </c>
      <c r="J35" s="10">
        <f t="shared" si="0"/>
        <v>0</v>
      </c>
    </row>
    <row r="36" spans="7:10" ht="14.25" customHeight="1" x14ac:dyDescent="0.25">
      <c r="G36" s="8">
        <v>46181</v>
      </c>
      <c r="H36" s="9" t="s">
        <v>457</v>
      </c>
      <c r="I36" s="10">
        <v>950</v>
      </c>
      <c r="J36" s="10">
        <f t="shared" si="0"/>
        <v>950</v>
      </c>
    </row>
    <row r="37" spans="7:10" ht="14.25" customHeight="1" x14ac:dyDescent="0.25">
      <c r="G37" s="8">
        <v>46184</v>
      </c>
      <c r="H37" s="9" t="s">
        <v>178</v>
      </c>
      <c r="I37" s="10">
        <v>-950</v>
      </c>
      <c r="J37" s="10">
        <f t="shared" si="0"/>
        <v>0</v>
      </c>
    </row>
    <row r="38" spans="7:10" ht="14.25" customHeight="1" x14ac:dyDescent="0.25">
      <c r="G38" s="8">
        <v>46188</v>
      </c>
      <c r="H38" s="9" t="s">
        <v>3</v>
      </c>
      <c r="I38" s="10">
        <v>1050</v>
      </c>
      <c r="J38" s="10">
        <f t="shared" si="0"/>
        <v>1050</v>
      </c>
    </row>
    <row r="39" spans="7:10" ht="14.25" customHeight="1" x14ac:dyDescent="0.25">
      <c r="G39" s="8">
        <v>46188</v>
      </c>
      <c r="H39" s="9" t="s">
        <v>178</v>
      </c>
      <c r="I39" s="10">
        <v>-1050</v>
      </c>
      <c r="J39" s="10">
        <f t="shared" si="0"/>
        <v>0</v>
      </c>
    </row>
    <row r="40" spans="7:10" ht="14.25" customHeight="1" x14ac:dyDescent="0.25">
      <c r="G40" s="8">
        <v>46202</v>
      </c>
      <c r="H40" s="9" t="s">
        <v>3</v>
      </c>
      <c r="I40" s="10">
        <v>770</v>
      </c>
      <c r="J40" s="10">
        <f t="shared" si="0"/>
        <v>770</v>
      </c>
    </row>
    <row r="41" spans="7:10" ht="14.25" customHeight="1" x14ac:dyDescent="0.25">
      <c r="G41" s="8">
        <v>46202</v>
      </c>
      <c r="H41" s="9" t="s">
        <v>356</v>
      </c>
      <c r="I41" s="10">
        <v>-770</v>
      </c>
      <c r="J41" s="10">
        <f t="shared" si="0"/>
        <v>0</v>
      </c>
    </row>
    <row r="42" spans="7:10" ht="14.25" customHeight="1" x14ac:dyDescent="0.25">
      <c r="G42" s="8">
        <v>46205</v>
      </c>
      <c r="H42" s="9" t="s">
        <v>3</v>
      </c>
      <c r="I42" s="10">
        <v>1080</v>
      </c>
      <c r="J42" s="10">
        <f t="shared" si="0"/>
        <v>1080</v>
      </c>
    </row>
    <row r="43" spans="7:10" ht="14.25" customHeight="1" x14ac:dyDescent="0.25">
      <c r="G43" s="8">
        <v>46205</v>
      </c>
      <c r="H43" s="9" t="s">
        <v>178</v>
      </c>
      <c r="I43" s="10">
        <v>-1080</v>
      </c>
      <c r="J43" s="10">
        <f t="shared" si="0"/>
        <v>0</v>
      </c>
    </row>
    <row r="44" spans="7:10" ht="14.25" customHeight="1" x14ac:dyDescent="0.25">
      <c r="G44" s="8">
        <v>46261</v>
      </c>
      <c r="H44" s="9" t="s">
        <v>3</v>
      </c>
      <c r="I44" s="10">
        <v>940</v>
      </c>
      <c r="J44" s="10">
        <f t="shared" si="0"/>
        <v>940</v>
      </c>
    </row>
    <row r="45" spans="7:10" ht="14.25" customHeight="1" x14ac:dyDescent="0.25">
      <c r="G45" s="8">
        <v>46261</v>
      </c>
      <c r="H45" s="9" t="s">
        <v>178</v>
      </c>
      <c r="I45" s="10">
        <v>-940</v>
      </c>
      <c r="J45" s="10">
        <f t="shared" si="0"/>
        <v>0</v>
      </c>
    </row>
    <row r="46" spans="7:10" ht="14.25" customHeight="1" x14ac:dyDescent="0.25">
      <c r="G46" s="8">
        <v>46282</v>
      </c>
      <c r="H46" s="9" t="s">
        <v>3</v>
      </c>
      <c r="I46" s="10">
        <v>1250</v>
      </c>
      <c r="J46" s="10">
        <f t="shared" si="0"/>
        <v>1250</v>
      </c>
    </row>
    <row r="47" spans="7:10" ht="14.25" customHeight="1" x14ac:dyDescent="0.25">
      <c r="G47" s="8">
        <v>46282</v>
      </c>
      <c r="H47" s="9" t="s">
        <v>178</v>
      </c>
      <c r="I47" s="10">
        <v>-1250</v>
      </c>
      <c r="J47" s="10">
        <f t="shared" si="0"/>
        <v>0</v>
      </c>
    </row>
    <row r="48" spans="7:10" ht="14.25" customHeight="1" x14ac:dyDescent="0.25">
      <c r="G48" s="8">
        <v>46286</v>
      </c>
      <c r="H48" s="9" t="s">
        <v>3</v>
      </c>
      <c r="I48" s="10">
        <v>2650</v>
      </c>
      <c r="J48" s="10">
        <f t="shared" si="0"/>
        <v>2650</v>
      </c>
    </row>
    <row r="49" spans="7:10" ht="14.25" customHeight="1" x14ac:dyDescent="0.25">
      <c r="G49" s="8">
        <v>46286</v>
      </c>
      <c r="H49" s="9" t="s">
        <v>196</v>
      </c>
      <c r="I49" s="10">
        <v>-2650</v>
      </c>
      <c r="J49" s="10">
        <f t="shared" si="0"/>
        <v>0</v>
      </c>
    </row>
    <row r="50" spans="7:10" ht="14.25" customHeight="1" x14ac:dyDescent="0.25">
      <c r="G50" s="8"/>
      <c r="H50" s="9"/>
      <c r="I50" s="10"/>
      <c r="J50" s="10">
        <f t="shared" si="0"/>
        <v>0</v>
      </c>
    </row>
    <row r="51" spans="7:10" ht="14.25" customHeight="1" x14ac:dyDescent="0.25">
      <c r="G51" s="8"/>
      <c r="H51" s="9"/>
      <c r="I51" s="10"/>
      <c r="J51" s="10">
        <f t="shared" si="0"/>
        <v>0</v>
      </c>
    </row>
    <row r="52" spans="7:10" ht="14.25" customHeight="1" x14ac:dyDescent="0.25">
      <c r="G52" s="8"/>
      <c r="H52" s="9"/>
      <c r="I52" s="10"/>
      <c r="J52" s="10">
        <f t="shared" si="0"/>
        <v>0</v>
      </c>
    </row>
    <row r="53" spans="7:10" ht="14.25" customHeight="1" x14ac:dyDescent="0.25">
      <c r="G53" s="8"/>
      <c r="H53" s="9"/>
      <c r="I53" s="10"/>
      <c r="J53" s="10">
        <f t="shared" si="0"/>
        <v>0</v>
      </c>
    </row>
    <row r="54" spans="7:10" ht="14.25" customHeight="1" x14ac:dyDescent="0.25">
      <c r="G54" s="8"/>
      <c r="H54" s="9"/>
      <c r="I54" s="10"/>
      <c r="J54" s="10">
        <f t="shared" si="0"/>
        <v>0</v>
      </c>
    </row>
    <row r="55" spans="7:10" ht="14.25" customHeight="1" x14ac:dyDescent="0.25">
      <c r="G55" s="8"/>
      <c r="H55" s="9"/>
      <c r="I55" s="10"/>
      <c r="J55" s="10">
        <f t="shared" si="0"/>
        <v>0</v>
      </c>
    </row>
    <row r="56" spans="7:10" ht="14.25" customHeight="1" x14ac:dyDescent="0.25">
      <c r="G56" s="8"/>
      <c r="H56" s="9"/>
      <c r="I56" s="10"/>
      <c r="J56" s="10">
        <f t="shared" si="0"/>
        <v>0</v>
      </c>
    </row>
    <row r="57" spans="7:10" ht="14.25" customHeight="1" x14ac:dyDescent="0.25">
      <c r="G57" s="8"/>
      <c r="H57" s="9"/>
      <c r="I57" s="10"/>
      <c r="J57" s="10">
        <f t="shared" si="0"/>
        <v>0</v>
      </c>
    </row>
    <row r="58" spans="7:10" ht="14.25" customHeight="1" x14ac:dyDescent="0.25">
      <c r="G58" s="8"/>
      <c r="H58" s="9"/>
      <c r="I58" s="10"/>
      <c r="J58" s="10">
        <f t="shared" si="0"/>
        <v>0</v>
      </c>
    </row>
    <row r="59" spans="7:10" ht="14.25" customHeight="1" x14ac:dyDescent="0.25">
      <c r="G59" s="8"/>
      <c r="H59" s="9"/>
      <c r="I59" s="10"/>
      <c r="J59" s="10">
        <f t="shared" si="0"/>
        <v>0</v>
      </c>
    </row>
    <row r="60" spans="7:10" ht="14.25" customHeight="1" x14ac:dyDescent="0.25">
      <c r="G60" s="8"/>
      <c r="H60" s="9"/>
      <c r="I60" s="10"/>
      <c r="J60" s="10">
        <f t="shared" si="0"/>
        <v>0</v>
      </c>
    </row>
    <row r="61" spans="7:10" x14ac:dyDescent="0.25">
      <c r="G61" s="8"/>
      <c r="H61" s="9"/>
      <c r="I61" s="10"/>
      <c r="J61" s="10">
        <f t="shared" si="0"/>
        <v>0</v>
      </c>
    </row>
    <row r="62" spans="7:10" x14ac:dyDescent="0.25">
      <c r="G62" s="8"/>
      <c r="H62" s="9"/>
      <c r="I62" s="10"/>
      <c r="J62" s="10">
        <f t="shared" si="0"/>
        <v>0</v>
      </c>
    </row>
  </sheetData>
  <mergeCells count="1">
    <mergeCell ref="H5:J5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DD5EB-30B8-47AF-A4F1-D3166C24FCFD}">
  <dimension ref="G5:M77"/>
  <sheetViews>
    <sheetView topLeftCell="D55" workbookViewId="0">
      <selection activeCell="A107" sqref="A107"/>
    </sheetView>
  </sheetViews>
  <sheetFormatPr baseColWidth="10" defaultRowHeight="15" x14ac:dyDescent="0.25"/>
  <cols>
    <col min="7" max="7" width="16.42578125" customWidth="1"/>
    <col min="8" max="8" width="24.85546875" customWidth="1"/>
    <col min="9" max="9" width="15" customWidth="1"/>
    <col min="10" max="10" width="17.28515625" customWidth="1"/>
  </cols>
  <sheetData>
    <row r="5" spans="7:10" x14ac:dyDescent="0.25">
      <c r="G5" s="2" t="s">
        <v>1</v>
      </c>
      <c r="H5" s="96" t="s">
        <v>383</v>
      </c>
      <c r="I5" s="97"/>
      <c r="J5" s="97"/>
    </row>
    <row r="6" spans="7:10" x14ac:dyDescent="0.25">
      <c r="G6" s="3" t="s">
        <v>11</v>
      </c>
      <c r="H6" s="4" t="s">
        <v>210</v>
      </c>
      <c r="I6" s="4"/>
      <c r="J6" s="4"/>
    </row>
    <row r="7" spans="7:10" x14ac:dyDescent="0.25">
      <c r="H7" s="5"/>
      <c r="I7" s="6"/>
      <c r="J7" s="6"/>
    </row>
    <row r="8" spans="7:10" x14ac:dyDescent="0.25">
      <c r="G8" s="2" t="s">
        <v>2</v>
      </c>
      <c r="H8" s="2" t="s">
        <v>173</v>
      </c>
      <c r="I8" s="7" t="s">
        <v>4</v>
      </c>
      <c r="J8" s="7" t="s">
        <v>5</v>
      </c>
    </row>
    <row r="9" spans="7:10" x14ac:dyDescent="0.25">
      <c r="G9" s="8">
        <v>46111</v>
      </c>
      <c r="H9" s="9" t="s">
        <v>3</v>
      </c>
      <c r="I9" s="10">
        <v>1270</v>
      </c>
      <c r="J9" s="10">
        <f>I9</f>
        <v>1270</v>
      </c>
    </row>
    <row r="10" spans="7:10" x14ac:dyDescent="0.25">
      <c r="G10" s="8">
        <v>46111</v>
      </c>
      <c r="H10" s="9" t="s">
        <v>178</v>
      </c>
      <c r="I10" s="10">
        <v>-1270</v>
      </c>
      <c r="J10" s="10">
        <f t="shared" ref="J10:J76" si="0">J9+I10</f>
        <v>0</v>
      </c>
    </row>
    <row r="11" spans="7:10" x14ac:dyDescent="0.25">
      <c r="G11" s="8">
        <v>46121</v>
      </c>
      <c r="H11" s="9" t="s">
        <v>3</v>
      </c>
      <c r="I11" s="10">
        <v>360</v>
      </c>
      <c r="J11" s="10">
        <f t="shared" si="0"/>
        <v>360</v>
      </c>
    </row>
    <row r="12" spans="7:10" x14ac:dyDescent="0.25">
      <c r="G12" s="8">
        <v>46121</v>
      </c>
      <c r="H12" s="9" t="s">
        <v>178</v>
      </c>
      <c r="I12" s="10">
        <v>-360</v>
      </c>
      <c r="J12" s="10">
        <f t="shared" si="0"/>
        <v>0</v>
      </c>
    </row>
    <row r="13" spans="7:10" x14ac:dyDescent="0.25">
      <c r="G13" s="8">
        <v>46125</v>
      </c>
      <c r="H13" s="9" t="s">
        <v>3</v>
      </c>
      <c r="I13" s="10">
        <v>300</v>
      </c>
      <c r="J13" s="10">
        <f t="shared" si="0"/>
        <v>300</v>
      </c>
    </row>
    <row r="14" spans="7:10" x14ac:dyDescent="0.25">
      <c r="G14" s="8">
        <v>46125</v>
      </c>
      <c r="H14" s="9" t="s">
        <v>178</v>
      </c>
      <c r="I14" s="10">
        <v>-300</v>
      </c>
      <c r="J14" s="10">
        <f t="shared" si="0"/>
        <v>0</v>
      </c>
    </row>
    <row r="15" spans="7:10" x14ac:dyDescent="0.25">
      <c r="G15" s="8">
        <v>46128</v>
      </c>
      <c r="H15" s="9" t="s">
        <v>3</v>
      </c>
      <c r="I15" s="10">
        <v>980</v>
      </c>
      <c r="J15" s="10">
        <f t="shared" si="0"/>
        <v>980</v>
      </c>
    </row>
    <row r="16" spans="7:10" x14ac:dyDescent="0.25">
      <c r="G16" s="8">
        <v>46128</v>
      </c>
      <c r="H16" s="9" t="s">
        <v>178</v>
      </c>
      <c r="I16" s="10">
        <v>-980</v>
      </c>
      <c r="J16" s="10">
        <f t="shared" si="0"/>
        <v>0</v>
      </c>
    </row>
    <row r="17" spans="7:13" x14ac:dyDescent="0.25">
      <c r="G17" s="8">
        <v>46139</v>
      </c>
      <c r="H17" s="9" t="s">
        <v>3</v>
      </c>
      <c r="I17" s="10">
        <v>1060</v>
      </c>
      <c r="J17" s="10">
        <f t="shared" si="0"/>
        <v>1060</v>
      </c>
    </row>
    <row r="18" spans="7:13" x14ac:dyDescent="0.25">
      <c r="G18" s="8">
        <v>46139</v>
      </c>
      <c r="H18" s="9" t="s">
        <v>178</v>
      </c>
      <c r="I18" s="10">
        <v>-1060</v>
      </c>
      <c r="J18" s="10">
        <f t="shared" si="0"/>
        <v>0</v>
      </c>
    </row>
    <row r="19" spans="7:13" x14ac:dyDescent="0.25">
      <c r="G19" s="8">
        <v>46156</v>
      </c>
      <c r="H19" s="9" t="s">
        <v>3</v>
      </c>
      <c r="I19" s="10">
        <v>1410</v>
      </c>
      <c r="J19" s="10">
        <f t="shared" si="0"/>
        <v>1410</v>
      </c>
    </row>
    <row r="20" spans="7:13" x14ac:dyDescent="0.25">
      <c r="G20" s="8">
        <v>46156</v>
      </c>
      <c r="H20" s="9" t="s">
        <v>178</v>
      </c>
      <c r="I20" s="10">
        <v>-1410</v>
      </c>
      <c r="J20" s="10">
        <f t="shared" si="0"/>
        <v>0</v>
      </c>
    </row>
    <row r="21" spans="7:13" x14ac:dyDescent="0.25">
      <c r="G21" s="8">
        <v>46160</v>
      </c>
      <c r="H21" s="9" t="s">
        <v>3</v>
      </c>
      <c r="I21" s="10">
        <v>510</v>
      </c>
      <c r="J21" s="10">
        <f t="shared" si="0"/>
        <v>510</v>
      </c>
    </row>
    <row r="22" spans="7:13" x14ac:dyDescent="0.25">
      <c r="G22" s="8">
        <v>46160</v>
      </c>
      <c r="H22" s="9" t="s">
        <v>178</v>
      </c>
      <c r="I22" s="10">
        <v>-510</v>
      </c>
      <c r="J22" s="10">
        <f t="shared" si="0"/>
        <v>0</v>
      </c>
    </row>
    <row r="23" spans="7:13" x14ac:dyDescent="0.25">
      <c r="G23" s="8">
        <v>46202</v>
      </c>
      <c r="H23" s="9" t="s">
        <v>178</v>
      </c>
      <c r="I23" s="10">
        <v>-700</v>
      </c>
      <c r="J23" s="10">
        <f t="shared" si="0"/>
        <v>-700</v>
      </c>
    </row>
    <row r="24" spans="7:13" x14ac:dyDescent="0.25">
      <c r="G24" s="8">
        <v>46205</v>
      </c>
      <c r="H24" s="9" t="s">
        <v>3</v>
      </c>
      <c r="I24" s="10">
        <v>1570</v>
      </c>
      <c r="J24" s="10">
        <f t="shared" si="0"/>
        <v>870</v>
      </c>
    </row>
    <row r="25" spans="7:13" x14ac:dyDescent="0.25">
      <c r="G25" s="8">
        <v>46205</v>
      </c>
      <c r="H25" s="9" t="s">
        <v>178</v>
      </c>
      <c r="I25" s="10">
        <v>-1570</v>
      </c>
      <c r="J25" s="10">
        <f t="shared" si="0"/>
        <v>-700</v>
      </c>
    </row>
    <row r="26" spans="7:13" x14ac:dyDescent="0.25">
      <c r="G26" s="8">
        <v>46208</v>
      </c>
      <c r="H26" s="9" t="s">
        <v>3</v>
      </c>
      <c r="I26" s="10">
        <v>1260</v>
      </c>
      <c r="J26" s="10">
        <f t="shared" si="0"/>
        <v>560</v>
      </c>
    </row>
    <row r="27" spans="7:13" x14ac:dyDescent="0.25">
      <c r="G27" s="8">
        <v>46209</v>
      </c>
      <c r="H27" s="9" t="s">
        <v>3</v>
      </c>
      <c r="I27" s="10">
        <f>600+160+280+340+600+880+240+560+800</f>
        <v>4460</v>
      </c>
      <c r="J27" s="10">
        <f t="shared" si="0"/>
        <v>5020</v>
      </c>
    </row>
    <row r="28" spans="7:13" x14ac:dyDescent="0.25">
      <c r="G28" s="8">
        <v>46212</v>
      </c>
      <c r="H28" s="9" t="s">
        <v>3</v>
      </c>
      <c r="I28" s="10">
        <f>250+600+360+320+700+170+600+600</f>
        <v>3600</v>
      </c>
      <c r="J28" s="10">
        <f t="shared" si="0"/>
        <v>8620</v>
      </c>
    </row>
    <row r="29" spans="7:13" x14ac:dyDescent="0.25">
      <c r="G29" s="8">
        <v>46212</v>
      </c>
      <c r="H29" s="9" t="s">
        <v>178</v>
      </c>
      <c r="I29" s="10">
        <v>-5020</v>
      </c>
      <c r="J29" s="10">
        <f t="shared" si="0"/>
        <v>3600</v>
      </c>
      <c r="M29">
        <f>5020-3600</f>
        <v>1420</v>
      </c>
    </row>
    <row r="30" spans="7:13" x14ac:dyDescent="0.25">
      <c r="G30" s="8">
        <v>46216</v>
      </c>
      <c r="H30" s="9" t="s">
        <v>3</v>
      </c>
      <c r="I30" s="10">
        <v>2890</v>
      </c>
      <c r="J30" s="10">
        <f t="shared" si="0"/>
        <v>6490</v>
      </c>
    </row>
    <row r="31" spans="7:13" x14ac:dyDescent="0.25">
      <c r="G31" s="8">
        <v>46216</v>
      </c>
      <c r="H31" s="9" t="s">
        <v>178</v>
      </c>
      <c r="I31" s="10">
        <v>-3600</v>
      </c>
      <c r="J31" s="10">
        <f t="shared" si="0"/>
        <v>2890</v>
      </c>
    </row>
    <row r="32" spans="7:13" x14ac:dyDescent="0.25">
      <c r="G32" s="8">
        <v>46217</v>
      </c>
      <c r="H32" s="9" t="s">
        <v>3</v>
      </c>
      <c r="I32" s="10">
        <v>1970</v>
      </c>
      <c r="J32" s="10">
        <f t="shared" si="0"/>
        <v>4860</v>
      </c>
    </row>
    <row r="33" spans="7:10" x14ac:dyDescent="0.25">
      <c r="G33" s="8">
        <v>46219</v>
      </c>
      <c r="H33" s="9" t="s">
        <v>178</v>
      </c>
      <c r="I33" s="10">
        <v>-4000</v>
      </c>
      <c r="J33" s="10">
        <f t="shared" si="0"/>
        <v>860</v>
      </c>
    </row>
    <row r="34" spans="7:10" x14ac:dyDescent="0.25">
      <c r="G34" s="8">
        <v>46219</v>
      </c>
      <c r="H34" s="9" t="s">
        <v>3</v>
      </c>
      <c r="I34" s="10">
        <v>4700</v>
      </c>
      <c r="J34" s="10">
        <f t="shared" si="0"/>
        <v>5560</v>
      </c>
    </row>
    <row r="35" spans="7:10" x14ac:dyDescent="0.25">
      <c r="G35" s="8">
        <v>46220</v>
      </c>
      <c r="H35" s="9" t="s">
        <v>3</v>
      </c>
      <c r="I35" s="10">
        <v>1650</v>
      </c>
      <c r="J35" s="10">
        <f t="shared" si="0"/>
        <v>7210</v>
      </c>
    </row>
    <row r="36" spans="7:10" x14ac:dyDescent="0.25">
      <c r="G36" s="8">
        <v>46220</v>
      </c>
      <c r="H36" s="9" t="s">
        <v>127</v>
      </c>
      <c r="I36" s="10">
        <v>-1650</v>
      </c>
      <c r="J36" s="10">
        <f t="shared" si="0"/>
        <v>5560</v>
      </c>
    </row>
    <row r="37" spans="7:10" x14ac:dyDescent="0.25">
      <c r="G37" s="8">
        <v>46223</v>
      </c>
      <c r="H37" s="9" t="s">
        <v>178</v>
      </c>
      <c r="I37" s="10">
        <v>-5000</v>
      </c>
      <c r="J37" s="10">
        <f t="shared" si="0"/>
        <v>560</v>
      </c>
    </row>
    <row r="38" spans="7:10" x14ac:dyDescent="0.25">
      <c r="G38" s="8">
        <v>46223</v>
      </c>
      <c r="H38" s="9" t="s">
        <v>3</v>
      </c>
      <c r="I38" s="10">
        <v>3450</v>
      </c>
      <c r="J38" s="10">
        <f t="shared" si="0"/>
        <v>4010</v>
      </c>
    </row>
    <row r="39" spans="7:10" x14ac:dyDescent="0.25">
      <c r="G39" s="8">
        <v>46226</v>
      </c>
      <c r="H39" s="9" t="s">
        <v>3</v>
      </c>
      <c r="I39" s="10">
        <v>3810</v>
      </c>
      <c r="J39" s="10">
        <f t="shared" si="0"/>
        <v>7820</v>
      </c>
    </row>
    <row r="40" spans="7:10" x14ac:dyDescent="0.25">
      <c r="G40" s="8">
        <v>46226</v>
      </c>
      <c r="H40" s="9" t="s">
        <v>178</v>
      </c>
      <c r="I40" s="10">
        <v>-3500</v>
      </c>
      <c r="J40" s="10">
        <f t="shared" si="0"/>
        <v>4320</v>
      </c>
    </row>
    <row r="41" spans="7:10" x14ac:dyDescent="0.25">
      <c r="G41" s="8">
        <v>46230</v>
      </c>
      <c r="H41" s="9" t="s">
        <v>3</v>
      </c>
      <c r="I41" s="10">
        <v>2250</v>
      </c>
      <c r="J41" s="10">
        <f t="shared" si="0"/>
        <v>6570</v>
      </c>
    </row>
    <row r="42" spans="7:10" x14ac:dyDescent="0.25">
      <c r="G42" s="8">
        <v>46230</v>
      </c>
      <c r="H42" s="9" t="s">
        <v>178</v>
      </c>
      <c r="I42" s="10">
        <v>-4000</v>
      </c>
      <c r="J42" s="10">
        <f t="shared" si="0"/>
        <v>2570</v>
      </c>
    </row>
    <row r="43" spans="7:10" x14ac:dyDescent="0.25">
      <c r="G43" s="8">
        <v>46233</v>
      </c>
      <c r="H43" s="9" t="s">
        <v>535</v>
      </c>
      <c r="I43" s="10">
        <v>1541</v>
      </c>
      <c r="J43" s="10">
        <f t="shared" si="0"/>
        <v>4111</v>
      </c>
    </row>
    <row r="44" spans="7:10" x14ac:dyDescent="0.25">
      <c r="G44" s="8">
        <v>46233</v>
      </c>
      <c r="H44" s="9" t="s">
        <v>178</v>
      </c>
      <c r="I44" s="10">
        <v>-1541</v>
      </c>
      <c r="J44" s="10">
        <f t="shared" si="0"/>
        <v>2570</v>
      </c>
    </row>
    <row r="45" spans="7:10" x14ac:dyDescent="0.25">
      <c r="G45" s="8">
        <v>46233</v>
      </c>
      <c r="H45" s="9" t="s">
        <v>178</v>
      </c>
      <c r="I45" s="10">
        <v>-2570</v>
      </c>
      <c r="J45" s="10">
        <f t="shared" si="0"/>
        <v>0</v>
      </c>
    </row>
    <row r="46" spans="7:10" x14ac:dyDescent="0.25">
      <c r="G46" s="8">
        <v>46233</v>
      </c>
      <c r="H46" s="9" t="s">
        <v>3</v>
      </c>
      <c r="I46" s="10">
        <v>2490</v>
      </c>
      <c r="J46" s="10">
        <f t="shared" si="0"/>
        <v>2490</v>
      </c>
    </row>
    <row r="47" spans="7:10" x14ac:dyDescent="0.25">
      <c r="G47" s="8">
        <v>46237</v>
      </c>
      <c r="H47" s="9" t="s">
        <v>3</v>
      </c>
      <c r="I47" s="10">
        <v>4840</v>
      </c>
      <c r="J47" s="10">
        <f t="shared" si="0"/>
        <v>7330</v>
      </c>
    </row>
    <row r="48" spans="7:10" ht="14.25" customHeight="1" x14ac:dyDescent="0.25">
      <c r="G48" s="8">
        <v>46237</v>
      </c>
      <c r="H48" s="9" t="s">
        <v>178</v>
      </c>
      <c r="I48" s="10">
        <v>-2490</v>
      </c>
      <c r="J48" s="10">
        <f t="shared" si="0"/>
        <v>4840</v>
      </c>
    </row>
    <row r="49" spans="7:10" ht="14.25" customHeight="1" x14ac:dyDescent="0.25">
      <c r="G49" s="8">
        <v>46240</v>
      </c>
      <c r="H49" s="9" t="s">
        <v>3</v>
      </c>
      <c r="I49" s="10">
        <v>2260</v>
      </c>
      <c r="J49" s="10">
        <f t="shared" si="0"/>
        <v>7100</v>
      </c>
    </row>
    <row r="50" spans="7:10" ht="14.25" customHeight="1" x14ac:dyDescent="0.25">
      <c r="G50" s="8">
        <v>46244</v>
      </c>
      <c r="H50" s="9" t="s">
        <v>3</v>
      </c>
      <c r="I50" s="10">
        <v>940</v>
      </c>
      <c r="J50" s="10">
        <f t="shared" si="0"/>
        <v>8040</v>
      </c>
    </row>
    <row r="51" spans="7:10" ht="14.25" customHeight="1" x14ac:dyDescent="0.25">
      <c r="G51" s="8">
        <v>46244</v>
      </c>
      <c r="H51" s="9" t="s">
        <v>178</v>
      </c>
      <c r="I51" s="10">
        <v>-3340</v>
      </c>
      <c r="J51" s="10">
        <f t="shared" si="0"/>
        <v>4700</v>
      </c>
    </row>
    <row r="52" spans="7:10" ht="14.25" customHeight="1" x14ac:dyDescent="0.25">
      <c r="G52" s="13" t="s">
        <v>557</v>
      </c>
      <c r="H52" s="9" t="s">
        <v>3</v>
      </c>
      <c r="I52" s="10">
        <v>2750</v>
      </c>
      <c r="J52" s="10">
        <f t="shared" si="0"/>
        <v>7450</v>
      </c>
    </row>
    <row r="53" spans="7:10" ht="14.25" customHeight="1" x14ac:dyDescent="0.25">
      <c r="G53" s="8">
        <v>46251</v>
      </c>
      <c r="H53" s="9" t="s">
        <v>178</v>
      </c>
      <c r="I53" s="10">
        <v>-2750</v>
      </c>
      <c r="J53" s="10">
        <f t="shared" si="0"/>
        <v>4700</v>
      </c>
    </row>
    <row r="54" spans="7:10" ht="14.25" customHeight="1" x14ac:dyDescent="0.25">
      <c r="G54" s="8">
        <v>46261</v>
      </c>
      <c r="H54" s="9" t="s">
        <v>3</v>
      </c>
      <c r="I54" s="10">
        <v>910</v>
      </c>
      <c r="J54" s="10">
        <f t="shared" si="0"/>
        <v>5610</v>
      </c>
    </row>
    <row r="55" spans="7:10" x14ac:dyDescent="0.25">
      <c r="G55" s="8">
        <v>46261</v>
      </c>
      <c r="H55" s="9" t="s">
        <v>178</v>
      </c>
      <c r="I55" s="10">
        <v>-2500</v>
      </c>
      <c r="J55" s="10">
        <f t="shared" si="0"/>
        <v>3110</v>
      </c>
    </row>
    <row r="56" spans="7:10" x14ac:dyDescent="0.25">
      <c r="G56" s="8">
        <v>46265</v>
      </c>
      <c r="H56" s="9" t="s">
        <v>178</v>
      </c>
      <c r="I56" s="10">
        <v>-2000</v>
      </c>
      <c r="J56" s="10">
        <f t="shared" si="0"/>
        <v>1110</v>
      </c>
    </row>
    <row r="57" spans="7:10" x14ac:dyDescent="0.25">
      <c r="G57" s="8">
        <v>46268</v>
      </c>
      <c r="H57" s="9" t="s">
        <v>3</v>
      </c>
      <c r="I57" s="10">
        <v>1250</v>
      </c>
      <c r="J57" s="10">
        <f t="shared" si="0"/>
        <v>2360</v>
      </c>
    </row>
    <row r="58" spans="7:10" x14ac:dyDescent="0.25">
      <c r="G58" s="8">
        <v>46268</v>
      </c>
      <c r="H58" s="9" t="s">
        <v>178</v>
      </c>
      <c r="I58" s="10">
        <v>-2360</v>
      </c>
      <c r="J58" s="10">
        <f t="shared" si="0"/>
        <v>0</v>
      </c>
    </row>
    <row r="59" spans="7:10" x14ac:dyDescent="0.25">
      <c r="G59" s="8">
        <v>46272</v>
      </c>
      <c r="H59" s="9" t="s">
        <v>3</v>
      </c>
      <c r="I59" s="10">
        <v>1960</v>
      </c>
      <c r="J59" s="10">
        <f t="shared" si="0"/>
        <v>1960</v>
      </c>
    </row>
    <row r="60" spans="7:10" x14ac:dyDescent="0.25">
      <c r="G60" s="8">
        <v>46275</v>
      </c>
      <c r="H60" s="9" t="s">
        <v>3</v>
      </c>
      <c r="I60" s="10">
        <v>760</v>
      </c>
      <c r="J60" s="10">
        <f t="shared" si="0"/>
        <v>2720</v>
      </c>
    </row>
    <row r="61" spans="7:10" x14ac:dyDescent="0.25">
      <c r="G61" s="8">
        <v>46279</v>
      </c>
      <c r="H61" s="9" t="s">
        <v>3</v>
      </c>
      <c r="I61" s="10">
        <v>350</v>
      </c>
      <c r="J61" s="10">
        <f t="shared" si="0"/>
        <v>3070</v>
      </c>
    </row>
    <row r="62" spans="7:10" ht="19.5" customHeight="1" x14ac:dyDescent="0.25">
      <c r="G62" s="8">
        <v>46279</v>
      </c>
      <c r="H62" s="9" t="s">
        <v>178</v>
      </c>
      <c r="I62" s="10">
        <v>-2170</v>
      </c>
      <c r="J62" s="10">
        <f t="shared" si="0"/>
        <v>900</v>
      </c>
    </row>
    <row r="63" spans="7:10" ht="19.5" customHeight="1" x14ac:dyDescent="0.25">
      <c r="G63" s="8">
        <v>46289</v>
      </c>
      <c r="H63" s="9" t="s">
        <v>3</v>
      </c>
      <c r="I63" s="10">
        <v>1020</v>
      </c>
      <c r="J63" s="10">
        <f t="shared" si="0"/>
        <v>1920</v>
      </c>
    </row>
    <row r="64" spans="7:10" ht="19.5" customHeight="1" x14ac:dyDescent="0.25">
      <c r="G64" s="8">
        <v>46289</v>
      </c>
      <c r="H64" s="9" t="s">
        <v>178</v>
      </c>
      <c r="I64" s="10">
        <v>-1920</v>
      </c>
      <c r="J64" s="10">
        <f t="shared" si="0"/>
        <v>0</v>
      </c>
    </row>
    <row r="65" spans="7:10" ht="19.5" customHeight="1" x14ac:dyDescent="0.25">
      <c r="G65" s="8">
        <v>46293</v>
      </c>
      <c r="H65" s="9" t="s">
        <v>3</v>
      </c>
      <c r="I65" s="10">
        <v>7180</v>
      </c>
      <c r="J65" s="10">
        <f t="shared" si="0"/>
        <v>7180</v>
      </c>
    </row>
    <row r="66" spans="7:10" ht="19.5" customHeight="1" x14ac:dyDescent="0.25">
      <c r="G66" s="8">
        <v>46296</v>
      </c>
      <c r="H66" s="9" t="s">
        <v>3</v>
      </c>
      <c r="I66" s="10">
        <v>4530</v>
      </c>
      <c r="J66" s="10">
        <f t="shared" si="0"/>
        <v>11710</v>
      </c>
    </row>
    <row r="67" spans="7:10" ht="19.5" customHeight="1" x14ac:dyDescent="0.25">
      <c r="G67" s="8">
        <v>46296</v>
      </c>
      <c r="H67" s="9" t="s">
        <v>178</v>
      </c>
      <c r="I67" s="10">
        <v>-11710</v>
      </c>
      <c r="J67" s="10">
        <f t="shared" si="0"/>
        <v>0</v>
      </c>
    </row>
    <row r="68" spans="7:10" ht="19.5" customHeight="1" x14ac:dyDescent="0.25">
      <c r="G68" s="8">
        <v>46300</v>
      </c>
      <c r="H68" s="9" t="s">
        <v>3</v>
      </c>
      <c r="I68" s="10">
        <v>4140</v>
      </c>
      <c r="J68" s="10">
        <f t="shared" si="0"/>
        <v>4140</v>
      </c>
    </row>
    <row r="69" spans="7:10" ht="19.5" customHeight="1" x14ac:dyDescent="0.25">
      <c r="G69" s="8"/>
      <c r="H69" s="9"/>
      <c r="I69" s="10"/>
      <c r="J69" s="10">
        <f t="shared" si="0"/>
        <v>4140</v>
      </c>
    </row>
    <row r="70" spans="7:10" ht="19.5" customHeight="1" x14ac:dyDescent="0.25">
      <c r="G70" s="8"/>
      <c r="H70" s="9"/>
      <c r="I70" s="10"/>
      <c r="J70" s="10">
        <f t="shared" si="0"/>
        <v>4140</v>
      </c>
    </row>
    <row r="71" spans="7:10" ht="19.5" customHeight="1" x14ac:dyDescent="0.25">
      <c r="G71" s="8"/>
      <c r="H71" s="9"/>
      <c r="I71" s="10"/>
      <c r="J71" s="10">
        <f t="shared" si="0"/>
        <v>4140</v>
      </c>
    </row>
    <row r="72" spans="7:10" ht="19.5" customHeight="1" x14ac:dyDescent="0.25">
      <c r="G72" s="8"/>
      <c r="H72" s="9"/>
      <c r="I72" s="10"/>
      <c r="J72" s="10">
        <f t="shared" si="0"/>
        <v>4140</v>
      </c>
    </row>
    <row r="73" spans="7:10" x14ac:dyDescent="0.25">
      <c r="G73" s="8"/>
      <c r="H73" s="9"/>
      <c r="I73" s="10"/>
      <c r="J73" s="10">
        <f t="shared" si="0"/>
        <v>4140</v>
      </c>
    </row>
    <row r="74" spans="7:10" x14ac:dyDescent="0.25">
      <c r="G74" s="8"/>
      <c r="H74" s="9"/>
      <c r="I74" s="10"/>
      <c r="J74" s="10">
        <f t="shared" si="0"/>
        <v>4140</v>
      </c>
    </row>
    <row r="75" spans="7:10" x14ac:dyDescent="0.25">
      <c r="G75" s="8"/>
      <c r="H75" s="9"/>
      <c r="I75" s="10"/>
      <c r="J75" s="10">
        <f t="shared" si="0"/>
        <v>4140</v>
      </c>
    </row>
    <row r="76" spans="7:10" x14ac:dyDescent="0.25">
      <c r="G76" s="8"/>
      <c r="H76" s="9"/>
      <c r="I76" s="10"/>
      <c r="J76" s="10">
        <f t="shared" si="0"/>
        <v>4140</v>
      </c>
    </row>
    <row r="77" spans="7:10" x14ac:dyDescent="0.25">
      <c r="G77" s="8"/>
      <c r="H77" s="9"/>
      <c r="I77" s="10"/>
      <c r="J77" s="10"/>
    </row>
  </sheetData>
  <mergeCells count="1">
    <mergeCell ref="H5:J5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E8069-B8F8-4AF4-B7F8-F9E5194B8D62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129C7-F920-43E6-9BF0-244ABA65739D}">
  <sheetPr>
    <tabColor rgb="FFFF0000"/>
  </sheetPr>
  <dimension ref="C4:E40"/>
  <sheetViews>
    <sheetView workbookViewId="0">
      <selection activeCell="C4" sqref="C4"/>
    </sheetView>
  </sheetViews>
  <sheetFormatPr baseColWidth="10" defaultRowHeight="15" x14ac:dyDescent="0.25"/>
  <cols>
    <col min="3" max="3" width="14.5703125" customWidth="1"/>
    <col min="4" max="4" width="28.7109375" customWidth="1"/>
    <col min="5" max="5" width="17.140625" customWidth="1"/>
  </cols>
  <sheetData>
    <row r="4" spans="3:5" x14ac:dyDescent="0.25">
      <c r="C4" s="2"/>
      <c r="D4" s="99" t="s">
        <v>234</v>
      </c>
      <c r="E4" s="100"/>
    </row>
    <row r="5" spans="3:5" x14ac:dyDescent="0.25">
      <c r="C5" s="3" t="s">
        <v>235</v>
      </c>
      <c r="D5" s="4" t="s">
        <v>236</v>
      </c>
      <c r="E5" s="4"/>
    </row>
    <row r="6" spans="3:5" x14ac:dyDescent="0.25">
      <c r="D6" s="5"/>
      <c r="E6" s="6"/>
    </row>
    <row r="7" spans="3:5" x14ac:dyDescent="0.25">
      <c r="C7" s="2" t="s">
        <v>2</v>
      </c>
      <c r="D7" s="2" t="s">
        <v>237</v>
      </c>
      <c r="E7" s="7" t="s">
        <v>5</v>
      </c>
    </row>
    <row r="8" spans="3:5" x14ac:dyDescent="0.25">
      <c r="C8" s="8">
        <v>45670</v>
      </c>
      <c r="D8" s="9" t="s">
        <v>8</v>
      </c>
      <c r="E8" s="10"/>
    </row>
    <row r="9" spans="3:5" x14ac:dyDescent="0.25">
      <c r="C9" s="8"/>
      <c r="D9" s="9" t="s">
        <v>238</v>
      </c>
      <c r="E9" s="10"/>
    </row>
    <row r="10" spans="3:5" x14ac:dyDescent="0.25">
      <c r="C10" s="8"/>
      <c r="D10" s="9" t="s">
        <v>239</v>
      </c>
      <c r="E10" s="10"/>
    </row>
    <row r="11" spans="3:5" x14ac:dyDescent="0.25">
      <c r="C11" s="8"/>
      <c r="D11" s="9" t="s">
        <v>10</v>
      </c>
      <c r="E11" s="10"/>
    </row>
    <row r="12" spans="3:5" x14ac:dyDescent="0.25">
      <c r="C12" s="8"/>
      <c r="D12" s="9" t="s">
        <v>26</v>
      </c>
      <c r="E12" s="10"/>
    </row>
    <row r="13" spans="3:5" x14ac:dyDescent="0.25">
      <c r="C13" s="8"/>
      <c r="D13" s="9" t="s">
        <v>13</v>
      </c>
      <c r="E13" s="10"/>
    </row>
    <row r="14" spans="3:5" x14ac:dyDescent="0.25">
      <c r="C14" s="8"/>
      <c r="D14" s="9" t="s">
        <v>15</v>
      </c>
      <c r="E14" s="10"/>
    </row>
    <row r="15" spans="3:5" x14ac:dyDescent="0.25">
      <c r="C15" s="8"/>
      <c r="D15" s="9" t="s">
        <v>39</v>
      </c>
      <c r="E15" s="10"/>
    </row>
    <row r="16" spans="3:5" x14ac:dyDescent="0.25">
      <c r="C16" s="8"/>
      <c r="D16" s="9" t="s">
        <v>17</v>
      </c>
      <c r="E16" s="10"/>
    </row>
    <row r="17" spans="3:5" x14ac:dyDescent="0.25">
      <c r="C17" s="8"/>
      <c r="D17" s="9" t="s">
        <v>240</v>
      </c>
      <c r="E17" s="10"/>
    </row>
    <row r="18" spans="3:5" x14ac:dyDescent="0.25">
      <c r="C18" s="8"/>
      <c r="D18" s="9" t="s">
        <v>241</v>
      </c>
      <c r="E18" s="10"/>
    </row>
    <row r="19" spans="3:5" x14ac:dyDescent="0.25">
      <c r="C19" s="8"/>
      <c r="D19" s="9" t="s">
        <v>242</v>
      </c>
      <c r="E19" s="10"/>
    </row>
    <row r="20" spans="3:5" x14ac:dyDescent="0.25">
      <c r="C20" s="8"/>
      <c r="D20" s="9" t="s">
        <v>24</v>
      </c>
      <c r="E20" s="10"/>
    </row>
    <row r="21" spans="3:5" x14ac:dyDescent="0.25">
      <c r="C21" s="8"/>
      <c r="D21" s="9" t="s">
        <v>243</v>
      </c>
      <c r="E21" s="10"/>
    </row>
    <row r="22" spans="3:5" x14ac:dyDescent="0.25">
      <c r="C22" s="8"/>
      <c r="D22" s="9" t="s">
        <v>28</v>
      </c>
      <c r="E22" s="10"/>
    </row>
    <row r="23" spans="3:5" x14ac:dyDescent="0.25">
      <c r="C23" s="8"/>
      <c r="D23" s="9" t="s">
        <v>244</v>
      </c>
      <c r="E23" s="10"/>
    </row>
    <row r="24" spans="3:5" x14ac:dyDescent="0.25">
      <c r="C24" s="8"/>
      <c r="D24" s="9" t="s">
        <v>29</v>
      </c>
      <c r="E24" s="10"/>
    </row>
    <row r="25" spans="3:5" x14ac:dyDescent="0.25">
      <c r="C25" s="8"/>
      <c r="D25" s="9" t="s">
        <v>30</v>
      </c>
      <c r="E25" s="10"/>
    </row>
    <row r="26" spans="3:5" x14ac:dyDescent="0.25">
      <c r="C26" s="8"/>
      <c r="D26" s="9" t="s">
        <v>31</v>
      </c>
      <c r="E26" s="10"/>
    </row>
    <row r="27" spans="3:5" x14ac:dyDescent="0.25">
      <c r="C27" s="8"/>
      <c r="D27" s="9" t="s">
        <v>33</v>
      </c>
      <c r="E27" s="10"/>
    </row>
    <row r="28" spans="3:5" x14ac:dyDescent="0.25">
      <c r="C28" s="8"/>
      <c r="D28" s="9" t="s">
        <v>34</v>
      </c>
      <c r="E28" s="10"/>
    </row>
    <row r="29" spans="3:5" x14ac:dyDescent="0.25">
      <c r="C29" s="8"/>
      <c r="D29" s="9" t="s">
        <v>35</v>
      </c>
      <c r="E29" s="10"/>
    </row>
    <row r="30" spans="3:5" x14ac:dyDescent="0.25">
      <c r="C30" s="8"/>
      <c r="D30" s="9" t="s">
        <v>245</v>
      </c>
      <c r="E30" s="10"/>
    </row>
    <row r="31" spans="3:5" x14ac:dyDescent="0.25">
      <c r="C31" s="8"/>
      <c r="D31" s="9" t="s">
        <v>62</v>
      </c>
      <c r="E31" s="10"/>
    </row>
    <row r="32" spans="3:5" x14ac:dyDescent="0.25">
      <c r="C32" s="8"/>
      <c r="D32" s="9" t="s">
        <v>65</v>
      </c>
      <c r="E32" s="10"/>
    </row>
    <row r="33" spans="3:5" x14ac:dyDescent="0.25">
      <c r="C33" s="8"/>
      <c r="D33" s="9" t="s">
        <v>170</v>
      </c>
      <c r="E33" s="10"/>
    </row>
    <row r="34" spans="3:5" x14ac:dyDescent="0.25">
      <c r="C34" s="8"/>
      <c r="D34" s="9" t="s">
        <v>246</v>
      </c>
      <c r="E34" s="10"/>
    </row>
    <row r="35" spans="3:5" x14ac:dyDescent="0.25">
      <c r="C35" s="9"/>
      <c r="D35" s="9" t="s">
        <v>36</v>
      </c>
      <c r="E35" s="9"/>
    </row>
    <row r="36" spans="3:5" x14ac:dyDescent="0.25">
      <c r="C36" s="9"/>
      <c r="D36" s="9" t="s">
        <v>290</v>
      </c>
      <c r="E36" s="10"/>
    </row>
    <row r="37" spans="3:5" x14ac:dyDescent="0.25">
      <c r="C37" s="9"/>
      <c r="D37" s="9" t="s">
        <v>291</v>
      </c>
      <c r="E37" s="9"/>
    </row>
    <row r="38" spans="3:5" x14ac:dyDescent="0.25">
      <c r="C38" s="9"/>
      <c r="D38" s="9"/>
      <c r="E38" s="9"/>
    </row>
    <row r="39" spans="3:5" ht="31.5" customHeight="1" x14ac:dyDescent="0.25">
      <c r="C39" s="9"/>
      <c r="D39" s="28" t="s">
        <v>292</v>
      </c>
      <c r="E39" s="29">
        <f>SUM(E8:E38)</f>
        <v>0</v>
      </c>
    </row>
    <row r="40" spans="3:5" x14ac:dyDescent="0.25">
      <c r="C40" s="9"/>
      <c r="D40" s="9"/>
      <c r="E40" s="9"/>
    </row>
  </sheetData>
  <mergeCells count="1">
    <mergeCell ref="D4:E4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7F6FA-8AC0-4E4A-B8A9-7CF2F72E9224}">
  <dimension ref="B5:E33"/>
  <sheetViews>
    <sheetView workbookViewId="0">
      <selection activeCell="B13" sqref="B13"/>
    </sheetView>
  </sheetViews>
  <sheetFormatPr baseColWidth="10" defaultRowHeight="15" x14ac:dyDescent="0.25"/>
  <cols>
    <col min="2" max="2" width="16.42578125" customWidth="1"/>
    <col min="3" max="3" width="24.85546875" customWidth="1"/>
    <col min="4" max="4" width="15" customWidth="1"/>
    <col min="5" max="5" width="17.28515625" customWidth="1"/>
  </cols>
  <sheetData>
    <row r="5" spans="2:5" x14ac:dyDescent="0.25">
      <c r="B5" s="2" t="s">
        <v>1</v>
      </c>
      <c r="C5" s="96" t="s">
        <v>584</v>
      </c>
      <c r="D5" s="97"/>
      <c r="E5" s="97"/>
    </row>
    <row r="6" spans="2:5" x14ac:dyDescent="0.25">
      <c r="B6" s="3" t="s">
        <v>11</v>
      </c>
      <c r="C6" s="4" t="s">
        <v>18</v>
      </c>
      <c r="D6" s="4"/>
      <c r="E6" s="4"/>
    </row>
    <row r="7" spans="2:5" x14ac:dyDescent="0.25">
      <c r="C7" s="5"/>
      <c r="D7" s="6"/>
      <c r="E7" s="6"/>
    </row>
    <row r="8" spans="2:5" x14ac:dyDescent="0.25">
      <c r="B8" s="2" t="s">
        <v>2</v>
      </c>
      <c r="C8" s="2" t="s">
        <v>173</v>
      </c>
      <c r="D8" s="7" t="s">
        <v>4</v>
      </c>
      <c r="E8" s="7" t="s">
        <v>5</v>
      </c>
    </row>
    <row r="9" spans="2:5" x14ac:dyDescent="0.25">
      <c r="B9" s="8">
        <v>46277</v>
      </c>
      <c r="C9" s="9" t="s">
        <v>129</v>
      </c>
      <c r="D9" s="10">
        <v>2620</v>
      </c>
      <c r="E9" s="10">
        <f>D9</f>
        <v>2620</v>
      </c>
    </row>
    <row r="10" spans="2:5" x14ac:dyDescent="0.25">
      <c r="B10" s="8">
        <v>46282</v>
      </c>
      <c r="C10" s="9" t="s">
        <v>178</v>
      </c>
      <c r="D10" s="10">
        <v>-2620</v>
      </c>
      <c r="E10" s="10">
        <f t="shared" ref="E10:E16" si="0">D10</f>
        <v>-2620</v>
      </c>
    </row>
    <row r="11" spans="2:5" x14ac:dyDescent="0.25">
      <c r="B11" s="8">
        <v>46293</v>
      </c>
      <c r="C11" s="9" t="s">
        <v>3</v>
      </c>
      <c r="D11" s="9">
        <v>1300</v>
      </c>
      <c r="E11" s="10">
        <f t="shared" si="0"/>
        <v>1300</v>
      </c>
    </row>
    <row r="12" spans="2:5" x14ac:dyDescent="0.25">
      <c r="B12" s="8">
        <v>46293</v>
      </c>
      <c r="C12" s="9" t="s">
        <v>178</v>
      </c>
      <c r="D12" s="9">
        <v>-1300</v>
      </c>
      <c r="E12" s="10">
        <f t="shared" si="0"/>
        <v>-1300</v>
      </c>
    </row>
    <row r="13" spans="2:5" x14ac:dyDescent="0.25">
      <c r="B13" s="8"/>
      <c r="C13" s="9"/>
      <c r="D13" s="10"/>
      <c r="E13" s="10">
        <f t="shared" si="0"/>
        <v>0</v>
      </c>
    </row>
    <row r="14" spans="2:5" x14ac:dyDescent="0.25">
      <c r="B14" s="8"/>
      <c r="C14" s="9"/>
      <c r="D14" s="10"/>
      <c r="E14" s="10">
        <f t="shared" si="0"/>
        <v>0</v>
      </c>
    </row>
    <row r="15" spans="2:5" x14ac:dyDescent="0.25">
      <c r="B15" s="8"/>
      <c r="C15" s="9"/>
      <c r="D15" s="10"/>
      <c r="E15" s="10">
        <f t="shared" si="0"/>
        <v>0</v>
      </c>
    </row>
    <row r="16" spans="2:5" x14ac:dyDescent="0.25">
      <c r="B16" s="8"/>
      <c r="C16" s="9"/>
      <c r="D16" s="10"/>
      <c r="E16" s="10">
        <f t="shared" si="0"/>
        <v>0</v>
      </c>
    </row>
    <row r="17" spans="2:5" x14ac:dyDescent="0.25">
      <c r="B17" s="8"/>
      <c r="C17" s="9"/>
      <c r="D17" s="10"/>
      <c r="E17" s="10">
        <f t="shared" ref="E17:E33" si="1">E16+D17</f>
        <v>0</v>
      </c>
    </row>
    <row r="18" spans="2:5" x14ac:dyDescent="0.25">
      <c r="B18" s="8"/>
      <c r="C18" s="9"/>
      <c r="D18" s="10"/>
      <c r="E18" s="10">
        <f t="shared" si="1"/>
        <v>0</v>
      </c>
    </row>
    <row r="19" spans="2:5" x14ac:dyDescent="0.25">
      <c r="B19" s="8"/>
      <c r="C19" s="9"/>
      <c r="D19" s="10"/>
      <c r="E19" s="10">
        <f t="shared" si="1"/>
        <v>0</v>
      </c>
    </row>
    <row r="20" spans="2:5" x14ac:dyDescent="0.25">
      <c r="B20" s="8"/>
      <c r="C20" s="9"/>
      <c r="D20" s="10"/>
      <c r="E20" s="10">
        <f t="shared" si="1"/>
        <v>0</v>
      </c>
    </row>
    <row r="21" spans="2:5" x14ac:dyDescent="0.25">
      <c r="B21" s="8"/>
      <c r="C21" s="9"/>
      <c r="D21" s="10"/>
      <c r="E21" s="10">
        <f t="shared" si="1"/>
        <v>0</v>
      </c>
    </row>
    <row r="22" spans="2:5" x14ac:dyDescent="0.25">
      <c r="B22" s="8"/>
      <c r="C22" s="9"/>
      <c r="D22" s="10"/>
      <c r="E22" s="10">
        <f t="shared" si="1"/>
        <v>0</v>
      </c>
    </row>
    <row r="23" spans="2:5" x14ac:dyDescent="0.25">
      <c r="B23" s="8"/>
      <c r="C23" s="9"/>
      <c r="D23" s="10"/>
      <c r="E23" s="10">
        <f t="shared" si="1"/>
        <v>0</v>
      </c>
    </row>
    <row r="24" spans="2:5" x14ac:dyDescent="0.25">
      <c r="B24" s="8"/>
      <c r="C24" s="9"/>
      <c r="D24" s="10"/>
      <c r="E24" s="10">
        <f t="shared" si="1"/>
        <v>0</v>
      </c>
    </row>
    <row r="25" spans="2:5" x14ac:dyDescent="0.25">
      <c r="B25" s="8"/>
      <c r="C25" s="9"/>
      <c r="D25" s="10"/>
      <c r="E25" s="10">
        <f t="shared" si="1"/>
        <v>0</v>
      </c>
    </row>
    <row r="26" spans="2:5" x14ac:dyDescent="0.25">
      <c r="B26" s="8"/>
      <c r="C26" s="9"/>
      <c r="D26" s="10"/>
      <c r="E26" s="10">
        <f t="shared" si="1"/>
        <v>0</v>
      </c>
    </row>
    <row r="27" spans="2:5" x14ac:dyDescent="0.25">
      <c r="B27" s="8"/>
      <c r="C27" s="9"/>
      <c r="D27" s="10"/>
      <c r="E27" s="10">
        <f t="shared" si="1"/>
        <v>0</v>
      </c>
    </row>
    <row r="28" spans="2:5" x14ac:dyDescent="0.25">
      <c r="B28" s="8"/>
      <c r="C28" s="9"/>
      <c r="D28" s="10"/>
      <c r="E28" s="10">
        <f t="shared" si="1"/>
        <v>0</v>
      </c>
    </row>
    <row r="29" spans="2:5" x14ac:dyDescent="0.25">
      <c r="B29" s="8"/>
      <c r="C29" s="9"/>
      <c r="D29" s="10"/>
      <c r="E29" s="10">
        <f t="shared" si="1"/>
        <v>0</v>
      </c>
    </row>
    <row r="30" spans="2:5" x14ac:dyDescent="0.25">
      <c r="B30" s="8"/>
      <c r="C30" s="9"/>
      <c r="D30" s="10"/>
      <c r="E30" s="10">
        <f t="shared" si="1"/>
        <v>0</v>
      </c>
    </row>
    <row r="31" spans="2:5" x14ac:dyDescent="0.25">
      <c r="B31" s="8"/>
      <c r="C31" s="9"/>
      <c r="D31" s="10"/>
      <c r="E31" s="10">
        <f t="shared" si="1"/>
        <v>0</v>
      </c>
    </row>
    <row r="32" spans="2:5" x14ac:dyDescent="0.25">
      <c r="B32" s="8"/>
      <c r="C32" s="9"/>
      <c r="D32" s="10"/>
      <c r="E32" s="10">
        <f t="shared" si="1"/>
        <v>0</v>
      </c>
    </row>
    <row r="33" spans="2:5" x14ac:dyDescent="0.25">
      <c r="B33" s="8"/>
      <c r="C33" s="9"/>
      <c r="D33" s="10"/>
      <c r="E33" s="10">
        <f t="shared" si="1"/>
        <v>0</v>
      </c>
    </row>
  </sheetData>
  <mergeCells count="1">
    <mergeCell ref="C5:E5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BE2C6-EAD1-4E09-B0DE-105929A6E0C8}">
  <dimension ref="G5:K33"/>
  <sheetViews>
    <sheetView workbookViewId="0">
      <selection activeCell="P20" sqref="P20"/>
    </sheetView>
  </sheetViews>
  <sheetFormatPr baseColWidth="10" defaultRowHeight="15" x14ac:dyDescent="0.25"/>
  <cols>
    <col min="8" max="8" width="23" bestFit="1" customWidth="1"/>
  </cols>
  <sheetData>
    <row r="5" spans="7:11" x14ac:dyDescent="0.25">
      <c r="G5" s="2" t="s">
        <v>1</v>
      </c>
      <c r="H5" s="96" t="s">
        <v>617</v>
      </c>
      <c r="I5" s="97"/>
      <c r="J5" s="97"/>
    </row>
    <row r="6" spans="7:11" x14ac:dyDescent="0.25">
      <c r="G6" s="3" t="s">
        <v>11</v>
      </c>
      <c r="H6" s="4" t="s">
        <v>210</v>
      </c>
      <c r="I6" s="4"/>
      <c r="J6" s="4"/>
    </row>
    <row r="7" spans="7:11" x14ac:dyDescent="0.25">
      <c r="H7" s="5"/>
      <c r="I7" s="6"/>
      <c r="J7" s="6"/>
    </row>
    <row r="8" spans="7:11" x14ac:dyDescent="0.25">
      <c r="G8" s="2" t="s">
        <v>2</v>
      </c>
      <c r="H8" s="2" t="s">
        <v>173</v>
      </c>
      <c r="I8" s="7" t="s">
        <v>4</v>
      </c>
      <c r="J8" s="7" t="s">
        <v>5</v>
      </c>
    </row>
    <row r="9" spans="7:11" x14ac:dyDescent="0.25">
      <c r="G9" s="8">
        <v>46300</v>
      </c>
      <c r="H9" s="9" t="s">
        <v>3</v>
      </c>
      <c r="I9" s="10">
        <v>2590</v>
      </c>
      <c r="J9" s="10">
        <f>I9</f>
        <v>2590</v>
      </c>
      <c r="K9" t="s">
        <v>615</v>
      </c>
    </row>
    <row r="10" spans="7:11" x14ac:dyDescent="0.25">
      <c r="G10" s="8">
        <v>46300</v>
      </c>
      <c r="H10" s="9" t="s">
        <v>127</v>
      </c>
      <c r="I10" s="10">
        <v>-2590</v>
      </c>
      <c r="J10" s="10">
        <f t="shared" ref="J10:J33" si="0">I10</f>
        <v>-2590</v>
      </c>
    </row>
    <row r="11" spans="7:11" x14ac:dyDescent="0.25">
      <c r="G11" s="8"/>
      <c r="H11" s="9"/>
      <c r="I11" s="10">
        <v>0</v>
      </c>
      <c r="J11" s="10">
        <f t="shared" si="0"/>
        <v>0</v>
      </c>
    </row>
    <row r="12" spans="7:11" x14ac:dyDescent="0.25">
      <c r="G12" s="8"/>
      <c r="H12" s="9"/>
      <c r="I12" s="10">
        <v>0</v>
      </c>
      <c r="J12" s="10">
        <f t="shared" si="0"/>
        <v>0</v>
      </c>
    </row>
    <row r="13" spans="7:11" x14ac:dyDescent="0.25">
      <c r="G13" s="8"/>
      <c r="H13" s="9"/>
      <c r="I13" s="10">
        <v>0</v>
      </c>
      <c r="J13" s="10">
        <f t="shared" si="0"/>
        <v>0</v>
      </c>
    </row>
    <row r="14" spans="7:11" x14ac:dyDescent="0.25">
      <c r="G14" s="8"/>
      <c r="H14" s="9"/>
      <c r="I14" s="10">
        <v>0</v>
      </c>
      <c r="J14" s="10">
        <f t="shared" si="0"/>
        <v>0</v>
      </c>
    </row>
    <row r="15" spans="7:11" x14ac:dyDescent="0.25">
      <c r="G15" s="8"/>
      <c r="H15" s="9"/>
      <c r="I15" s="10">
        <v>0</v>
      </c>
      <c r="J15" s="10">
        <f t="shared" si="0"/>
        <v>0</v>
      </c>
    </row>
    <row r="16" spans="7:11" x14ac:dyDescent="0.25">
      <c r="G16" s="8"/>
      <c r="H16" s="9"/>
      <c r="I16" s="10">
        <v>0</v>
      </c>
      <c r="J16" s="10">
        <f t="shared" si="0"/>
        <v>0</v>
      </c>
    </row>
    <row r="17" spans="7:10" x14ac:dyDescent="0.25">
      <c r="G17" s="8"/>
      <c r="H17" s="9"/>
      <c r="I17" s="10">
        <v>0</v>
      </c>
      <c r="J17" s="10">
        <f t="shared" si="0"/>
        <v>0</v>
      </c>
    </row>
    <row r="18" spans="7:10" x14ac:dyDescent="0.25">
      <c r="G18" s="8"/>
      <c r="H18" s="9"/>
      <c r="I18" s="10">
        <v>0</v>
      </c>
      <c r="J18" s="10">
        <f t="shared" si="0"/>
        <v>0</v>
      </c>
    </row>
    <row r="19" spans="7:10" x14ac:dyDescent="0.25">
      <c r="G19" s="8"/>
      <c r="H19" s="9"/>
      <c r="I19" s="10">
        <v>0</v>
      </c>
      <c r="J19" s="10">
        <f t="shared" si="0"/>
        <v>0</v>
      </c>
    </row>
    <row r="20" spans="7:10" x14ac:dyDescent="0.25">
      <c r="G20" s="8"/>
      <c r="H20" s="9"/>
      <c r="I20" s="10">
        <v>0</v>
      </c>
      <c r="J20" s="10">
        <f t="shared" si="0"/>
        <v>0</v>
      </c>
    </row>
    <row r="21" spans="7:10" x14ac:dyDescent="0.25">
      <c r="G21" s="8"/>
      <c r="H21" s="9"/>
      <c r="I21" s="10">
        <v>0</v>
      </c>
      <c r="J21" s="10">
        <f t="shared" si="0"/>
        <v>0</v>
      </c>
    </row>
    <row r="22" spans="7:10" x14ac:dyDescent="0.25">
      <c r="G22" s="8"/>
      <c r="H22" s="9"/>
      <c r="I22" s="10">
        <v>0</v>
      </c>
      <c r="J22" s="10">
        <f t="shared" si="0"/>
        <v>0</v>
      </c>
    </row>
    <row r="23" spans="7:10" x14ac:dyDescent="0.25">
      <c r="G23" s="8"/>
      <c r="H23" s="9"/>
      <c r="I23" s="10">
        <v>0</v>
      </c>
      <c r="J23" s="10">
        <f t="shared" si="0"/>
        <v>0</v>
      </c>
    </row>
    <row r="24" spans="7:10" x14ac:dyDescent="0.25">
      <c r="G24" s="8"/>
      <c r="H24" s="9"/>
      <c r="I24" s="10">
        <v>0</v>
      </c>
      <c r="J24" s="10">
        <f t="shared" si="0"/>
        <v>0</v>
      </c>
    </row>
    <row r="25" spans="7:10" x14ac:dyDescent="0.25">
      <c r="G25" s="8"/>
      <c r="H25" s="9"/>
      <c r="I25" s="10">
        <v>0</v>
      </c>
      <c r="J25" s="10">
        <f t="shared" si="0"/>
        <v>0</v>
      </c>
    </row>
    <row r="26" spans="7:10" x14ac:dyDescent="0.25">
      <c r="G26" s="8"/>
      <c r="H26" s="9"/>
      <c r="I26" s="10">
        <v>0</v>
      </c>
      <c r="J26" s="10">
        <f t="shared" si="0"/>
        <v>0</v>
      </c>
    </row>
    <row r="27" spans="7:10" x14ac:dyDescent="0.25">
      <c r="G27" s="8"/>
      <c r="H27" s="9"/>
      <c r="I27" s="10">
        <v>0</v>
      </c>
      <c r="J27" s="10">
        <f t="shared" si="0"/>
        <v>0</v>
      </c>
    </row>
    <row r="28" spans="7:10" x14ac:dyDescent="0.25">
      <c r="G28" s="8"/>
      <c r="H28" s="9"/>
      <c r="I28" s="10">
        <v>0</v>
      </c>
      <c r="J28" s="10">
        <f t="shared" si="0"/>
        <v>0</v>
      </c>
    </row>
    <row r="29" spans="7:10" x14ac:dyDescent="0.25">
      <c r="G29" s="8"/>
      <c r="H29" s="9"/>
      <c r="I29" s="10">
        <v>0</v>
      </c>
      <c r="J29" s="10">
        <f t="shared" si="0"/>
        <v>0</v>
      </c>
    </row>
    <row r="30" spans="7:10" x14ac:dyDescent="0.25">
      <c r="G30" s="8"/>
      <c r="H30" s="9"/>
      <c r="I30" s="10">
        <v>0</v>
      </c>
      <c r="J30" s="10">
        <f t="shared" si="0"/>
        <v>0</v>
      </c>
    </row>
    <row r="31" spans="7:10" x14ac:dyDescent="0.25">
      <c r="G31" s="8"/>
      <c r="H31" s="9"/>
      <c r="I31" s="10">
        <v>0</v>
      </c>
      <c r="J31" s="10">
        <f t="shared" si="0"/>
        <v>0</v>
      </c>
    </row>
    <row r="32" spans="7:10" x14ac:dyDescent="0.25">
      <c r="G32" s="8"/>
      <c r="H32" s="9"/>
      <c r="I32" s="10">
        <v>0</v>
      </c>
      <c r="J32" s="10">
        <f t="shared" si="0"/>
        <v>0</v>
      </c>
    </row>
    <row r="33" spans="7:10" x14ac:dyDescent="0.25">
      <c r="G33" s="8"/>
      <c r="H33" s="9"/>
      <c r="I33" s="10">
        <v>0</v>
      </c>
      <c r="J33" s="10">
        <f t="shared" si="0"/>
        <v>0</v>
      </c>
    </row>
  </sheetData>
  <mergeCells count="1">
    <mergeCell ref="H5:J5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E41D7-D12F-42FF-91D2-C53DC014D811}">
  <dimension ref="C2:G12"/>
  <sheetViews>
    <sheetView workbookViewId="0">
      <selection activeCell="I18" sqref="I18"/>
    </sheetView>
  </sheetViews>
  <sheetFormatPr baseColWidth="10" defaultRowHeight="15" x14ac:dyDescent="0.25"/>
  <cols>
    <col min="3" max="3" width="14.140625" customWidth="1"/>
    <col min="4" max="4" width="26.7109375" customWidth="1"/>
  </cols>
  <sheetData>
    <row r="2" spans="3:7" x14ac:dyDescent="0.25">
      <c r="C2" s="2" t="s">
        <v>1</v>
      </c>
      <c r="D2" s="96" t="s">
        <v>618</v>
      </c>
      <c r="E2" s="97"/>
      <c r="F2" s="97"/>
    </row>
    <row r="3" spans="3:7" x14ac:dyDescent="0.25">
      <c r="C3" s="3" t="s">
        <v>11</v>
      </c>
      <c r="D3" s="4" t="s">
        <v>619</v>
      </c>
      <c r="E3" s="4"/>
      <c r="F3" s="4"/>
    </row>
    <row r="4" spans="3:7" x14ac:dyDescent="0.25">
      <c r="D4" s="5"/>
      <c r="E4" s="6"/>
      <c r="F4" s="6"/>
    </row>
    <row r="5" spans="3:7" x14ac:dyDescent="0.25">
      <c r="C5" s="2" t="s">
        <v>2</v>
      </c>
      <c r="D5" s="2" t="s">
        <v>173</v>
      </c>
      <c r="E5" s="7" t="s">
        <v>4</v>
      </c>
      <c r="F5" s="7" t="s">
        <v>5</v>
      </c>
      <c r="G5" t="s">
        <v>614</v>
      </c>
    </row>
    <row r="6" spans="3:7" x14ac:dyDescent="0.25">
      <c r="C6" s="8">
        <v>46300</v>
      </c>
      <c r="D6" s="9" t="s">
        <v>3</v>
      </c>
      <c r="E6" s="10">
        <v>2100</v>
      </c>
      <c r="F6" s="10">
        <f>E6</f>
        <v>2100</v>
      </c>
    </row>
    <row r="7" spans="3:7" x14ac:dyDescent="0.25">
      <c r="C7" s="8">
        <v>46300</v>
      </c>
      <c r="D7" s="9" t="s">
        <v>273</v>
      </c>
      <c r="E7" s="10">
        <v>-2100</v>
      </c>
      <c r="F7" s="10">
        <f t="shared" ref="F7:F12" si="0">E7</f>
        <v>-2100</v>
      </c>
    </row>
    <row r="8" spans="3:7" x14ac:dyDescent="0.25">
      <c r="C8" s="8"/>
      <c r="D8" s="9"/>
      <c r="E8" s="10">
        <v>0</v>
      </c>
      <c r="F8" s="10">
        <f t="shared" si="0"/>
        <v>0</v>
      </c>
    </row>
    <row r="9" spans="3:7" x14ac:dyDescent="0.25">
      <c r="C9" s="8"/>
      <c r="D9" s="9"/>
      <c r="E9" s="10">
        <v>0</v>
      </c>
      <c r="F9" s="10">
        <f t="shared" si="0"/>
        <v>0</v>
      </c>
    </row>
    <row r="10" spans="3:7" x14ac:dyDescent="0.25">
      <c r="C10" s="8"/>
      <c r="D10" s="9"/>
      <c r="E10" s="10">
        <v>0</v>
      </c>
      <c r="F10" s="10">
        <f t="shared" si="0"/>
        <v>0</v>
      </c>
    </row>
    <row r="11" spans="3:7" x14ac:dyDescent="0.25">
      <c r="C11" s="8"/>
      <c r="D11" s="9"/>
      <c r="E11" s="10">
        <v>0</v>
      </c>
      <c r="F11" s="10">
        <f t="shared" si="0"/>
        <v>0</v>
      </c>
    </row>
    <row r="12" spans="3:7" x14ac:dyDescent="0.25">
      <c r="C12" s="8"/>
      <c r="D12" s="9"/>
      <c r="E12" s="10">
        <v>0</v>
      </c>
      <c r="F12" s="10">
        <f t="shared" si="0"/>
        <v>0</v>
      </c>
    </row>
  </sheetData>
  <mergeCells count="1">
    <mergeCell ref="D2:F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E70A9-F21B-454B-B344-914B56153E3D}">
  <dimension ref="F7:O35"/>
  <sheetViews>
    <sheetView topLeftCell="A10" workbookViewId="0">
      <selection activeCell="L33" sqref="L33"/>
    </sheetView>
  </sheetViews>
  <sheetFormatPr baseColWidth="10" defaultRowHeight="15" x14ac:dyDescent="0.25"/>
  <cols>
    <col min="6" max="6" width="18.5703125" customWidth="1"/>
    <col min="7" max="7" width="23" bestFit="1" customWidth="1"/>
    <col min="8" max="8" width="16.28515625" customWidth="1"/>
    <col min="9" max="9" width="15.42578125" customWidth="1"/>
  </cols>
  <sheetData>
    <row r="7" spans="6:15" x14ac:dyDescent="0.25">
      <c r="F7" s="2" t="s">
        <v>1</v>
      </c>
      <c r="G7" s="96" t="s">
        <v>536</v>
      </c>
      <c r="H7" s="97"/>
      <c r="I7" s="97"/>
    </row>
    <row r="8" spans="6:15" x14ac:dyDescent="0.25">
      <c r="F8" s="3" t="s">
        <v>11</v>
      </c>
      <c r="G8" s="4" t="s">
        <v>183</v>
      </c>
      <c r="H8" s="4"/>
      <c r="I8" s="4"/>
    </row>
    <row r="9" spans="6:15" x14ac:dyDescent="0.25">
      <c r="G9" s="5"/>
      <c r="H9" s="6"/>
      <c r="I9" s="6"/>
    </row>
    <row r="10" spans="6:15" x14ac:dyDescent="0.25">
      <c r="F10" s="2" t="s">
        <v>2</v>
      </c>
      <c r="G10" s="2" t="s">
        <v>173</v>
      </c>
      <c r="H10" s="7" t="s">
        <v>4</v>
      </c>
      <c r="I10" s="7" t="s">
        <v>5</v>
      </c>
    </row>
    <row r="11" spans="6:15" x14ac:dyDescent="0.25">
      <c r="F11" s="8">
        <v>46233</v>
      </c>
      <c r="G11" s="9" t="s">
        <v>97</v>
      </c>
      <c r="H11" s="10">
        <v>1670</v>
      </c>
      <c r="I11" s="10">
        <f>H11</f>
        <v>1670</v>
      </c>
    </row>
    <row r="12" spans="6:15" x14ac:dyDescent="0.25">
      <c r="F12" s="8">
        <v>46233</v>
      </c>
      <c r="G12" s="9" t="s">
        <v>178</v>
      </c>
      <c r="H12" s="10">
        <v>-1670</v>
      </c>
      <c r="I12" s="10">
        <f t="shared" ref="I12:I35" si="0">H12</f>
        <v>-1670</v>
      </c>
      <c r="O12">
        <v>2360</v>
      </c>
    </row>
    <row r="13" spans="6:15" x14ac:dyDescent="0.25">
      <c r="F13" s="8">
        <v>46237</v>
      </c>
      <c r="G13" s="9" t="s">
        <v>459</v>
      </c>
      <c r="H13" s="10">
        <v>1730</v>
      </c>
      <c r="I13" s="10">
        <f t="shared" si="0"/>
        <v>1730</v>
      </c>
      <c r="O13">
        <v>1500</v>
      </c>
    </row>
    <row r="14" spans="6:15" x14ac:dyDescent="0.25">
      <c r="F14" s="8">
        <v>46237</v>
      </c>
      <c r="G14" s="9" t="s">
        <v>178</v>
      </c>
      <c r="H14" s="10">
        <v>-1730</v>
      </c>
      <c r="I14" s="10">
        <f t="shared" si="0"/>
        <v>-1730</v>
      </c>
      <c r="O14">
        <v>6550</v>
      </c>
    </row>
    <row r="15" spans="6:15" x14ac:dyDescent="0.25">
      <c r="F15" s="8">
        <v>46244</v>
      </c>
      <c r="G15" s="9" t="s">
        <v>97</v>
      </c>
      <c r="H15" s="10">
        <v>1940</v>
      </c>
      <c r="I15" s="10">
        <f t="shared" si="0"/>
        <v>1940</v>
      </c>
      <c r="O15">
        <v>820</v>
      </c>
    </row>
    <row r="16" spans="6:15" x14ac:dyDescent="0.25">
      <c r="F16" s="8">
        <v>46254</v>
      </c>
      <c r="G16" s="9" t="s">
        <v>97</v>
      </c>
      <c r="H16" s="10">
        <v>1120</v>
      </c>
      <c r="I16" s="10">
        <f t="shared" si="0"/>
        <v>1120</v>
      </c>
      <c r="O16">
        <v>4020</v>
      </c>
    </row>
    <row r="17" spans="6:15" x14ac:dyDescent="0.25">
      <c r="F17" s="8">
        <v>46254</v>
      </c>
      <c r="G17" s="9" t="s">
        <v>178</v>
      </c>
      <c r="H17" s="10">
        <v>-1120</v>
      </c>
      <c r="I17" s="10">
        <f t="shared" si="0"/>
        <v>-1120</v>
      </c>
      <c r="O17">
        <v>29360</v>
      </c>
    </row>
    <row r="18" spans="6:15" x14ac:dyDescent="0.25">
      <c r="F18" s="8">
        <v>46261</v>
      </c>
      <c r="G18" s="9" t="s">
        <v>97</v>
      </c>
      <c r="H18" s="10">
        <v>1730</v>
      </c>
      <c r="I18" s="10">
        <f t="shared" si="0"/>
        <v>1730</v>
      </c>
      <c r="O18">
        <v>5500</v>
      </c>
    </row>
    <row r="19" spans="6:15" x14ac:dyDescent="0.25">
      <c r="F19" s="8">
        <v>46261</v>
      </c>
      <c r="G19" s="9" t="s">
        <v>178</v>
      </c>
      <c r="H19" s="10">
        <v>-1730</v>
      </c>
      <c r="I19" s="10">
        <f t="shared" si="0"/>
        <v>-1730</v>
      </c>
      <c r="O19">
        <v>5000</v>
      </c>
    </row>
    <row r="20" spans="6:15" x14ac:dyDescent="0.25">
      <c r="F20" s="8">
        <v>46265</v>
      </c>
      <c r="G20" s="9" t="s">
        <v>97</v>
      </c>
      <c r="H20" s="10">
        <v>770</v>
      </c>
      <c r="I20" s="10">
        <f t="shared" si="0"/>
        <v>770</v>
      </c>
      <c r="O20">
        <v>2000</v>
      </c>
    </row>
    <row r="21" spans="6:15" x14ac:dyDescent="0.25">
      <c r="F21" s="8">
        <v>46265</v>
      </c>
      <c r="G21" s="9" t="s">
        <v>178</v>
      </c>
      <c r="H21" s="10">
        <v>-770</v>
      </c>
      <c r="I21" s="10">
        <f t="shared" si="0"/>
        <v>-770</v>
      </c>
      <c r="O21">
        <v>1190</v>
      </c>
    </row>
    <row r="22" spans="6:15" x14ac:dyDescent="0.25">
      <c r="F22" s="8">
        <v>46275</v>
      </c>
      <c r="G22" s="9" t="s">
        <v>97</v>
      </c>
      <c r="H22" s="10">
        <v>1070</v>
      </c>
      <c r="I22" s="10">
        <f t="shared" si="0"/>
        <v>1070</v>
      </c>
      <c r="O22">
        <v>2000</v>
      </c>
    </row>
    <row r="23" spans="6:15" x14ac:dyDescent="0.25">
      <c r="F23" s="8">
        <v>46275</v>
      </c>
      <c r="G23" s="9" t="s">
        <v>178</v>
      </c>
      <c r="H23" s="10">
        <v>-1070</v>
      </c>
      <c r="I23" s="10">
        <f t="shared" si="0"/>
        <v>-1070</v>
      </c>
      <c r="O23">
        <v>870</v>
      </c>
    </row>
    <row r="24" spans="6:15" x14ac:dyDescent="0.25">
      <c r="F24" s="8">
        <v>46289</v>
      </c>
      <c r="G24" s="9" t="s">
        <v>97</v>
      </c>
      <c r="H24" s="10">
        <v>1250</v>
      </c>
      <c r="I24" s="10">
        <f t="shared" si="0"/>
        <v>1250</v>
      </c>
      <c r="O24">
        <v>4500</v>
      </c>
    </row>
    <row r="25" spans="6:15" x14ac:dyDescent="0.25">
      <c r="F25" s="8">
        <v>46289</v>
      </c>
      <c r="G25" s="9" t="s">
        <v>178</v>
      </c>
      <c r="H25" s="10">
        <v>-1250</v>
      </c>
      <c r="I25" s="10">
        <f t="shared" si="0"/>
        <v>-1250</v>
      </c>
      <c r="O25">
        <v>1400</v>
      </c>
    </row>
    <row r="26" spans="6:15" x14ac:dyDescent="0.25">
      <c r="F26" s="8">
        <v>46293</v>
      </c>
      <c r="G26" s="9" t="s">
        <v>97</v>
      </c>
      <c r="H26" s="10">
        <v>900</v>
      </c>
      <c r="I26" s="10">
        <f t="shared" si="0"/>
        <v>900</v>
      </c>
      <c r="O26">
        <v>2590</v>
      </c>
    </row>
    <row r="27" spans="6:15" x14ac:dyDescent="0.25">
      <c r="F27" s="8">
        <v>46293</v>
      </c>
      <c r="G27" s="9" t="s">
        <v>196</v>
      </c>
      <c r="H27" s="10">
        <v>-900</v>
      </c>
      <c r="I27" s="10">
        <f t="shared" si="0"/>
        <v>-900</v>
      </c>
      <c r="O27">
        <v>1050</v>
      </c>
    </row>
    <row r="28" spans="6:15" x14ac:dyDescent="0.25">
      <c r="F28" s="8">
        <v>46300</v>
      </c>
      <c r="G28" s="9" t="s">
        <v>97</v>
      </c>
      <c r="H28" s="10">
        <v>1050</v>
      </c>
      <c r="I28" s="10">
        <f t="shared" si="0"/>
        <v>1050</v>
      </c>
      <c r="O28">
        <v>2100</v>
      </c>
    </row>
    <row r="29" spans="6:15" x14ac:dyDescent="0.25">
      <c r="F29" s="8">
        <v>46300</v>
      </c>
      <c r="G29" s="9" t="s">
        <v>178</v>
      </c>
      <c r="H29" s="10">
        <v>-1050</v>
      </c>
      <c r="I29" s="10">
        <f t="shared" si="0"/>
        <v>-1050</v>
      </c>
      <c r="O29">
        <f>SUM(O12:O28)</f>
        <v>72810</v>
      </c>
    </row>
    <row r="30" spans="6:15" x14ac:dyDescent="0.25">
      <c r="F30" s="8"/>
      <c r="G30" s="9"/>
      <c r="H30" s="10"/>
      <c r="I30" s="10">
        <f t="shared" si="0"/>
        <v>0</v>
      </c>
    </row>
    <row r="31" spans="6:15" x14ac:dyDescent="0.25">
      <c r="F31" s="8"/>
      <c r="G31" s="9"/>
      <c r="H31" s="10"/>
      <c r="I31" s="10">
        <f t="shared" si="0"/>
        <v>0</v>
      </c>
    </row>
    <row r="32" spans="6:15" x14ac:dyDescent="0.25">
      <c r="F32" s="8"/>
      <c r="G32" s="9"/>
      <c r="H32" s="10"/>
      <c r="I32" s="10">
        <f t="shared" si="0"/>
        <v>0</v>
      </c>
    </row>
    <row r="33" spans="6:9" x14ac:dyDescent="0.25">
      <c r="F33" s="8"/>
      <c r="G33" s="9"/>
      <c r="H33" s="10"/>
      <c r="I33" s="10">
        <f t="shared" si="0"/>
        <v>0</v>
      </c>
    </row>
    <row r="34" spans="6:9" x14ac:dyDescent="0.25">
      <c r="F34" s="8"/>
      <c r="G34" s="9"/>
      <c r="H34" s="10"/>
      <c r="I34" s="10">
        <f t="shared" si="0"/>
        <v>0</v>
      </c>
    </row>
    <row r="35" spans="6:9" x14ac:dyDescent="0.25">
      <c r="F35" s="8"/>
      <c r="G35" s="9"/>
      <c r="H35" s="10"/>
      <c r="I35" s="10">
        <f t="shared" si="0"/>
        <v>0</v>
      </c>
    </row>
  </sheetData>
  <mergeCells count="1">
    <mergeCell ref="G7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61</vt:i4>
      </vt:variant>
    </vt:vector>
  </HeadingPairs>
  <TitlesOfParts>
    <vt:vector size="61" baseType="lpstr">
      <vt:lpstr>DECORA Y CREA </vt:lpstr>
      <vt:lpstr>NATALI SULA</vt:lpstr>
      <vt:lpstr>SOFIAS</vt:lpstr>
      <vt:lpstr>ALKANA</vt:lpstr>
      <vt:lpstr>FANY CIRUELO</vt:lpstr>
      <vt:lpstr>DETALLES Y MAS</vt:lpstr>
      <vt:lpstr>JESLER PACHECO</vt:lpstr>
      <vt:lpstr>WILMER HN VIRREY</vt:lpstr>
      <vt:lpstr>YOSSELIN</vt:lpstr>
      <vt:lpstr>RINCONCITO AZACUALPA</vt:lpstr>
      <vt:lpstr>MELISSA</vt:lpstr>
      <vt:lpstr>ROOS AZACUALPA</vt:lpstr>
      <vt:lpstr>Nery Bustamante</vt:lpstr>
      <vt:lpstr>JANSY(INVERSIONES PORTILLO)</vt:lpstr>
      <vt:lpstr>ROSA SARON</vt:lpstr>
      <vt:lpstr>CLAUDIA 6 DE MAYO</vt:lpstr>
      <vt:lpstr>FLORISTERIA SANTA FE</vt:lpstr>
      <vt:lpstr>DISTRIBUIDORA OCCIDENTAL</vt:lpstr>
      <vt:lpstr>YOLANI ANY</vt:lpstr>
      <vt:lpstr>KARLA EVENTOS OCCIDENTE</vt:lpstr>
      <vt:lpstr>ANDREA PAULINA</vt:lpstr>
      <vt:lpstr>MARIA CRISBY</vt:lpstr>
      <vt:lpstr>GRISELDA</vt:lpstr>
      <vt:lpstr>INVERSIONES SORELLE</vt:lpstr>
      <vt:lpstr>DANESY MALDONADO</vt:lpstr>
      <vt:lpstr>LEFRUITT</vt:lpstr>
      <vt:lpstr>MULTISERVICIOS</vt:lpstr>
      <vt:lpstr>DETALLES HEYMI</vt:lpstr>
      <vt:lpstr>YOSSET</vt:lpstr>
      <vt:lpstr>DPETALOS</vt:lpstr>
      <vt:lpstr>WENDY ARAGON</vt:lpstr>
      <vt:lpstr>MONSERRATH</vt:lpstr>
      <vt:lpstr>FLORISTERIA FIORE</vt:lpstr>
      <vt:lpstr>DILO CON FLORES</vt:lpstr>
      <vt:lpstr>LILIS FLOWERS</vt:lpstr>
      <vt:lpstr>(LULAS)IMPORTADORA MANA</vt:lpstr>
      <vt:lpstr>Hoja2</vt:lpstr>
      <vt:lpstr>MANOS CREATIVAS</vt:lpstr>
      <vt:lpstr>CINDY ALVARADO</vt:lpstr>
      <vt:lpstr>DIANA ARITA</vt:lpstr>
      <vt:lpstr>DANIA DUBON</vt:lpstr>
      <vt:lpstr>ISA COTO </vt:lpstr>
      <vt:lpstr>MAKEMIDAY</vt:lpstr>
      <vt:lpstr>DETALLES DE AMOR</vt:lpstr>
      <vt:lpstr>DOÑA NERY</vt:lpstr>
      <vt:lpstr>ANA MORALES </vt:lpstr>
      <vt:lpstr>CAROL BALLEJO</vt:lpstr>
      <vt:lpstr>DYEL DETALLES</vt:lpstr>
      <vt:lpstr>GABRIELA TRIGUERS</vt:lpstr>
      <vt:lpstr>LOURDES SAN AGUSTIN</vt:lpstr>
      <vt:lpstr>NELI MEJIA</vt:lpstr>
      <vt:lpstr>AMARALYS</vt:lpstr>
      <vt:lpstr>ADRIANA PAOLA</vt:lpstr>
      <vt:lpstr>FLORES DETALLES</vt:lpstr>
      <vt:lpstr>ISABELA SANTA R</vt:lpstr>
      <vt:lpstr>Hoja3</vt:lpstr>
      <vt:lpstr>RESUMIDO</vt:lpstr>
      <vt:lpstr>CINTIA PEÑA</vt:lpstr>
      <vt:lpstr>ESTRELLA SERRANO</vt:lpstr>
      <vt:lpstr>ADRIS LOPEZ</vt:lpstr>
      <vt:lpstr>MARIA JOSE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Paraiso Floral</dc:creator>
  <cp:lastModifiedBy>Paraiso Floral</cp:lastModifiedBy>
  <cp:lastPrinted>2026-08-26T20:01:44Z</cp:lastPrinted>
  <dcterms:created xsi:type="dcterms:W3CDTF">2025-06-30T17:47:38Z</dcterms:created>
  <dcterms:modified xsi:type="dcterms:W3CDTF">2026-10-07T17:45:29Z</dcterms:modified>
</cp:coreProperties>
</file>